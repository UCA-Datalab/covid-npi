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ancisco.arenal\Desktop\indicador Impacto MEdidas\ARA\"/>
    </mc:Choice>
  </mc:AlternateContent>
  <bookViews>
    <workbookView xWindow="-120" yWindow="360" windowWidth="19440" windowHeight="10680" activeTab="3"/>
  </bookViews>
  <sheets>
    <sheet name="inicio" sheetId="3" r:id="rId1"/>
    <sheet name="base" sheetId="2" r:id="rId2"/>
    <sheet name="NO TOCAR" sheetId="7" r:id="rId3"/>
    <sheet name="Actualizaciones" sheetId="6" r:id="rId4"/>
    <sheet name="Hoja1" sheetId="8" r:id="rId5"/>
  </sheets>
  <definedNames>
    <definedName name="_xlnm._FilterDatabase" localSheetId="1" hidden="1">base!$A$1:$Q$366</definedName>
    <definedName name="_xlnm._FilterDatabase" localSheetId="2" hidden="1">'NO TOCAR'!$A$1:$D$160</definedName>
    <definedName name="Andalucía" localSheetId="3">#REF!</definedName>
    <definedName name="Andalucía">#REF!</definedName>
    <definedName name="Aragón" localSheetId="3">#REF!</definedName>
    <definedName name="Aragón">#REF!</definedName>
    <definedName name="Canarias" localSheetId="3">#REF!</definedName>
    <definedName name="Canarias">#REF!</definedName>
    <definedName name="Castilla_La_Mancha">#REF!</definedName>
    <definedName name="Castilla_y_León">#REF!</definedName>
    <definedName name="Cataluña">#REF!</definedName>
    <definedName name="comunidad_autónoma">#REF!</definedName>
    <definedName name="Comunidad_Valenciana">#REF!</definedName>
    <definedName name="Extremadura">#REF!</definedName>
    <definedName name="Galicia">#REF!</definedName>
    <definedName name="País_Vasco">#REF!</definedName>
  </definedNames>
  <calcPr calcId="162913"/>
</workbook>
</file>

<file path=xl/calcChain.xml><?xml version="1.0" encoding="utf-8"?>
<calcChain xmlns="http://schemas.openxmlformats.org/spreadsheetml/2006/main">
  <c r="J366" i="2" l="1"/>
  <c r="I366" i="2"/>
  <c r="G366" i="2"/>
  <c r="J365" i="2"/>
  <c r="I365" i="2"/>
  <c r="G365" i="2"/>
  <c r="J364" i="2"/>
  <c r="I364" i="2"/>
  <c r="G364" i="2"/>
  <c r="G363" i="2"/>
  <c r="G210" i="2" l="1"/>
  <c r="G209" i="2"/>
  <c r="G220" i="2"/>
  <c r="J299" i="2"/>
  <c r="I299" i="2"/>
  <c r="G299" i="2"/>
  <c r="J232" i="2"/>
  <c r="I232" i="2"/>
  <c r="G232" i="2"/>
  <c r="J142" i="2"/>
  <c r="I142" i="2"/>
  <c r="G142" i="2"/>
  <c r="J40" i="2"/>
  <c r="I40" i="2"/>
  <c r="G40" i="2"/>
  <c r="G329" i="2"/>
  <c r="G316" i="2"/>
  <c r="G310" i="2"/>
  <c r="G333" i="2"/>
  <c r="J117" i="2"/>
  <c r="I117" i="2"/>
  <c r="G117" i="2"/>
  <c r="G286" i="2"/>
  <c r="I286" i="2"/>
  <c r="J286" i="2"/>
  <c r="J311" i="2"/>
  <c r="I311" i="2"/>
  <c r="G311" i="2"/>
  <c r="J309" i="2"/>
  <c r="I309" i="2"/>
  <c r="G309" i="2"/>
  <c r="J307" i="2"/>
  <c r="I307" i="2"/>
  <c r="G307" i="2"/>
  <c r="J325" i="2"/>
  <c r="I325" i="2"/>
  <c r="G325" i="2"/>
  <c r="J219" i="2"/>
  <c r="I219" i="2"/>
  <c r="G219" i="2"/>
  <c r="J199" i="2"/>
  <c r="I199" i="2"/>
  <c r="G199" i="2"/>
  <c r="J308" i="2"/>
  <c r="I308" i="2"/>
  <c r="G308" i="2"/>
  <c r="J204" i="2"/>
  <c r="I204" i="2"/>
  <c r="G204" i="2"/>
  <c r="J206" i="2"/>
  <c r="I206" i="2"/>
  <c r="G206" i="2"/>
  <c r="J198" i="2"/>
  <c r="I198" i="2"/>
  <c r="G198" i="2"/>
  <c r="J197" i="2"/>
  <c r="I197" i="2"/>
  <c r="G197" i="2"/>
  <c r="J196" i="2"/>
  <c r="I196" i="2"/>
  <c r="G196" i="2"/>
  <c r="J194" i="2"/>
  <c r="I194" i="2"/>
  <c r="G194" i="2"/>
  <c r="G192" i="2"/>
  <c r="I192" i="2"/>
  <c r="J192" i="2"/>
  <c r="G193" i="2"/>
  <c r="I193" i="2"/>
  <c r="J193" i="2"/>
  <c r="G195" i="2"/>
  <c r="I195" i="2"/>
  <c r="J195" i="2"/>
  <c r="J191" i="2"/>
  <c r="I191" i="2"/>
  <c r="G191" i="2"/>
  <c r="J300" i="2"/>
  <c r="I300" i="2"/>
  <c r="G300" i="2"/>
  <c r="J31" i="2"/>
  <c r="I31" i="2"/>
  <c r="G31" i="2"/>
  <c r="J30" i="2"/>
  <c r="I30" i="2"/>
  <c r="G30" i="2"/>
  <c r="J296" i="2"/>
  <c r="I296" i="2"/>
  <c r="G296" i="2"/>
  <c r="G173" i="2"/>
  <c r="I173" i="2"/>
  <c r="J173" i="2"/>
  <c r="J21" i="2"/>
  <c r="I21" i="2"/>
  <c r="G21" i="2"/>
  <c r="J145" i="2"/>
  <c r="I145" i="2"/>
  <c r="G145" i="2"/>
  <c r="J120" i="2"/>
  <c r="I120" i="2"/>
  <c r="G120" i="2"/>
  <c r="J46" i="2"/>
  <c r="I46" i="2"/>
  <c r="G46" i="2"/>
  <c r="J224" i="2"/>
  <c r="I224" i="2"/>
  <c r="G224" i="2"/>
  <c r="J239" i="2"/>
  <c r="I239" i="2"/>
  <c r="G239" i="2"/>
  <c r="J261" i="2"/>
  <c r="I261" i="2"/>
  <c r="G261" i="2"/>
  <c r="J250" i="2"/>
  <c r="I250" i="2"/>
  <c r="G250" i="2"/>
  <c r="J3" i="2"/>
  <c r="J4" i="2"/>
  <c r="J5" i="2"/>
  <c r="J2" i="2"/>
  <c r="J7" i="2"/>
  <c r="J10" i="2"/>
  <c r="J8" i="2"/>
  <c r="J6" i="2"/>
  <c r="J226" i="2"/>
  <c r="J28" i="2"/>
  <c r="J233" i="2"/>
  <c r="J314" i="2"/>
  <c r="J43" i="2"/>
  <c r="J241" i="2"/>
  <c r="J251" i="2"/>
  <c r="J58" i="2"/>
  <c r="J343" i="2"/>
  <c r="J16" i="2"/>
  <c r="J229" i="2"/>
  <c r="J160" i="2"/>
  <c r="J161" i="2"/>
  <c r="J162" i="2"/>
  <c r="J163" i="2"/>
  <c r="J164" i="2"/>
  <c r="J165" i="2"/>
  <c r="J221" i="2"/>
  <c r="J222" i="2"/>
  <c r="J45" i="2"/>
  <c r="J312" i="2"/>
  <c r="J345" i="2"/>
  <c r="J53" i="2"/>
  <c r="J359" i="2"/>
  <c r="J132" i="2"/>
  <c r="J315" i="2"/>
  <c r="J356" i="2"/>
  <c r="J41" i="2"/>
  <c r="J157" i="2"/>
  <c r="J158" i="2"/>
  <c r="J242" i="2"/>
  <c r="J252" i="2"/>
  <c r="J59" i="2"/>
  <c r="J146" i="2"/>
  <c r="J121" i="2"/>
  <c r="J90" i="2"/>
  <c r="J91" i="2"/>
  <c r="J72" i="2"/>
  <c r="J73" i="2"/>
  <c r="J18" i="2"/>
  <c r="J11" i="2"/>
  <c r="J350" i="2"/>
  <c r="J302" i="2"/>
  <c r="J175" i="2"/>
  <c r="J346" i="2"/>
  <c r="J54" i="2"/>
  <c r="J49" i="2"/>
  <c r="J335" i="2"/>
  <c r="J108" i="2"/>
  <c r="J133" i="2"/>
  <c r="J317" i="2"/>
  <c r="J211" i="2"/>
  <c r="J32" i="2"/>
  <c r="J171" i="2"/>
  <c r="J262" i="2"/>
  <c r="J172" i="2"/>
  <c r="J263" i="2"/>
  <c r="J243" i="2"/>
  <c r="J244" i="2"/>
  <c r="J253" i="2"/>
  <c r="J254" i="2"/>
  <c r="J60" i="2"/>
  <c r="J61" i="2"/>
  <c r="J147" i="2"/>
  <c r="J148" i="2"/>
  <c r="J122" i="2"/>
  <c r="J123" i="2"/>
  <c r="J92" i="2"/>
  <c r="J93" i="2"/>
  <c r="J94" i="2"/>
  <c r="J95" i="2"/>
  <c r="J74" i="2"/>
  <c r="J75" i="2"/>
  <c r="J76" i="2"/>
  <c r="J77" i="2"/>
  <c r="J19" i="2"/>
  <c r="J20" i="2"/>
  <c r="J12" i="2"/>
  <c r="J13" i="2"/>
  <c r="J230" i="2"/>
  <c r="J351" i="2"/>
  <c r="J352" i="2"/>
  <c r="J303" i="2"/>
  <c r="J304" i="2"/>
  <c r="J313" i="2"/>
  <c r="J176" i="2"/>
  <c r="J177" i="2"/>
  <c r="J347" i="2"/>
  <c r="J348" i="2"/>
  <c r="J55" i="2"/>
  <c r="J56" i="2"/>
  <c r="J50" i="2"/>
  <c r="J51" i="2"/>
  <c r="J336" i="2"/>
  <c r="J337" i="2"/>
  <c r="J109" i="2"/>
  <c r="J110" i="2"/>
  <c r="J134" i="2"/>
  <c r="J135" i="2"/>
  <c r="J318" i="2"/>
  <c r="J319" i="2"/>
  <c r="J212" i="2"/>
  <c r="J213" i="2"/>
  <c r="J33" i="2"/>
  <c r="J34" i="2"/>
  <c r="J306" i="2"/>
  <c r="J265" i="2"/>
  <c r="J266" i="2"/>
  <c r="J267" i="2"/>
  <c r="J268" i="2"/>
  <c r="J264" i="2"/>
  <c r="J271" i="2"/>
  <c r="J269" i="2"/>
  <c r="J270" i="2"/>
  <c r="J227" i="2"/>
  <c r="J234" i="2"/>
  <c r="J245" i="2"/>
  <c r="J246" i="2"/>
  <c r="J255" i="2"/>
  <c r="J256" i="2"/>
  <c r="J257" i="2"/>
  <c r="J62" i="2"/>
  <c r="J149" i="2"/>
  <c r="J124" i="2"/>
  <c r="J96" i="2"/>
  <c r="J97" i="2"/>
  <c r="J78" i="2"/>
  <c r="J79" i="2"/>
  <c r="J170" i="2"/>
  <c r="J22" i="2"/>
  <c r="J23" i="2"/>
  <c r="J14" i="2"/>
  <c r="J15" i="2"/>
  <c r="J353" i="2"/>
  <c r="J305" i="2"/>
  <c r="J178" i="2"/>
  <c r="J201" i="2"/>
  <c r="J349" i="2"/>
  <c r="J57" i="2"/>
  <c r="J52" i="2"/>
  <c r="J338" i="2"/>
  <c r="J289" i="2"/>
  <c r="J290" i="2"/>
  <c r="J111" i="2"/>
  <c r="J112" i="2"/>
  <c r="J113" i="2"/>
  <c r="J136" i="2"/>
  <c r="J137" i="2"/>
  <c r="J138" i="2"/>
  <c r="J320" i="2"/>
  <c r="J321" i="2"/>
  <c r="J214" i="2"/>
  <c r="J215" i="2"/>
  <c r="J216" i="2"/>
  <c r="J330" i="2"/>
  <c r="J331" i="2"/>
  <c r="J35" i="2"/>
  <c r="J36" i="2"/>
  <c r="J166" i="2"/>
  <c r="J167" i="2"/>
  <c r="J291" i="2"/>
  <c r="J217" i="2"/>
  <c r="J332" i="2"/>
  <c r="J301" i="2"/>
  <c r="J207" i="2"/>
  <c r="J208" i="2"/>
  <c r="J202" i="2"/>
  <c r="J322" i="2"/>
  <c r="J355" i="2"/>
  <c r="J357" i="2"/>
  <c r="J150" i="2"/>
  <c r="J125" i="2"/>
  <c r="J98" i="2"/>
  <c r="J80" i="2"/>
  <c r="J287" i="2"/>
  <c r="J64" i="2"/>
  <c r="J63" i="2"/>
  <c r="J151" i="2"/>
  <c r="J152" i="2"/>
  <c r="J126" i="2"/>
  <c r="J127" i="2"/>
  <c r="J99" i="2"/>
  <c r="J100" i="2"/>
  <c r="J101" i="2"/>
  <c r="J102" i="2"/>
  <c r="J84" i="2"/>
  <c r="J85" i="2"/>
  <c r="J81" i="2"/>
  <c r="J82" i="2"/>
  <c r="J339" i="2"/>
  <c r="J340" i="2"/>
  <c r="J294" i="2"/>
  <c r="J114" i="2"/>
  <c r="J115" i="2"/>
  <c r="J139" i="2"/>
  <c r="J140" i="2"/>
  <c r="J323" i="2"/>
  <c r="J326" i="2"/>
  <c r="J39" i="2"/>
  <c r="J37" i="2"/>
  <c r="J354" i="2"/>
  <c r="J65" i="2"/>
  <c r="J153" i="2"/>
  <c r="J128" i="2"/>
  <c r="J103" i="2"/>
  <c r="J104" i="2"/>
  <c r="J83" i="2"/>
  <c r="J86" i="2"/>
  <c r="J341" i="2"/>
  <c r="J295" i="2"/>
  <c r="J116" i="2"/>
  <c r="J141" i="2"/>
  <c r="J327" i="2"/>
  <c r="J38" i="2"/>
  <c r="J276" i="2"/>
  <c r="J277" i="2"/>
  <c r="J272" i="2"/>
  <c r="J274" i="2"/>
  <c r="J275" i="2"/>
  <c r="J273" i="2"/>
  <c r="J228" i="2"/>
  <c r="J235" i="2"/>
  <c r="J236" i="2"/>
  <c r="J247" i="2"/>
  <c r="J258" i="2"/>
  <c r="J67" i="2"/>
  <c r="J155" i="2"/>
  <c r="J130" i="2"/>
  <c r="J106" i="2"/>
  <c r="J88" i="2"/>
  <c r="J26" i="2"/>
  <c r="J24" i="2"/>
  <c r="J231" i="2"/>
  <c r="J223" i="2"/>
  <c r="J288" i="2"/>
  <c r="J47" i="2"/>
  <c r="J342" i="2"/>
  <c r="J292" i="2"/>
  <c r="J118" i="2"/>
  <c r="J143" i="2"/>
  <c r="J324" i="2"/>
  <c r="J218" i="2"/>
  <c r="J42" i="2"/>
  <c r="J179" i="2"/>
  <c r="J180" i="2"/>
  <c r="J181" i="2"/>
  <c r="J182" i="2"/>
  <c r="J279" i="2"/>
  <c r="J278" i="2"/>
  <c r="J280" i="2"/>
  <c r="J200" i="2"/>
  <c r="J237" i="2"/>
  <c r="J238" i="2"/>
  <c r="J344" i="2"/>
  <c r="J248" i="2"/>
  <c r="J259" i="2"/>
  <c r="J68" i="2"/>
  <c r="J156" i="2"/>
  <c r="J131" i="2"/>
  <c r="J107" i="2"/>
  <c r="J89" i="2"/>
  <c r="J27" i="2"/>
  <c r="J174" i="2"/>
  <c r="J284" i="2"/>
  <c r="J17" i="2"/>
  <c r="J169" i="2"/>
  <c r="J168" i="2"/>
  <c r="J159" i="2"/>
  <c r="J203" i="2"/>
  <c r="J183" i="2"/>
  <c r="J184" i="2"/>
  <c r="J185" i="2"/>
  <c r="J205" i="2"/>
  <c r="J293" i="2"/>
  <c r="J358" i="2"/>
  <c r="J298" i="2"/>
  <c r="J282" i="2"/>
  <c r="J283" i="2"/>
  <c r="J281" i="2"/>
  <c r="J29" i="2"/>
  <c r="J240" i="2"/>
  <c r="J44" i="2"/>
  <c r="J249" i="2"/>
  <c r="J260" i="2"/>
  <c r="J25" i="2"/>
  <c r="J225" i="2"/>
  <c r="J48" i="2"/>
  <c r="J119" i="2"/>
  <c r="J144" i="2"/>
  <c r="J69" i="2"/>
  <c r="J186" i="2"/>
  <c r="J187" i="2"/>
  <c r="J188" i="2"/>
  <c r="J189" i="2"/>
  <c r="J70" i="2"/>
  <c r="J190" i="2"/>
  <c r="J360" i="2"/>
  <c r="J9" i="2"/>
  <c r="I3" i="2"/>
  <c r="I4" i="2"/>
  <c r="I5" i="2"/>
  <c r="I2" i="2"/>
  <c r="I7" i="2"/>
  <c r="I10" i="2"/>
  <c r="I8" i="2"/>
  <c r="I6" i="2"/>
  <c r="I226" i="2"/>
  <c r="I28" i="2"/>
  <c r="I233" i="2"/>
  <c r="I314" i="2"/>
  <c r="I43" i="2"/>
  <c r="I241" i="2"/>
  <c r="I251" i="2"/>
  <c r="I58" i="2"/>
  <c r="I343" i="2"/>
  <c r="I16" i="2"/>
  <c r="I229" i="2"/>
  <c r="I160" i="2"/>
  <c r="I161" i="2"/>
  <c r="I162" i="2"/>
  <c r="I163" i="2"/>
  <c r="I164" i="2"/>
  <c r="I165" i="2"/>
  <c r="I221" i="2"/>
  <c r="I222" i="2"/>
  <c r="I45" i="2"/>
  <c r="I312" i="2"/>
  <c r="I345" i="2"/>
  <c r="I53" i="2"/>
  <c r="I359" i="2"/>
  <c r="I132" i="2"/>
  <c r="I315" i="2"/>
  <c r="I356" i="2"/>
  <c r="I41" i="2"/>
  <c r="I157" i="2"/>
  <c r="I158" i="2"/>
  <c r="I242" i="2"/>
  <c r="I252" i="2"/>
  <c r="I59" i="2"/>
  <c r="I146" i="2"/>
  <c r="I121" i="2"/>
  <c r="I90" i="2"/>
  <c r="I91" i="2"/>
  <c r="I72" i="2"/>
  <c r="I73" i="2"/>
  <c r="I18" i="2"/>
  <c r="I11" i="2"/>
  <c r="I350" i="2"/>
  <c r="I302" i="2"/>
  <c r="I175" i="2"/>
  <c r="I346" i="2"/>
  <c r="I54" i="2"/>
  <c r="I49" i="2"/>
  <c r="I335" i="2"/>
  <c r="I108" i="2"/>
  <c r="I133" i="2"/>
  <c r="I317" i="2"/>
  <c r="I211" i="2"/>
  <c r="I32" i="2"/>
  <c r="I171" i="2"/>
  <c r="I262" i="2"/>
  <c r="I172" i="2"/>
  <c r="I263" i="2"/>
  <c r="I243" i="2"/>
  <c r="I244" i="2"/>
  <c r="I253" i="2"/>
  <c r="I254" i="2"/>
  <c r="I60" i="2"/>
  <c r="I61" i="2"/>
  <c r="I147" i="2"/>
  <c r="I148" i="2"/>
  <c r="I122" i="2"/>
  <c r="I123" i="2"/>
  <c r="I92" i="2"/>
  <c r="I93" i="2"/>
  <c r="I94" i="2"/>
  <c r="I95" i="2"/>
  <c r="I74" i="2"/>
  <c r="I75" i="2"/>
  <c r="I76" i="2"/>
  <c r="I77" i="2"/>
  <c r="I19" i="2"/>
  <c r="I20" i="2"/>
  <c r="I12" i="2"/>
  <c r="I13" i="2"/>
  <c r="I230" i="2"/>
  <c r="I351" i="2"/>
  <c r="I352" i="2"/>
  <c r="I303" i="2"/>
  <c r="I304" i="2"/>
  <c r="I313" i="2"/>
  <c r="I176" i="2"/>
  <c r="I177" i="2"/>
  <c r="I347" i="2"/>
  <c r="I348" i="2"/>
  <c r="I55" i="2"/>
  <c r="I56" i="2"/>
  <c r="I50" i="2"/>
  <c r="I51" i="2"/>
  <c r="I336" i="2"/>
  <c r="I337" i="2"/>
  <c r="I109" i="2"/>
  <c r="I110" i="2"/>
  <c r="I134" i="2"/>
  <c r="I135" i="2"/>
  <c r="I318" i="2"/>
  <c r="I319" i="2"/>
  <c r="I212" i="2"/>
  <c r="I213" i="2"/>
  <c r="I33" i="2"/>
  <c r="I34" i="2"/>
  <c r="I306" i="2"/>
  <c r="I265" i="2"/>
  <c r="I266" i="2"/>
  <c r="I267" i="2"/>
  <c r="I268" i="2"/>
  <c r="I264" i="2"/>
  <c r="I271" i="2"/>
  <c r="I269" i="2"/>
  <c r="I270" i="2"/>
  <c r="I227" i="2"/>
  <c r="I234" i="2"/>
  <c r="I245" i="2"/>
  <c r="I246" i="2"/>
  <c r="I255" i="2"/>
  <c r="I256" i="2"/>
  <c r="I257" i="2"/>
  <c r="I62" i="2"/>
  <c r="I149" i="2"/>
  <c r="I124" i="2"/>
  <c r="I96" i="2"/>
  <c r="I97" i="2"/>
  <c r="I78" i="2"/>
  <c r="I79" i="2"/>
  <c r="I170" i="2"/>
  <c r="I22" i="2"/>
  <c r="I23" i="2"/>
  <c r="I14" i="2"/>
  <c r="I15" i="2"/>
  <c r="I353" i="2"/>
  <c r="I305" i="2"/>
  <c r="I178" i="2"/>
  <c r="I201" i="2"/>
  <c r="I349" i="2"/>
  <c r="I57" i="2"/>
  <c r="I52" i="2"/>
  <c r="I338" i="2"/>
  <c r="I289" i="2"/>
  <c r="I290" i="2"/>
  <c r="I111" i="2"/>
  <c r="I112" i="2"/>
  <c r="I113" i="2"/>
  <c r="I136" i="2"/>
  <c r="I137" i="2"/>
  <c r="I138" i="2"/>
  <c r="I320" i="2"/>
  <c r="I321" i="2"/>
  <c r="I214" i="2"/>
  <c r="I215" i="2"/>
  <c r="I216" i="2"/>
  <c r="I330" i="2"/>
  <c r="I331" i="2"/>
  <c r="I35" i="2"/>
  <c r="I36" i="2"/>
  <c r="I166" i="2"/>
  <c r="I167" i="2"/>
  <c r="I291" i="2"/>
  <c r="I217" i="2"/>
  <c r="I332" i="2"/>
  <c r="I301" i="2"/>
  <c r="I207" i="2"/>
  <c r="I208" i="2"/>
  <c r="I202" i="2"/>
  <c r="I322" i="2"/>
  <c r="I355" i="2"/>
  <c r="I357" i="2"/>
  <c r="I150" i="2"/>
  <c r="I125" i="2"/>
  <c r="I98" i="2"/>
  <c r="I80" i="2"/>
  <c r="I287" i="2"/>
  <c r="I64" i="2"/>
  <c r="I63" i="2"/>
  <c r="I151" i="2"/>
  <c r="I152" i="2"/>
  <c r="I126" i="2"/>
  <c r="I127" i="2"/>
  <c r="I99" i="2"/>
  <c r="I100" i="2"/>
  <c r="I101" i="2"/>
  <c r="I102" i="2"/>
  <c r="I84" i="2"/>
  <c r="I85" i="2"/>
  <c r="I81" i="2"/>
  <c r="I82" i="2"/>
  <c r="I339" i="2"/>
  <c r="I340" i="2"/>
  <c r="I294" i="2"/>
  <c r="I114" i="2"/>
  <c r="I115" i="2"/>
  <c r="I139" i="2"/>
  <c r="I140" i="2"/>
  <c r="I323" i="2"/>
  <c r="I326" i="2"/>
  <c r="I39" i="2"/>
  <c r="I37" i="2"/>
  <c r="I354" i="2"/>
  <c r="I65" i="2"/>
  <c r="I153" i="2"/>
  <c r="I128" i="2"/>
  <c r="I103" i="2"/>
  <c r="I104" i="2"/>
  <c r="I83" i="2"/>
  <c r="I86" i="2"/>
  <c r="I341" i="2"/>
  <c r="I295" i="2"/>
  <c r="I116" i="2"/>
  <c r="I141" i="2"/>
  <c r="I327" i="2"/>
  <c r="I38" i="2"/>
  <c r="I276" i="2"/>
  <c r="I277" i="2"/>
  <c r="I272" i="2"/>
  <c r="I274" i="2"/>
  <c r="I275" i="2"/>
  <c r="I273" i="2"/>
  <c r="I228" i="2"/>
  <c r="I235" i="2"/>
  <c r="I236" i="2"/>
  <c r="I247" i="2"/>
  <c r="I258" i="2"/>
  <c r="I67" i="2"/>
  <c r="I155" i="2"/>
  <c r="I130" i="2"/>
  <c r="I106" i="2"/>
  <c r="I88" i="2"/>
  <c r="I26" i="2"/>
  <c r="I24" i="2"/>
  <c r="I231" i="2"/>
  <c r="I223" i="2"/>
  <c r="I288" i="2"/>
  <c r="I47" i="2"/>
  <c r="I342" i="2"/>
  <c r="I292" i="2"/>
  <c r="I118" i="2"/>
  <c r="I143" i="2"/>
  <c r="I324" i="2"/>
  <c r="I218" i="2"/>
  <c r="I42" i="2"/>
  <c r="I179" i="2"/>
  <c r="I180" i="2"/>
  <c r="I181" i="2"/>
  <c r="I182" i="2"/>
  <c r="I279" i="2"/>
  <c r="I278" i="2"/>
  <c r="I280" i="2"/>
  <c r="I200" i="2"/>
  <c r="I237" i="2"/>
  <c r="I238" i="2"/>
  <c r="I344" i="2"/>
  <c r="I248" i="2"/>
  <c r="I259" i="2"/>
  <c r="I68" i="2"/>
  <c r="I156" i="2"/>
  <c r="I131" i="2"/>
  <c r="I107" i="2"/>
  <c r="I89" i="2"/>
  <c r="I27" i="2"/>
  <c r="I174" i="2"/>
  <c r="I284" i="2"/>
  <c r="I17" i="2"/>
  <c r="I169" i="2"/>
  <c r="I168" i="2"/>
  <c r="I159" i="2"/>
  <c r="I203" i="2"/>
  <c r="I183" i="2"/>
  <c r="I184" i="2"/>
  <c r="I185" i="2"/>
  <c r="I205" i="2"/>
  <c r="I293" i="2"/>
  <c r="I358" i="2"/>
  <c r="I298" i="2"/>
  <c r="I282" i="2"/>
  <c r="I283" i="2"/>
  <c r="I281" i="2"/>
  <c r="I29" i="2"/>
  <c r="I240" i="2"/>
  <c r="I44" i="2"/>
  <c r="I249" i="2"/>
  <c r="I260" i="2"/>
  <c r="I25" i="2"/>
  <c r="I225" i="2"/>
  <c r="I48" i="2"/>
  <c r="I119" i="2"/>
  <c r="I144" i="2"/>
  <c r="I69" i="2"/>
  <c r="I186" i="2"/>
  <c r="I187" i="2"/>
  <c r="I188" i="2"/>
  <c r="I189" i="2"/>
  <c r="I70" i="2"/>
  <c r="I190" i="2"/>
  <c r="I360" i="2"/>
  <c r="I9" i="2"/>
  <c r="G9" i="2"/>
  <c r="G3" i="2"/>
  <c r="G4" i="2"/>
  <c r="G5" i="2"/>
  <c r="G2" i="2"/>
  <c r="G7" i="2"/>
  <c r="G10" i="2"/>
  <c r="G8" i="2"/>
  <c r="G6" i="2"/>
  <c r="G226" i="2"/>
  <c r="G28" i="2"/>
  <c r="G233" i="2"/>
  <c r="G314" i="2"/>
  <c r="G43" i="2"/>
  <c r="G241" i="2"/>
  <c r="G251" i="2"/>
  <c r="G58" i="2"/>
  <c r="G343" i="2"/>
  <c r="G16" i="2"/>
  <c r="G229" i="2"/>
  <c r="G160" i="2"/>
  <c r="G161" i="2"/>
  <c r="G162" i="2"/>
  <c r="G163" i="2"/>
  <c r="G164" i="2"/>
  <c r="G165" i="2"/>
  <c r="G221" i="2"/>
  <c r="G222" i="2"/>
  <c r="G45" i="2"/>
  <c r="G312" i="2"/>
  <c r="G345" i="2"/>
  <c r="G53" i="2"/>
  <c r="G359" i="2"/>
  <c r="G132" i="2"/>
  <c r="G315" i="2"/>
  <c r="G356" i="2"/>
  <c r="G41" i="2"/>
  <c r="G157" i="2"/>
  <c r="G158" i="2"/>
  <c r="G242" i="2"/>
  <c r="G252" i="2"/>
  <c r="G59" i="2"/>
  <c r="G146" i="2"/>
  <c r="G121" i="2"/>
  <c r="G90" i="2"/>
  <c r="G91" i="2"/>
  <c r="G72" i="2"/>
  <c r="G73" i="2"/>
  <c r="G18" i="2"/>
  <c r="G11" i="2"/>
  <c r="G350" i="2"/>
  <c r="G302" i="2"/>
  <c r="G175" i="2"/>
  <c r="G346" i="2"/>
  <c r="G54" i="2"/>
  <c r="G49" i="2"/>
  <c r="G335" i="2"/>
  <c r="G108" i="2"/>
  <c r="G133" i="2"/>
  <c r="G317" i="2"/>
  <c r="G211" i="2"/>
  <c r="G32" i="2"/>
  <c r="G171" i="2"/>
  <c r="G262" i="2"/>
  <c r="G172" i="2"/>
  <c r="G263" i="2"/>
  <c r="G243" i="2"/>
  <c r="G244" i="2"/>
  <c r="G253" i="2"/>
  <c r="G254" i="2"/>
  <c r="G60" i="2"/>
  <c r="G61" i="2"/>
  <c r="G147" i="2"/>
  <c r="G148" i="2"/>
  <c r="G122" i="2"/>
  <c r="G123" i="2"/>
  <c r="G92" i="2"/>
  <c r="G93" i="2"/>
  <c r="G94" i="2"/>
  <c r="G95" i="2"/>
  <c r="G74" i="2"/>
  <c r="G75" i="2"/>
  <c r="G76" i="2"/>
  <c r="G77" i="2"/>
  <c r="G19" i="2"/>
  <c r="G20" i="2"/>
  <c r="G12" i="2"/>
  <c r="G13" i="2"/>
  <c r="G230" i="2"/>
  <c r="G351" i="2"/>
  <c r="G352" i="2"/>
  <c r="G303" i="2"/>
  <c r="G304" i="2"/>
  <c r="G313" i="2"/>
  <c r="G176" i="2"/>
  <c r="G177" i="2"/>
  <c r="G347" i="2"/>
  <c r="G348" i="2"/>
  <c r="G55" i="2"/>
  <c r="G56" i="2"/>
  <c r="G50" i="2"/>
  <c r="G51" i="2"/>
  <c r="G336" i="2"/>
  <c r="G337" i="2"/>
  <c r="G109" i="2"/>
  <c r="G110" i="2"/>
  <c r="G134" i="2"/>
  <c r="G135" i="2"/>
  <c r="G318" i="2"/>
  <c r="G319" i="2"/>
  <c r="G212" i="2"/>
  <c r="G213" i="2"/>
  <c r="G33" i="2"/>
  <c r="G34" i="2"/>
  <c r="G306" i="2"/>
  <c r="G265" i="2"/>
  <c r="G266" i="2"/>
  <c r="G267" i="2"/>
  <c r="G268" i="2"/>
  <c r="G264" i="2"/>
  <c r="G271" i="2"/>
  <c r="G269" i="2"/>
  <c r="G270" i="2"/>
  <c r="G227" i="2"/>
  <c r="G234" i="2"/>
  <c r="G245" i="2"/>
  <c r="G246" i="2"/>
  <c r="G255" i="2"/>
  <c r="G256" i="2"/>
  <c r="G257" i="2"/>
  <c r="G62" i="2"/>
  <c r="G149" i="2"/>
  <c r="G124" i="2"/>
  <c r="G96" i="2"/>
  <c r="G97" i="2"/>
  <c r="G78" i="2"/>
  <c r="G79" i="2"/>
  <c r="G170" i="2"/>
  <c r="G22" i="2"/>
  <c r="G23" i="2"/>
  <c r="G14" i="2"/>
  <c r="G15" i="2"/>
  <c r="G353" i="2"/>
  <c r="G305" i="2"/>
  <c r="G178" i="2"/>
  <c r="G201" i="2"/>
  <c r="G349" i="2"/>
  <c r="G57" i="2"/>
  <c r="G52" i="2"/>
  <c r="G338" i="2"/>
  <c r="G289" i="2"/>
  <c r="G290" i="2"/>
  <c r="G111" i="2"/>
  <c r="G112" i="2"/>
  <c r="G113" i="2"/>
  <c r="G136" i="2"/>
  <c r="G137" i="2"/>
  <c r="G138" i="2"/>
  <c r="G320" i="2"/>
  <c r="G321" i="2"/>
  <c r="G214" i="2"/>
  <c r="G215" i="2"/>
  <c r="G216" i="2"/>
  <c r="G330" i="2"/>
  <c r="G331" i="2"/>
  <c r="G35" i="2"/>
  <c r="G36" i="2"/>
  <c r="G166" i="2"/>
  <c r="G167" i="2"/>
  <c r="G291" i="2"/>
  <c r="G217" i="2"/>
  <c r="G332" i="2"/>
  <c r="G301" i="2"/>
  <c r="G207" i="2"/>
  <c r="G208" i="2"/>
  <c r="G202" i="2"/>
  <c r="G322" i="2"/>
  <c r="G355" i="2"/>
  <c r="G357" i="2"/>
  <c r="G150" i="2"/>
  <c r="G125" i="2"/>
  <c r="G98" i="2"/>
  <c r="G80" i="2"/>
  <c r="G287" i="2"/>
  <c r="G64" i="2"/>
  <c r="G63" i="2"/>
  <c r="G151" i="2"/>
  <c r="G152" i="2"/>
  <c r="G126" i="2"/>
  <c r="G127" i="2"/>
  <c r="G99" i="2"/>
  <c r="G100" i="2"/>
  <c r="G101" i="2"/>
  <c r="G102" i="2"/>
  <c r="G84" i="2"/>
  <c r="G85" i="2"/>
  <c r="G81" i="2"/>
  <c r="G82" i="2"/>
  <c r="G339" i="2"/>
  <c r="G340" i="2"/>
  <c r="G294" i="2"/>
  <c r="G114" i="2"/>
  <c r="G115" i="2"/>
  <c r="G139" i="2"/>
  <c r="G140" i="2"/>
  <c r="G323" i="2"/>
  <c r="G326" i="2"/>
  <c r="G39" i="2"/>
  <c r="G37" i="2"/>
  <c r="G354" i="2"/>
  <c r="G65" i="2"/>
  <c r="G153" i="2"/>
  <c r="G128" i="2"/>
  <c r="G103" i="2"/>
  <c r="G104" i="2"/>
  <c r="G83" i="2"/>
  <c r="G86" i="2"/>
  <c r="G341" i="2"/>
  <c r="G295" i="2"/>
  <c r="G116" i="2"/>
  <c r="G141" i="2"/>
  <c r="G327" i="2"/>
  <c r="G38" i="2"/>
  <c r="G276" i="2"/>
  <c r="G277" i="2"/>
  <c r="G272" i="2"/>
  <c r="G274" i="2"/>
  <c r="G275" i="2"/>
  <c r="G273" i="2"/>
  <c r="G228" i="2"/>
  <c r="G235" i="2"/>
  <c r="G236" i="2"/>
  <c r="G247" i="2"/>
  <c r="G258" i="2"/>
  <c r="G67" i="2"/>
  <c r="G155" i="2"/>
  <c r="G130" i="2"/>
  <c r="G106" i="2"/>
  <c r="G88" i="2"/>
  <c r="G26" i="2"/>
  <c r="G24" i="2"/>
  <c r="G231" i="2"/>
  <c r="G223" i="2"/>
  <c r="G288" i="2"/>
  <c r="G47" i="2"/>
  <c r="G342" i="2"/>
  <c r="G292" i="2"/>
  <c r="G118" i="2"/>
  <c r="G143" i="2"/>
  <c r="G324" i="2"/>
  <c r="G218" i="2"/>
  <c r="G42" i="2"/>
  <c r="G179" i="2"/>
  <c r="G180" i="2"/>
  <c r="G181" i="2"/>
  <c r="G182" i="2"/>
  <c r="G279" i="2"/>
  <c r="G278" i="2"/>
  <c r="G280" i="2"/>
  <c r="G200" i="2"/>
  <c r="G237" i="2"/>
  <c r="G238" i="2"/>
  <c r="G344" i="2"/>
  <c r="G248" i="2"/>
  <c r="G259" i="2"/>
  <c r="G68" i="2"/>
  <c r="G156" i="2"/>
  <c r="G131" i="2"/>
  <c r="G107" i="2"/>
  <c r="G89" i="2"/>
  <c r="G27" i="2"/>
  <c r="G174" i="2"/>
  <c r="G284" i="2"/>
  <c r="G17" i="2"/>
  <c r="G169" i="2"/>
  <c r="G168" i="2"/>
  <c r="G159" i="2"/>
  <c r="G203" i="2"/>
  <c r="G183" i="2"/>
  <c r="G184" i="2"/>
  <c r="G185" i="2"/>
  <c r="G205" i="2"/>
  <c r="G293" i="2"/>
  <c r="G358" i="2"/>
  <c r="G298" i="2"/>
  <c r="G282" i="2"/>
  <c r="G283" i="2"/>
  <c r="G281" i="2"/>
  <c r="G29" i="2"/>
  <c r="G240" i="2"/>
  <c r="G44" i="2"/>
  <c r="G249" i="2"/>
  <c r="G260" i="2"/>
  <c r="G25" i="2"/>
  <c r="G225" i="2"/>
  <c r="G48" i="2"/>
  <c r="G119" i="2"/>
  <c r="G144" i="2"/>
  <c r="G69" i="2"/>
  <c r="G186" i="2"/>
  <c r="G187" i="2"/>
  <c r="G188" i="2"/>
  <c r="G189" i="2"/>
  <c r="G70" i="2"/>
  <c r="G190" i="2"/>
  <c r="G360" i="2"/>
  <c r="M330" i="2" l="1"/>
  <c r="M353" i="2"/>
  <c r="M305" i="2"/>
  <c r="M79" i="2"/>
  <c r="M78" i="2"/>
  <c r="M97" i="2"/>
  <c r="M96" i="2"/>
  <c r="M62" i="2"/>
  <c r="M124" i="2"/>
  <c r="M149" i="2"/>
  <c r="M178" i="2"/>
  <c r="M320" i="2"/>
  <c r="M338" i="2"/>
</calcChain>
</file>

<file path=xl/sharedStrings.xml><?xml version="1.0" encoding="utf-8"?>
<sst xmlns="http://schemas.openxmlformats.org/spreadsheetml/2006/main" count="2270" uniqueCount="384">
  <si>
    <t>provincia</t>
  </si>
  <si>
    <t>fecha_inicio</t>
  </si>
  <si>
    <t>fecha_fin</t>
  </si>
  <si>
    <t>cod_gen</t>
  </si>
  <si>
    <t>cod_con</t>
  </si>
  <si>
    <t>medida_concreta</t>
  </si>
  <si>
    <t>valor</t>
  </si>
  <si>
    <t>unidad de medida</t>
  </si>
  <si>
    <t>fecha_publicacion_oficial</t>
  </si>
  <si>
    <t>ambito</t>
  </si>
  <si>
    <t>comunidad_autonoma</t>
  </si>
  <si>
    <t>medida_generica</t>
  </si>
  <si>
    <t>desde</t>
  </si>
  <si>
    <t>hasta</t>
  </si>
  <si>
    <t>responsable</t>
  </si>
  <si>
    <t>% afectado (si subprovincial; mín 25%)</t>
  </si>
  <si>
    <t>nivel_educacion</t>
  </si>
  <si>
    <t>ON.4</t>
  </si>
  <si>
    <t>MH.2</t>
  </si>
  <si>
    <t>GE.4</t>
  </si>
  <si>
    <t>GE.1</t>
  </si>
  <si>
    <t>GE.2</t>
  </si>
  <si>
    <t>GE.3</t>
  </si>
  <si>
    <t>CE.3</t>
  </si>
  <si>
    <t>CE.4</t>
  </si>
  <si>
    <t>CE.2</t>
  </si>
  <si>
    <t>CE.5</t>
  </si>
  <si>
    <t>CE.6</t>
  </si>
  <si>
    <t>CO.8</t>
  </si>
  <si>
    <t>CO.10</t>
  </si>
  <si>
    <t>ED.4</t>
  </si>
  <si>
    <t>RH.9</t>
  </si>
  <si>
    <t>RH.10</t>
  </si>
  <si>
    <t>RH.11</t>
  </si>
  <si>
    <t>ON.9</t>
  </si>
  <si>
    <t>ON.3</t>
  </si>
  <si>
    <t>ON.5</t>
  </si>
  <si>
    <t>ON.6</t>
  </si>
  <si>
    <t>AL.4</t>
  </si>
  <si>
    <t>AL.8</t>
  </si>
  <si>
    <t>AL.2</t>
  </si>
  <si>
    <t>CD.6</t>
  </si>
  <si>
    <t>CD.9</t>
  </si>
  <si>
    <t>CD.12</t>
  </si>
  <si>
    <t>AF.12</t>
  </si>
  <si>
    <t>AF.7</t>
  </si>
  <si>
    <t>AF.5</t>
  </si>
  <si>
    <t>AF.15</t>
  </si>
  <si>
    <t>AF.16</t>
  </si>
  <si>
    <t>AF.6</t>
  </si>
  <si>
    <t>AF.19</t>
  </si>
  <si>
    <t>AF.23</t>
  </si>
  <si>
    <t>PA.2</t>
  </si>
  <si>
    <t>CD.15</t>
  </si>
  <si>
    <t>CD.14</t>
  </si>
  <si>
    <t>LA.3</t>
  </si>
  <si>
    <t>TR.5</t>
  </si>
  <si>
    <t>TR.7</t>
  </si>
  <si>
    <t>TP.4</t>
  </si>
  <si>
    <t>RS.1</t>
  </si>
  <si>
    <t>Media genérica</t>
  </si>
  <si>
    <t>Media concreta</t>
  </si>
  <si>
    <t>Código medida genérica</t>
  </si>
  <si>
    <t>Código medida concreta</t>
  </si>
  <si>
    <t>Deporte y actividad física</t>
  </si>
  <si>
    <t>Cierre de instalaciones y centros deportivos en general</t>
  </si>
  <si>
    <t>AF</t>
  </si>
  <si>
    <t>AF.1</t>
  </si>
  <si>
    <t>Cierre de instalaciones y centros deportivos en zonas interiores (manteniéndose las exteriores)</t>
  </si>
  <si>
    <t>AF.2</t>
  </si>
  <si>
    <t>Cancelación de eventos deportivos salvo sin público / a puerta cerrada</t>
  </si>
  <si>
    <t>AF.3</t>
  </si>
  <si>
    <t>Cancelación / prohibición de actividades deportivas grupales con contacto físico</t>
  </si>
  <si>
    <t>AF.4</t>
  </si>
  <si>
    <t>Limitación de aforo ZONAS INTERIORES de instalaciones y centros deportivos (fuera del ámbito regulado por el Consejo Superior de Deportes)</t>
  </si>
  <si>
    <t>Limitación de aforo ZONAS EXTERIORES de instalaciones y centros deportivos (fuera del ámbito regulado por el Consejo Superior de Deportes)</t>
  </si>
  <si>
    <t>Limitaciones a la actividad fisica grupal en exteriores</t>
  </si>
  <si>
    <t>Cierre de piscinas deportivas</t>
  </si>
  <si>
    <t>AF.8</t>
  </si>
  <si>
    <t>Limitación de aforo piscinas deportivas</t>
  </si>
  <si>
    <t>AF.9</t>
  </si>
  <si>
    <t>Cierre total de estaciones de esquí</t>
  </si>
  <si>
    <t>AF.10</t>
  </si>
  <si>
    <t>Limitación de aforo en estaciones de esquí</t>
  </si>
  <si>
    <t>AF.11</t>
  </si>
  <si>
    <t>Limitaciones a la actividad fisica grupal en interiores</t>
  </si>
  <si>
    <t>Prohibición de asistencia de público en eventos deportivos en exteriores</t>
  </si>
  <si>
    <t>AF.13</t>
  </si>
  <si>
    <t>Prohibición de asistencia de público en eventos deportivos en interiores</t>
  </si>
  <si>
    <t>AF.14</t>
  </si>
  <si>
    <t>Aforo de asistencia de público en eventos deportivos en exteriores</t>
  </si>
  <si>
    <t>Aforo de asistencia de público en eventos deportivos en interiores</t>
  </si>
  <si>
    <t>Limitaciones en actividades deportivas grupales con contacto físico (por ejemplo, en número de personas)</t>
  </si>
  <si>
    <t>AF.17</t>
  </si>
  <si>
    <t>Cierre de piscinas de recreo (por restricciones, no por fin de temporada)</t>
  </si>
  <si>
    <t>AF.18</t>
  </si>
  <si>
    <t xml:space="preserve">Limitación de aforo piscinas de recreo </t>
  </si>
  <si>
    <t>Aforo  ecoturismo</t>
  </si>
  <si>
    <t>AF.20</t>
  </si>
  <si>
    <t>Cierre  ecoturismo</t>
  </si>
  <si>
    <t>AF.21</t>
  </si>
  <si>
    <t>Cierre de playas (por restricciones, no por fin de temporada)</t>
  </si>
  <si>
    <t>AF.22</t>
  </si>
  <si>
    <t xml:space="preserve">Limitación de aforo de playas </t>
  </si>
  <si>
    <t>Alojamientos (hoteles, albergues)</t>
  </si>
  <si>
    <t>Cierre total de alojamientos turísticos</t>
  </si>
  <si>
    <t>AL</t>
  </si>
  <si>
    <t>AL.1</t>
  </si>
  <si>
    <t>Limitación de aforo de alojamientos turísticos</t>
  </si>
  <si>
    <t xml:space="preserve">Cierre de espacios comunes de alojamientos como hoteles </t>
  </si>
  <si>
    <t>AL.3</t>
  </si>
  <si>
    <t>Aforo en espacios comunes de alojamientos como hoteles</t>
  </si>
  <si>
    <t>Cierre de espacios comunes en residencias de estudiantes</t>
  </si>
  <si>
    <t>AL.5</t>
  </si>
  <si>
    <t>Aforo en espacios comunes en residencias de estudiantes</t>
  </si>
  <si>
    <t>AL.6</t>
  </si>
  <si>
    <t>Cierre de espacios comunes de alojamientos como albergues</t>
  </si>
  <si>
    <t>AL.7</t>
  </si>
  <si>
    <t>Aforo en espacios comunes de alojamientos como albergues</t>
  </si>
  <si>
    <t>Cultura y eventos (exc. deportivos)</t>
  </si>
  <si>
    <t>Cierre de bibliotecas, museos y monumentos en general</t>
  </si>
  <si>
    <t>CD</t>
  </si>
  <si>
    <t>CD.1</t>
  </si>
  <si>
    <t>Cierre de bibliotecas, museos y monumentos en interiores, permaneciendo abiertos los monumentos exteriores</t>
  </si>
  <si>
    <t>CD.2</t>
  </si>
  <si>
    <t xml:space="preserve">Cierre de cines, teatros, auditorios, circos de carpa y espacios similares, así como locales y establecimientos destinados a actos y espectáculos culturales </t>
  </si>
  <si>
    <t>CD.3</t>
  </si>
  <si>
    <t>Cierre de actos y espectáculos culturales en locales interiores, permitiéndose los exteriores</t>
  </si>
  <si>
    <t>CD.4</t>
  </si>
  <si>
    <t>Cierre de salas multiusos</t>
  </si>
  <si>
    <t>CD.5</t>
  </si>
  <si>
    <t>Limitación de aforo en bilbiotecas, museos y monumentos en general</t>
  </si>
  <si>
    <t>Limitación de aforo en bilbiotecas, museos y monumentos en espacios interiores (si diferente de los exteriores)</t>
  </si>
  <si>
    <t>CD.7</t>
  </si>
  <si>
    <t>Limitación de aforo museos y monumentos en exteriores (si diferente de los interiores)</t>
  </si>
  <si>
    <t>CD.8</t>
  </si>
  <si>
    <t>Limitación de aforo en cines, teatros, auditorios, circos de carpa y espacios similares, así como locales y establecimientos destinados a actos y espectáculos culturales en interior</t>
  </si>
  <si>
    <t>Limitación de aforo en actos y espectáculos culturales en exteriores</t>
  </si>
  <si>
    <t>CD.10</t>
  </si>
  <si>
    <t>Limitación de aforo en salas multiusos</t>
  </si>
  <si>
    <t>CD.11</t>
  </si>
  <si>
    <t>Prohibición de eventos a partir de cierto número de asistentes</t>
  </si>
  <si>
    <t>Necesidad de autorizacion previa para eventos a partir de cierto número de asistentes</t>
  </si>
  <si>
    <t>CD.13</t>
  </si>
  <si>
    <t>Aforo en festejos taurinos</t>
  </si>
  <si>
    <t>Aforo de zoos y parques de atracciones</t>
  </si>
  <si>
    <t>Cierre de zoos y parques de atracciones</t>
  </si>
  <si>
    <t>CD.16</t>
  </si>
  <si>
    <t>Prohibición de festejos taurinos</t>
  </si>
  <si>
    <t>CD.17</t>
  </si>
  <si>
    <t>Ceremonias religiosas</t>
  </si>
  <si>
    <t>CE</t>
  </si>
  <si>
    <t>Aforo en lugares de culto</t>
  </si>
  <si>
    <t>Aforo velatorios, entierros y ceremonias fúnebres en espacios interiores</t>
  </si>
  <si>
    <t>Aforo en velatorios, entierros y ceremonias fúnebres en espacios exteriores</t>
  </si>
  <si>
    <t>Aforo en otras ceremonias (bodas, bautizos) en espacios interiores</t>
  </si>
  <si>
    <t>Aforo en otras ceremonias (bodas, bautizos) en espacios exteriores</t>
  </si>
  <si>
    <t>Prohibición de coros</t>
  </si>
  <si>
    <t>CE.7</t>
  </si>
  <si>
    <t>Aforo de coros</t>
  </si>
  <si>
    <t>CE.8</t>
  </si>
  <si>
    <t>Comercio</t>
  </si>
  <si>
    <t>Cierre de todo el comercio no esencial</t>
  </si>
  <si>
    <t>CO</t>
  </si>
  <si>
    <t>CO.1</t>
  </si>
  <si>
    <t>Cierre de espacios comerciales según tamaño (p.e. de más de 400 m2)</t>
  </si>
  <si>
    <t>CO.2</t>
  </si>
  <si>
    <t xml:space="preserve">Cierre de actividades comerciales que implican contacto físico con el cliente (permitiendo o no alguna excepción) </t>
  </si>
  <si>
    <t>CO.3</t>
  </si>
  <si>
    <t>Cierre total de centros comerciales</t>
  </si>
  <si>
    <t>CO.4</t>
  </si>
  <si>
    <t>Cierre de zonas comunes dentro de los centros comerciales</t>
  </si>
  <si>
    <t>CO.5</t>
  </si>
  <si>
    <t>Cierre de mercadillos y/o mercados al aire libre</t>
  </si>
  <si>
    <t>CO.6</t>
  </si>
  <si>
    <t>Limitación de horario comercio no esencial</t>
  </si>
  <si>
    <t>CO.7</t>
  </si>
  <si>
    <t>Aforo de locales comerciales en general</t>
  </si>
  <si>
    <t>Aforo de centros comerciales (si diferente al de locales comerciales en general)</t>
  </si>
  <si>
    <t>CO.9</t>
  </si>
  <si>
    <t>Aforo de mercadillos  y/o mercados al aire libre</t>
  </si>
  <si>
    <t>Ampliación de los días y/o horarios de apertura de comercios</t>
  </si>
  <si>
    <t>CO.11</t>
  </si>
  <si>
    <t>Centros recreativos</t>
  </si>
  <si>
    <t xml:space="preserve">Cierre de centros recreativos de mayores (hogares del jubilado) </t>
  </si>
  <si>
    <t>CR</t>
  </si>
  <si>
    <t>CR.1</t>
  </si>
  <si>
    <t xml:space="preserve">Limitación de aforo de centros recreativos de mayores (hogares del jubilado) </t>
  </si>
  <si>
    <t>CR.2</t>
  </si>
  <si>
    <t>Cierre de centros recreativos de jóvenes (ludotecas, centros de ocio juvenil…)</t>
  </si>
  <si>
    <t>CR.3</t>
  </si>
  <si>
    <t>Limitación de aforo de centros recreativos de jóvenes (ludotecas, centros de ocio juvenil…)</t>
  </si>
  <si>
    <t>CR.4</t>
  </si>
  <si>
    <t>Centros sociosanitarios</t>
  </si>
  <si>
    <t>Prohibicion de salidas de residentes</t>
  </si>
  <si>
    <t>CS</t>
  </si>
  <si>
    <t>CS.1</t>
  </si>
  <si>
    <t xml:space="preserve">Limitación de salidas de residentes </t>
  </si>
  <si>
    <t>CS.2</t>
  </si>
  <si>
    <t>Limitación de visitas</t>
  </si>
  <si>
    <t>CS.3</t>
  </si>
  <si>
    <t>Cierre de centros de día sociosanitarios</t>
  </si>
  <si>
    <t>CS.4</t>
  </si>
  <si>
    <t>Limiraciones de aforo en centros de día sociosanitarios</t>
  </si>
  <si>
    <t>CS.5</t>
  </si>
  <si>
    <t>Cribado de nuevos ingresos de residentes</t>
  </si>
  <si>
    <t>CS.6</t>
  </si>
  <si>
    <t>Cribado de trabajadores nuevos o a la vuelta de permisos o vacaciones</t>
  </si>
  <si>
    <t>CS.7</t>
  </si>
  <si>
    <t>Cribados periódicos de residentes</t>
  </si>
  <si>
    <t>CS.8</t>
  </si>
  <si>
    <t>Cribados perioódicos de trabajadores</t>
  </si>
  <si>
    <t>CS.9</t>
  </si>
  <si>
    <t>Educación</t>
  </si>
  <si>
    <t>Cierre de centros educativos (por restricciones o vacaciones)</t>
  </si>
  <si>
    <t>ED</t>
  </si>
  <si>
    <t>ED.1</t>
  </si>
  <si>
    <t>Cierre de academias, autoescuelas y otros centros de formación no reglada (incluidas actividades promovidas por las administraciones locales)</t>
  </si>
  <si>
    <t>ED.3</t>
  </si>
  <si>
    <t>Limitación de aforo de academias, autoescuelas y otros centros de formación no reglada (incluidas actividades promovidas por las administraciones locales)</t>
  </si>
  <si>
    <t>Suspensión de clases presenciales</t>
  </si>
  <si>
    <t>ED.5</t>
  </si>
  <si>
    <t>Locales de apuestas</t>
  </si>
  <si>
    <t>Cierre total delocales de apuestas, bingos etc.</t>
  </si>
  <si>
    <t>LA</t>
  </si>
  <si>
    <t>LA.1</t>
  </si>
  <si>
    <t>Limitación de horario en locles de apuestas, bingos etc.</t>
  </si>
  <si>
    <t>LA.2</t>
  </si>
  <si>
    <t>Aforo en locales de apuestas, bingos etc.</t>
  </si>
  <si>
    <t>Medidas de higiene</t>
  </si>
  <si>
    <t>Mascarilla obligatoria cuando no se cumpla la distancia física</t>
  </si>
  <si>
    <t>MH</t>
  </si>
  <si>
    <t>MH.1</t>
  </si>
  <si>
    <t>Mascarilla obligatoria incluso con distancia física  (con excepciones)</t>
  </si>
  <si>
    <t>Movilidad</t>
  </si>
  <si>
    <t>Confinamiento domiciliario obligatorio</t>
  </si>
  <si>
    <t>MV</t>
  </si>
  <si>
    <t>MV.1</t>
  </si>
  <si>
    <t>Recomendación de permanecer en el domicilio</t>
  </si>
  <si>
    <t>MV.2</t>
  </si>
  <si>
    <t>Limitación de la movilidad nocturna (toque de queda)</t>
  </si>
  <si>
    <t>MV.3</t>
  </si>
  <si>
    <t>Cierre perimetral de entrada y/o salida</t>
  </si>
  <si>
    <t>MV.4</t>
  </si>
  <si>
    <t>Horario preferente paseo personas mayores</t>
  </si>
  <si>
    <t>MV.5</t>
  </si>
  <si>
    <t>Segmentación de la población (p.e. horarios de paseo diferenciados por edades, no solo de mayores)</t>
  </si>
  <si>
    <t>MV.6</t>
  </si>
  <si>
    <t>Ocio nocturno</t>
  </si>
  <si>
    <t>Cierre total del ocio nocturno</t>
  </si>
  <si>
    <t>ON</t>
  </si>
  <si>
    <t>ON.1</t>
  </si>
  <si>
    <t>Cierre del ocio nocturno en locales interiores (permitiendo los exteriores)</t>
  </si>
  <si>
    <t>ON.2</t>
  </si>
  <si>
    <t>Prohibición de pistas de baile (permite uso para estar sentados en mesas)</t>
  </si>
  <si>
    <t>Aforo en locales de ocio nocturno en general</t>
  </si>
  <si>
    <t>Aforo en locales de ocio nocturno en interiores (si diferente de los exteriores)</t>
  </si>
  <si>
    <t>Aforo en locales de ocio nocturno en exteriores (si diferente de los interiores)</t>
  </si>
  <si>
    <t>ON.7</t>
  </si>
  <si>
    <t>Prohibición de consumo en barra</t>
  </si>
  <si>
    <t>Limitación de horario en el ocio nocturno (número de horas hasta un hipotético cierre a las 3:00 am)</t>
  </si>
  <si>
    <t>ON.8</t>
  </si>
  <si>
    <t>Parques</t>
  </si>
  <si>
    <t>Cierre de parques y jardines</t>
  </si>
  <si>
    <t>PA</t>
  </si>
  <si>
    <t>PA.1</t>
  </si>
  <si>
    <t>Cierre de zonas infantiles</t>
  </si>
  <si>
    <t>Limitación de horario en parques y jardines</t>
  </si>
  <si>
    <t>PA.3</t>
  </si>
  <si>
    <t>Restauración, hostelería y bares</t>
  </si>
  <si>
    <t>Cierre general de restaurantes y bares (SIN permitir servicio para llevar)</t>
  </si>
  <si>
    <t>RH</t>
  </si>
  <si>
    <t>RH.1</t>
  </si>
  <si>
    <t>Cierre general de restaurantes y bares (permitiendo servicio para llevar/consumo en domicilio)</t>
  </si>
  <si>
    <t>RH.2</t>
  </si>
  <si>
    <t xml:space="preserve">Cierre únicamente de zonas interiores de restaurantes y bares </t>
  </si>
  <si>
    <t>RH.3</t>
  </si>
  <si>
    <t>RH.4</t>
  </si>
  <si>
    <t>Limitación de horario en restaurantes y bares</t>
  </si>
  <si>
    <t>RH.5</t>
  </si>
  <si>
    <t>Aforo en terrazas al aire libre</t>
  </si>
  <si>
    <t>RH.6</t>
  </si>
  <si>
    <t>Aforo en zona interiores</t>
  </si>
  <si>
    <t>RH.7</t>
  </si>
  <si>
    <t>Aforo en barra</t>
  </si>
  <si>
    <t>RH.8</t>
  </si>
  <si>
    <t>Ocupación máxima personas por mesa  en general</t>
  </si>
  <si>
    <t>Ocupación máxima personas por mesa  en exteriores (si diferente de interiores)</t>
  </si>
  <si>
    <t>Ocupación máxima personas por mesa  en interiores (si diferente de exteriores)</t>
  </si>
  <si>
    <t>Prohibición de fumar en terrazas</t>
  </si>
  <si>
    <t>RH.12</t>
  </si>
  <si>
    <t>Relaciones sociales</t>
  </si>
  <si>
    <t>Limitación al número de personas que se pueden reunir en cualquier circunstancia (con excepciones como convivientes, transporte público, contexto laboral o similares)</t>
  </si>
  <si>
    <t>RS</t>
  </si>
  <si>
    <t>Limitación al número de personas en reuniones solo en lugares públicos (tanto interiores como exteriores)</t>
  </si>
  <si>
    <t>RS.2</t>
  </si>
  <si>
    <t>Limitación al número de personas en reuniones solo en lugares públicos interiores</t>
  </si>
  <si>
    <t>RS.3</t>
  </si>
  <si>
    <t>Prohibición fumar en vía pública &lt; 2 metros</t>
  </si>
  <si>
    <t>RS.4</t>
  </si>
  <si>
    <t>Prohibicion de comer en vía publica</t>
  </si>
  <si>
    <t>RS.5</t>
  </si>
  <si>
    <t>Prohibición consumo alcohol en vía pública</t>
  </si>
  <si>
    <t>RS.6</t>
  </si>
  <si>
    <t>Recomendación sbre el número de personas que se pueden reunir en cualquier circunstancia (con excepciones como convivientes, transporte público, contexto laboral o similares)</t>
  </si>
  <si>
    <t>RS.7</t>
  </si>
  <si>
    <t>Limitación de encuentros fuera del grupo de convivencia habitual (por ejemplo, durante un horario limitado, en cuyo caso, consignar horas)</t>
  </si>
  <si>
    <t>RS.8</t>
  </si>
  <si>
    <t>Recomendación de reducir encuentros fuera del grupo de convivencia habitual</t>
  </si>
  <si>
    <t>RS.9</t>
  </si>
  <si>
    <t>Transporte público</t>
  </si>
  <si>
    <t>Limitacion de aforo en transporte público</t>
  </si>
  <si>
    <t>TP</t>
  </si>
  <si>
    <t>TP.1</t>
  </si>
  <si>
    <t>Obligacion de uso de mascarillas</t>
  </si>
  <si>
    <t>TP.2</t>
  </si>
  <si>
    <t>Prohibición consumo alimentos/bebidas</t>
  </si>
  <si>
    <t>TP.3</t>
  </si>
  <si>
    <t>Aumento de la frecuencia de transporte público</t>
  </si>
  <si>
    <t>Trabajo</t>
  </si>
  <si>
    <t>Cierre de centros de trabajos no esenciales</t>
  </si>
  <si>
    <t>TR</t>
  </si>
  <si>
    <t>TR.1</t>
  </si>
  <si>
    <t>Obligación de teletrabajar para los empleos en los que sea posible</t>
  </si>
  <si>
    <t>TR.2</t>
  </si>
  <si>
    <t>Promoción del teletrabajo</t>
  </si>
  <si>
    <t>TR.3</t>
  </si>
  <si>
    <t>Suspensión de eventos profesionales (congresos, encuentros, etc.) en espacios abiertos</t>
  </si>
  <si>
    <t>TR.4</t>
  </si>
  <si>
    <t>Aforo en eventos profesionales (congresos, encuentros, etc.) en espacios abiertos</t>
  </si>
  <si>
    <t>Suspensión de eventos profesionales (congresos, encuentros, etc.) en espacios cerrados</t>
  </si>
  <si>
    <t>TR.6</t>
  </si>
  <si>
    <t>Aforo en eventos profesionales (congresos, encuentros, etc.) en espacios cerrados</t>
  </si>
  <si>
    <t>Suspensión de eventos profesionales (congresos, encuentros, etc.) en espacios abiertos y cerrados</t>
  </si>
  <si>
    <t>TR.8</t>
  </si>
  <si>
    <t>Aforo en eventos profesionales (congresos, encuentros, etc.) en espacios abiertos y cerrados</t>
  </si>
  <si>
    <t>TR.9</t>
  </si>
  <si>
    <t>General</t>
  </si>
  <si>
    <t>Aforo en TODOS los espacios CERRADOS (establecimientos, locales de negocio, instalaciones, espacios de uso público)</t>
  </si>
  <si>
    <t>GE</t>
  </si>
  <si>
    <t>Aforo en TODOS los espacios ABIERTOS (establecimientos, locales de negocio, instalaciones, espacios de uso público)</t>
  </si>
  <si>
    <t>Aforo en actividades grupales en TODOS los ámbitos</t>
  </si>
  <si>
    <t>aseos, vestuarios, probadores, salas de lactancia o similares</t>
  </si>
  <si>
    <t>ON.10</t>
  </si>
  <si>
    <t>Ocupación de personas máxima por mesa</t>
  </si>
  <si>
    <t>autonómico</t>
  </si>
  <si>
    <t>Aragón</t>
  </si>
  <si>
    <t>porcentaje</t>
  </si>
  <si>
    <t>universidad</t>
  </si>
  <si>
    <t>bachillerato</t>
  </si>
  <si>
    <t>secundaria</t>
  </si>
  <si>
    <t>primaria</t>
  </si>
  <si>
    <t>infantil2</t>
  </si>
  <si>
    <t>infantil1</t>
  </si>
  <si>
    <t>personas</t>
  </si>
  <si>
    <t>subprovincial</t>
  </si>
  <si>
    <t>Huesca</t>
  </si>
  <si>
    <t>metros</t>
  </si>
  <si>
    <t>Zaragoza</t>
  </si>
  <si>
    <t>hora</t>
  </si>
  <si>
    <t>pendiente de prórroga</t>
  </si>
  <si>
    <t>Teruel</t>
  </si>
  <si>
    <t>provincial</t>
  </si>
  <si>
    <t>23:00 - 6:00</t>
  </si>
  <si>
    <t>PENDIENTES DE PRÓRROGA</t>
  </si>
  <si>
    <t>Susana Monge</t>
  </si>
  <si>
    <t>hora (en formato 24h)</t>
  </si>
  <si>
    <t>actualizado a fecha</t>
  </si>
  <si>
    <t>https://www.aragon.es/coronavirus/normativa</t>
  </si>
  <si>
    <t>prórroga estado de alarma (incluye paquete medidas previas)</t>
  </si>
  <si>
    <t>MV.7</t>
  </si>
  <si>
    <t>Restriccion de movilidad interna en el territorio (en niveles inferiores al nivel territorial al que se aplica)</t>
  </si>
  <si>
    <t>Suspensión de fiestas locales y verbenas</t>
  </si>
  <si>
    <t>PA.4</t>
  </si>
  <si>
    <t>Limitación de AFORO en parques y jardines</t>
  </si>
  <si>
    <t>CE.9</t>
  </si>
  <si>
    <t>Prohibición, restricción solo a convivientes o restricción equivalente en velatorios, entierros y ceremonias fúnebres (interior y exterior)</t>
  </si>
  <si>
    <t>CE.10</t>
  </si>
  <si>
    <t>Prohibición, restricción solo a convivientes o restricción equivalente en otras ceremonias como bodas y bautizos (interior y exterior)</t>
  </si>
  <si>
    <t>CS.11</t>
  </si>
  <si>
    <t>Prohibición de visitas</t>
  </si>
  <si>
    <t>22:00 - 6:00</t>
  </si>
  <si>
    <t>hora (en formato 24h).viernes,sabado domingo y festivos</t>
  </si>
  <si>
    <t>Francisco Arenal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</si>
</sst>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20"/>
      <color rgb="FF000000"/>
      <name val="Calibri"/>
      <family val="2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Font="1"/>
    <xf numFmtId="0" fontId="0" fillId="0" borderId="0" xfId="0" applyFont="1" applyAlignment="1">
      <alignment horizontal="center"/>
    </xf>
    <xf numFmtId="0" fontId="0" fillId="2" borderId="0" xfId="0" applyFill="1"/>
    <xf numFmtId="0" fontId="0" fillId="3" borderId="0" xfId="0" applyFill="1"/>
    <xf numFmtId="0" fontId="0" fillId="0" borderId="0" xfId="0" applyNumberFormat="1" applyFont="1"/>
    <xf numFmtId="0" fontId="0" fillId="0" borderId="0" xfId="0" applyNumberFormat="1"/>
    <xf numFmtId="14" fontId="0" fillId="0" borderId="0" xfId="0" applyNumberFormat="1" applyFont="1"/>
    <xf numFmtId="14" fontId="0" fillId="0" borderId="0" xfId="0" applyNumberFormat="1"/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NumberFormat="1" applyFont="1"/>
    <xf numFmtId="14" fontId="0" fillId="0" borderId="0" xfId="0" applyNumberFormat="1" applyFont="1" applyAlignment="1">
      <alignment horizontal="center"/>
    </xf>
    <xf numFmtId="14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ont="1" applyFill="1"/>
    <xf numFmtId="14" fontId="0" fillId="0" borderId="0" xfId="0" applyNumberFormat="1" applyFont="1" applyFill="1"/>
    <xf numFmtId="0" fontId="0" fillId="0" borderId="0" xfId="0" applyNumberFormat="1" applyFont="1" applyFill="1"/>
    <xf numFmtId="0" fontId="0" fillId="0" borderId="0" xfId="0" applyFill="1" applyAlignment="1">
      <alignment horizontal="center"/>
    </xf>
    <xf numFmtId="0" fontId="0" fillId="0" borderId="0" xfId="0" applyFont="1" applyFill="1" applyAlignment="1">
      <alignment horizontal="center"/>
    </xf>
    <xf numFmtId="20" fontId="0" fillId="0" borderId="0" xfId="0" applyNumberFormat="1" applyFont="1" applyFill="1"/>
    <xf numFmtId="14" fontId="0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0" fillId="0" borderId="0" xfId="0" applyFill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NumberFormat="1" applyFont="1"/>
    <xf numFmtId="0" fontId="3" fillId="0" borderId="0" xfId="0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NumberFormat="1" applyFont="1"/>
    <xf numFmtId="14" fontId="5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6" fillId="0" borderId="0" xfId="0" applyFont="1"/>
    <xf numFmtId="0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0" xfId="0" applyNumberFormat="1" applyFont="1" applyFill="1"/>
    <xf numFmtId="0" fontId="5" fillId="0" borderId="0" xfId="0" applyFont="1"/>
    <xf numFmtId="14" fontId="5" fillId="0" borderId="0" xfId="0" applyNumberFormat="1" applyFont="1"/>
    <xf numFmtId="0" fontId="5" fillId="0" borderId="0" xfId="0" applyNumberFormat="1" applyFont="1"/>
    <xf numFmtId="0" fontId="5" fillId="0" borderId="0" xfId="0" applyFont="1" applyAlignment="1">
      <alignment horizontal="center"/>
    </xf>
    <xf numFmtId="0" fontId="4" fillId="0" borderId="0" xfId="0" applyNumberFormat="1" applyFont="1"/>
    <xf numFmtId="0" fontId="4" fillId="0" borderId="0" xfId="0" applyFont="1"/>
    <xf numFmtId="0" fontId="4" fillId="4" borderId="0" xfId="0" applyNumberFormat="1" applyFont="1" applyFill="1"/>
    <xf numFmtId="0" fontId="5" fillId="4" borderId="0" xfId="0" applyFont="1" applyFill="1"/>
    <xf numFmtId="20" fontId="5" fillId="4" borderId="0" xfId="0" applyNumberFormat="1" applyFont="1" applyFill="1"/>
    <xf numFmtId="0" fontId="5" fillId="4" borderId="0" xfId="0" applyNumberFormat="1" applyFont="1" applyFill="1"/>
    <xf numFmtId="14" fontId="7" fillId="0" borderId="0" xfId="0" applyNumberFormat="1" applyFont="1" applyAlignment="1">
      <alignment horizontal="center"/>
    </xf>
    <xf numFmtId="14" fontId="0" fillId="5" borderId="0" xfId="0" applyNumberFormat="1" applyFont="1" applyFill="1" applyAlignment="1">
      <alignment horizontal="center"/>
    </xf>
    <xf numFmtId="0" fontId="0" fillId="5" borderId="0" xfId="0" applyFill="1" applyAlignment="1">
      <alignment horizontal="center"/>
    </xf>
    <xf numFmtId="0" fontId="8" fillId="0" borderId="0" xfId="0" applyFont="1"/>
    <xf numFmtId="14" fontId="8" fillId="0" borderId="0" xfId="0" applyNumberFormat="1" applyFont="1"/>
    <xf numFmtId="14" fontId="8" fillId="0" borderId="0" xfId="0" applyNumberFormat="1" applyFont="1" applyAlignment="1">
      <alignment horizontal="center"/>
    </xf>
    <xf numFmtId="0" fontId="8" fillId="0" borderId="0" xfId="0" applyNumberFormat="1" applyFont="1"/>
    <xf numFmtId="0" fontId="8" fillId="0" borderId="0" xfId="0" applyFont="1" applyAlignment="1">
      <alignment horizontal="center"/>
    </xf>
    <xf numFmtId="0" fontId="8" fillId="4" borderId="0" xfId="0" applyFont="1" applyFill="1"/>
    <xf numFmtId="20" fontId="8" fillId="4" borderId="0" xfId="0" applyNumberFormat="1" applyFont="1" applyFill="1"/>
    <xf numFmtId="0" fontId="9" fillId="0" borderId="0" xfId="0" applyFont="1"/>
    <xf numFmtId="0" fontId="9" fillId="0" borderId="0" xfId="0" applyNumberFormat="1" applyFont="1"/>
    <xf numFmtId="0" fontId="9" fillId="0" borderId="0" xfId="0" applyFont="1" applyAlignment="1">
      <alignment horizontal="center"/>
    </xf>
    <xf numFmtId="0" fontId="9" fillId="4" borderId="0" xfId="0" applyFont="1" applyFill="1"/>
    <xf numFmtId="14" fontId="7" fillId="0" borderId="0" xfId="0" applyNumberFormat="1" applyFont="1" applyFill="1" applyAlignment="1">
      <alignment horizontal="center"/>
    </xf>
    <xf numFmtId="14" fontId="0" fillId="6" borderId="0" xfId="0" applyNumberFormat="1" applyFont="1" applyFill="1" applyAlignment="1">
      <alignment horizontal="center"/>
    </xf>
    <xf numFmtId="14" fontId="0" fillId="6" borderId="0" xfId="0" applyNumberFormat="1" applyFill="1" applyAlignment="1">
      <alignment horizontal="center"/>
    </xf>
    <xf numFmtId="0" fontId="0" fillId="4" borderId="0" xfId="0" applyFill="1"/>
    <xf numFmtId="14" fontId="0" fillId="4" borderId="0" xfId="0" applyNumberFormat="1" applyFill="1"/>
    <xf numFmtId="0" fontId="3" fillId="0" borderId="0" xfId="0" applyFont="1" applyAlignment="1">
      <alignment horizontal="left" vertical="top" wrapText="1"/>
    </xf>
    <xf numFmtId="0" fontId="0" fillId="0" borderId="0" xfId="0" applyFont="1" applyAlignment="1">
      <alignment vertical="center"/>
    </xf>
    <xf numFmtId="14" fontId="11" fillId="0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184150</xdr:colOff>
          <xdr:row>3</xdr:row>
          <xdr:rowOff>165100</xdr:rowOff>
        </xdr:from>
        <xdr:to>
          <xdr:col>5</xdr:col>
          <xdr:colOff>609600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aquí para acceder al FORMULARIO para introducir MEDIDAS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4:F12"/>
  <sheetViews>
    <sheetView workbookViewId="0">
      <selection activeCell="F13" sqref="F13"/>
    </sheetView>
  </sheetViews>
  <sheetFormatPr baseColWidth="10" defaultColWidth="11.453125" defaultRowHeight="14.5" x14ac:dyDescent="0.35"/>
  <cols>
    <col min="1" max="16384" width="11.453125" style="3"/>
  </cols>
  <sheetData>
    <row r="4" spans="2:6" x14ac:dyDescent="0.35">
      <c r="B4" s="4"/>
      <c r="C4" s="4"/>
      <c r="D4" s="4"/>
      <c r="E4" s="4"/>
      <c r="F4" s="4"/>
    </row>
    <row r="5" spans="2:6" x14ac:dyDescent="0.35">
      <c r="B5" s="4"/>
      <c r="C5" s="4"/>
      <c r="D5" s="4"/>
      <c r="E5" s="4"/>
      <c r="F5" s="4"/>
    </row>
    <row r="6" spans="2:6" x14ac:dyDescent="0.35">
      <c r="B6" s="4"/>
      <c r="C6" s="4"/>
      <c r="D6" s="4"/>
      <c r="E6" s="4"/>
      <c r="F6" s="4"/>
    </row>
    <row r="7" spans="2:6" x14ac:dyDescent="0.35">
      <c r="B7" s="4"/>
      <c r="C7" s="4"/>
      <c r="D7" s="4"/>
      <c r="E7" s="4"/>
      <c r="F7" s="4"/>
    </row>
    <row r="8" spans="2:6" x14ac:dyDescent="0.35">
      <c r="B8" s="4"/>
      <c r="C8" s="4"/>
      <c r="D8" s="4"/>
      <c r="E8" s="4"/>
      <c r="F8" s="4"/>
    </row>
    <row r="9" spans="2:6" x14ac:dyDescent="0.35">
      <c r="B9" s="4"/>
      <c r="C9" s="4"/>
      <c r="D9" s="4"/>
      <c r="E9" s="4"/>
      <c r="F9" s="4"/>
    </row>
    <row r="10" spans="2:6" x14ac:dyDescent="0.35">
      <c r="B10" s="4"/>
      <c r="C10" s="4"/>
      <c r="D10" s="4"/>
      <c r="E10" s="4"/>
      <c r="F10" s="4"/>
    </row>
    <row r="11" spans="2:6" x14ac:dyDescent="0.35">
      <c r="B11" s="4"/>
      <c r="C11" s="4"/>
      <c r="D11" s="4"/>
      <c r="E11" s="4"/>
      <c r="F11" s="4"/>
    </row>
    <row r="12" spans="2:6" x14ac:dyDescent="0.35">
      <c r="B12" s="4"/>
      <c r="C12" s="4"/>
      <c r="D12" s="4"/>
      <c r="E12" s="4"/>
      <c r="F12" s="4"/>
    </row>
  </sheetData>
  <sheetProtection algorithmName="SHA-512" hashValue="xbpshgR8pLsz8CToHH64X2EOR5NsnFkfRzjZVE7Ws6d7gSUMPaEnnA1FueJYEWVyaChUKZze0wYLcR1FjQ7nCA==" saltValue="CGhJOHG/Wx8zVhjkzjIvQg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lamar_formulario">
                <anchor moveWithCells="1" sizeWithCells="1">
                  <from>
                    <xdr:col>1</xdr:col>
                    <xdr:colOff>184150</xdr:colOff>
                    <xdr:row>3</xdr:row>
                    <xdr:rowOff>165100</xdr:rowOff>
                  </from>
                  <to>
                    <xdr:col>5</xdr:col>
                    <xdr:colOff>609600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1:Q366"/>
  <sheetViews>
    <sheetView zoomScale="85" zoomScaleNormal="85" workbookViewId="0">
      <selection activeCell="D277" sqref="D277"/>
    </sheetView>
  </sheetViews>
  <sheetFormatPr baseColWidth="10" defaultRowHeight="14.5" x14ac:dyDescent="0.35"/>
  <cols>
    <col min="1" max="1" width="19.453125" customWidth="1"/>
    <col min="2" max="2" width="8.7265625" customWidth="1"/>
    <col min="3" max="3" width="9.1796875" customWidth="1"/>
    <col min="4" max="4" width="10.81640625" style="17" customWidth="1"/>
    <col min="5" max="5" width="11.453125" style="17"/>
    <col min="6" max="6" width="13.90625" style="8" bestFit="1" customWidth="1"/>
    <col min="7" max="7" width="66" style="23" customWidth="1"/>
    <col min="8" max="8" width="7.6328125" style="6" customWidth="1"/>
    <col min="9" max="9" width="26.26953125" customWidth="1"/>
    <col min="10" max="10" width="12.7265625" customWidth="1"/>
    <col min="11" max="11" width="17.1796875" bestFit="1" customWidth="1"/>
  </cols>
  <sheetData>
    <row r="1" spans="1:17" s="1" customFormat="1" x14ac:dyDescent="0.35">
      <c r="A1" s="1" t="s">
        <v>9</v>
      </c>
      <c r="B1" s="1" t="s">
        <v>10</v>
      </c>
      <c r="C1" s="1" t="s">
        <v>0</v>
      </c>
      <c r="D1" s="1" t="s">
        <v>8</v>
      </c>
      <c r="E1" s="2" t="s">
        <v>1</v>
      </c>
      <c r="F1" s="2" t="s">
        <v>2</v>
      </c>
      <c r="G1" s="76" t="s">
        <v>5</v>
      </c>
      <c r="H1" s="5" t="s">
        <v>4</v>
      </c>
      <c r="I1" s="1" t="s">
        <v>11</v>
      </c>
      <c r="J1" s="1" t="s">
        <v>3</v>
      </c>
      <c r="K1" s="1" t="s">
        <v>7</v>
      </c>
      <c r="L1" s="1" t="s">
        <v>6</v>
      </c>
      <c r="M1" s="12" t="s">
        <v>15</v>
      </c>
      <c r="N1" s="2" t="s">
        <v>16</v>
      </c>
      <c r="O1" s="2"/>
      <c r="P1" s="2"/>
      <c r="Q1" s="2"/>
    </row>
    <row r="2" spans="1:17" s="13" customFormat="1" x14ac:dyDescent="0.35">
      <c r="A2" s="13" t="s">
        <v>345</v>
      </c>
      <c r="B2" s="13" t="s">
        <v>346</v>
      </c>
      <c r="D2" s="7">
        <v>44002</v>
      </c>
      <c r="E2" s="16">
        <v>44003</v>
      </c>
      <c r="F2" s="16">
        <v>44026</v>
      </c>
      <c r="G2" s="76" t="str">
        <f>VLOOKUP($H2,'NO TOCAR'!$A$2:$D$160,3,)</f>
        <v>Cancelación / prohibición de actividades deportivas grupales con contacto físico</v>
      </c>
      <c r="H2" s="6" t="s">
        <v>73</v>
      </c>
      <c r="I2" s="22" t="str">
        <f>VLOOKUP($H2,'NO TOCAR'!$A$2:$D$160,2,FALSE)</f>
        <v>Deporte y actividad física</v>
      </c>
      <c r="J2" s="22" t="str">
        <f>VLOOKUP($H2,'NO TOCAR'!$A$2:$D$160,4,FALSE)</f>
        <v>AF</v>
      </c>
      <c r="M2" s="12"/>
      <c r="N2" s="14"/>
      <c r="O2" s="14"/>
      <c r="P2" s="14"/>
      <c r="Q2" s="14"/>
    </row>
    <row r="3" spans="1:17" s="13" customFormat="1" x14ac:dyDescent="0.35">
      <c r="A3" s="13" t="s">
        <v>345</v>
      </c>
      <c r="B3" s="13" t="s">
        <v>346</v>
      </c>
      <c r="D3" s="7">
        <v>44002</v>
      </c>
      <c r="E3" s="16">
        <v>44003</v>
      </c>
      <c r="F3" s="16">
        <v>44124</v>
      </c>
      <c r="G3" s="76" t="str">
        <f>VLOOKUP($H3,'NO TOCAR'!$A$2:$D$160,3,)</f>
        <v>Aforo de asistencia de público en eventos deportivos en exteriores</v>
      </c>
      <c r="H3" s="6" t="s">
        <v>47</v>
      </c>
      <c r="I3" s="22" t="str">
        <f>VLOOKUP($H3,'NO TOCAR'!$A$2:$D$160,2,FALSE)</f>
        <v>Deporte y actividad física</v>
      </c>
      <c r="J3" s="22" t="str">
        <f>VLOOKUP($H3,'NO TOCAR'!$A$2:$D$160,4,FALSE)</f>
        <v>AF</v>
      </c>
      <c r="K3" s="13" t="s">
        <v>347</v>
      </c>
      <c r="L3" s="13">
        <v>75</v>
      </c>
      <c r="M3" s="12"/>
      <c r="N3" s="14"/>
      <c r="O3" s="14"/>
      <c r="P3" s="14"/>
      <c r="Q3" s="14"/>
    </row>
    <row r="4" spans="1:17" s="13" customFormat="1" x14ac:dyDescent="0.35">
      <c r="A4" s="13" t="s">
        <v>345</v>
      </c>
      <c r="B4" s="13" t="s">
        <v>346</v>
      </c>
      <c r="D4" s="7">
        <v>44002</v>
      </c>
      <c r="E4" s="16">
        <v>44003</v>
      </c>
      <c r="F4" s="16">
        <v>44124</v>
      </c>
      <c r="G4" s="76" t="str">
        <f>VLOOKUP($H4,'NO TOCAR'!$A$2:$D$160,3,)</f>
        <v>Aforo de asistencia de público en eventos deportivos en interiores</v>
      </c>
      <c r="H4" s="6" t="s">
        <v>48</v>
      </c>
      <c r="I4" s="22" t="str">
        <f>VLOOKUP($H4,'NO TOCAR'!$A$2:$D$160,2,FALSE)</f>
        <v>Deporte y actividad física</v>
      </c>
      <c r="J4" s="22" t="str">
        <f>VLOOKUP($H4,'NO TOCAR'!$A$2:$D$160,4,FALSE)</f>
        <v>AF</v>
      </c>
      <c r="K4" s="13" t="s">
        <v>347</v>
      </c>
      <c r="L4" s="13">
        <v>75</v>
      </c>
      <c r="M4" s="12"/>
      <c r="N4" s="14"/>
      <c r="O4" s="14"/>
      <c r="P4" s="14"/>
      <c r="Q4" s="14"/>
    </row>
    <row r="5" spans="1:17" s="13" customFormat="1" x14ac:dyDescent="0.35">
      <c r="A5" s="13" t="s">
        <v>345</v>
      </c>
      <c r="B5" s="13" t="s">
        <v>346</v>
      </c>
      <c r="D5" s="7">
        <v>44002</v>
      </c>
      <c r="E5" s="30">
        <v>44003</v>
      </c>
      <c r="F5" s="30">
        <v>44124</v>
      </c>
      <c r="G5" s="76" t="str">
        <f>VLOOKUP($H5,'NO TOCAR'!$A$2:$D$160,3,)</f>
        <v xml:space="preserve">Limitación de aforo piscinas de recreo </v>
      </c>
      <c r="H5" s="31" t="s">
        <v>50</v>
      </c>
      <c r="I5" s="22" t="str">
        <f>VLOOKUP($H5,'NO TOCAR'!$A$2:$D$160,2,FALSE)</f>
        <v>Deporte y actividad física</v>
      </c>
      <c r="J5" s="22" t="str">
        <f>VLOOKUP($H5,'NO TOCAR'!$A$2:$D$160,4,FALSE)</f>
        <v>AF</v>
      </c>
      <c r="K5" s="24" t="s">
        <v>347</v>
      </c>
      <c r="L5" s="24">
        <v>75</v>
      </c>
      <c r="M5" s="12"/>
      <c r="N5" s="14"/>
      <c r="O5" s="14"/>
      <c r="P5" s="14"/>
      <c r="Q5" s="14"/>
    </row>
    <row r="6" spans="1:17" s="13" customFormat="1" x14ac:dyDescent="0.35">
      <c r="A6" s="13" t="s">
        <v>345</v>
      </c>
      <c r="B6" s="13" t="s">
        <v>346</v>
      </c>
      <c r="D6" s="7">
        <v>44002</v>
      </c>
      <c r="E6" s="30">
        <v>44003</v>
      </c>
      <c r="F6" s="30">
        <v>44124</v>
      </c>
      <c r="G6" s="76" t="str">
        <f>VLOOKUP($H6,'NO TOCAR'!$A$2:$D$160,3,)</f>
        <v>Limitación de aforo piscinas deportivas</v>
      </c>
      <c r="H6" s="31" t="s">
        <v>80</v>
      </c>
      <c r="I6" s="22" t="str">
        <f>VLOOKUP($H6,'NO TOCAR'!$A$2:$D$160,2,FALSE)</f>
        <v>Deporte y actividad física</v>
      </c>
      <c r="J6" s="22" t="str">
        <f>VLOOKUP($H6,'NO TOCAR'!$A$2:$D$160,4,FALSE)</f>
        <v>AF</v>
      </c>
      <c r="K6" s="24" t="s">
        <v>347</v>
      </c>
      <c r="L6" s="24">
        <v>75</v>
      </c>
      <c r="M6" s="12"/>
      <c r="N6" s="14"/>
      <c r="O6" s="14"/>
      <c r="P6" s="14"/>
      <c r="Q6" s="14"/>
    </row>
    <row r="7" spans="1:17" s="13" customFormat="1" x14ac:dyDescent="0.35">
      <c r="A7" s="13" t="s">
        <v>345</v>
      </c>
      <c r="B7" s="13" t="s">
        <v>346</v>
      </c>
      <c r="D7" s="7">
        <v>44002</v>
      </c>
      <c r="E7" s="30">
        <v>44003</v>
      </c>
      <c r="F7" s="30">
        <v>44124</v>
      </c>
      <c r="G7" s="76" t="str">
        <f>VLOOKUP($H7,'NO TOCAR'!$A$2:$D$160,3,)</f>
        <v>Limitación de aforo ZONAS INTERIORES de instalaciones y centros deportivos (fuera del ámbito regulado por el Consejo Superior de Deportes)</v>
      </c>
      <c r="H7" s="26" t="s">
        <v>46</v>
      </c>
      <c r="I7" s="22" t="str">
        <f>VLOOKUP($H7,'NO TOCAR'!$A$2:$D$160,2,FALSE)</f>
        <v>Deporte y actividad física</v>
      </c>
      <c r="J7" s="22" t="str">
        <f>VLOOKUP($H7,'NO TOCAR'!$A$2:$D$160,4,FALSE)</f>
        <v>AF</v>
      </c>
      <c r="K7" s="24" t="s">
        <v>347</v>
      </c>
      <c r="L7" s="24">
        <v>75</v>
      </c>
      <c r="M7" s="12"/>
      <c r="N7" s="14"/>
      <c r="O7" s="14"/>
      <c r="P7" s="14"/>
      <c r="Q7" s="14"/>
    </row>
    <row r="8" spans="1:17" s="13" customFormat="1" x14ac:dyDescent="0.35">
      <c r="A8" s="13" t="s">
        <v>345</v>
      </c>
      <c r="B8" s="13" t="s">
        <v>346</v>
      </c>
      <c r="D8" s="7">
        <v>44002</v>
      </c>
      <c r="E8" s="30">
        <v>44003</v>
      </c>
      <c r="F8" s="30">
        <v>44124</v>
      </c>
      <c r="G8" s="76" t="str">
        <f>VLOOKUP($H8,'NO TOCAR'!$A$2:$D$160,3,)</f>
        <v>Limitaciones a la actividad fisica grupal en exteriores</v>
      </c>
      <c r="H8" s="26" t="s">
        <v>45</v>
      </c>
      <c r="I8" s="22" t="str">
        <f>VLOOKUP($H8,'NO TOCAR'!$A$2:$D$160,2,FALSE)</f>
        <v>Deporte y actividad física</v>
      </c>
      <c r="J8" s="22" t="str">
        <f>VLOOKUP($H8,'NO TOCAR'!$A$2:$D$160,4,FALSE)</f>
        <v>AF</v>
      </c>
      <c r="K8" s="24" t="s">
        <v>354</v>
      </c>
      <c r="L8" s="24">
        <v>30</v>
      </c>
      <c r="M8" s="12"/>
      <c r="N8" s="14"/>
      <c r="O8" s="14"/>
      <c r="P8" s="14"/>
      <c r="Q8" s="14"/>
    </row>
    <row r="9" spans="1:17" s="13" customFormat="1" x14ac:dyDescent="0.35">
      <c r="A9" s="13" t="s">
        <v>345</v>
      </c>
      <c r="B9" s="13" t="s">
        <v>346</v>
      </c>
      <c r="D9" s="7">
        <v>44002</v>
      </c>
      <c r="E9" s="16">
        <v>44003</v>
      </c>
      <c r="F9" s="16">
        <v>44124</v>
      </c>
      <c r="G9" s="76" t="str">
        <f>VLOOKUP($H9,'NO TOCAR'!$A$2:$D$160,3,FALSE)</f>
        <v>Limitaciones a la actividad fisica grupal en interiores</v>
      </c>
      <c r="H9" s="31" t="s">
        <v>44</v>
      </c>
      <c r="I9" s="22" t="str">
        <f>VLOOKUP($H9,'NO TOCAR'!$A$2:$D$160,2,FALSE)</f>
        <v>Deporte y actividad física</v>
      </c>
      <c r="J9" s="22" t="str">
        <f>VLOOKUP($H9,'NO TOCAR'!$A$2:$D$160,4,FALSE)</f>
        <v>AF</v>
      </c>
      <c r="K9" s="13" t="s">
        <v>354</v>
      </c>
      <c r="L9" s="13">
        <v>30</v>
      </c>
      <c r="M9" s="12"/>
      <c r="N9" s="14"/>
      <c r="O9" s="14"/>
      <c r="P9" s="14"/>
      <c r="Q9" s="14"/>
    </row>
    <row r="10" spans="1:17" s="13" customFormat="1" x14ac:dyDescent="0.35">
      <c r="A10" s="13" t="s">
        <v>345</v>
      </c>
      <c r="B10" s="13" t="s">
        <v>346</v>
      </c>
      <c r="D10" s="7">
        <v>44002</v>
      </c>
      <c r="E10" s="30">
        <v>44003</v>
      </c>
      <c r="G10" s="76" t="str">
        <f>VLOOKUP($H10,'NO TOCAR'!$A$2:$D$160,3,)</f>
        <v>Limitación de aforo ZONAS EXTERIORES de instalaciones y centros deportivos (fuera del ámbito regulado por el Consejo Superior de Deportes)</v>
      </c>
      <c r="H10" s="26" t="s">
        <v>49</v>
      </c>
      <c r="I10" s="22" t="str">
        <f>VLOOKUP($H10,'NO TOCAR'!$A$2:$D$160,2,FALSE)</f>
        <v>Deporte y actividad física</v>
      </c>
      <c r="J10" s="22" t="str">
        <f>VLOOKUP($H10,'NO TOCAR'!$A$2:$D$160,4,FALSE)</f>
        <v>AF</v>
      </c>
      <c r="K10" s="24" t="s">
        <v>347</v>
      </c>
      <c r="L10" s="24">
        <v>75</v>
      </c>
      <c r="M10" s="12"/>
      <c r="N10" s="14"/>
      <c r="O10" s="14"/>
      <c r="P10" s="14"/>
      <c r="Q10" s="14"/>
    </row>
    <row r="11" spans="1:17" s="13" customFormat="1" ht="29" hidden="1" x14ac:dyDescent="0.35">
      <c r="A11" s="13" t="s">
        <v>355</v>
      </c>
      <c r="B11" s="13" t="s">
        <v>346</v>
      </c>
      <c r="C11" s="13" t="s">
        <v>356</v>
      </c>
      <c r="D11" s="7">
        <v>44004</v>
      </c>
      <c r="E11" s="7">
        <v>44004</v>
      </c>
      <c r="F11" s="7">
        <v>44026</v>
      </c>
      <c r="G11" s="22" t="str">
        <f>VLOOKUP($H11,'NO TOCAR'!$A$2:$D$160,3,)</f>
        <v>Aforo de centros comerciales (si diferente al de locales comerciales en general)</v>
      </c>
      <c r="H11" s="15" t="s">
        <v>179</v>
      </c>
      <c r="I11" s="22" t="str">
        <f>VLOOKUP($H11,'NO TOCAR'!$A$2:$D$160,2,FALSE)</f>
        <v>Comercio</v>
      </c>
      <c r="J11" s="22" t="str">
        <f>VLOOKUP($H11,'NO TOCAR'!$A$2:$D$160,4,FALSE)</f>
        <v>CO</v>
      </c>
      <c r="K11" s="13" t="s">
        <v>347</v>
      </c>
      <c r="L11" s="13">
        <v>75</v>
      </c>
      <c r="M11" s="12">
        <v>29.2</v>
      </c>
      <c r="N11" s="14"/>
      <c r="O11" s="14"/>
      <c r="P11" s="14"/>
      <c r="Q11" s="14"/>
    </row>
    <row r="12" spans="1:17" s="13" customFormat="1" ht="29" hidden="1" x14ac:dyDescent="0.35">
      <c r="A12" s="33" t="s">
        <v>355</v>
      </c>
      <c r="B12" s="33" t="s">
        <v>346</v>
      </c>
      <c r="C12" s="33" t="s">
        <v>356</v>
      </c>
      <c r="D12" s="7">
        <v>44026</v>
      </c>
      <c r="E12" s="7">
        <v>44026</v>
      </c>
      <c r="F12" s="41">
        <v>44036</v>
      </c>
      <c r="G12" s="22" t="str">
        <f>VLOOKUP($H12,'NO TOCAR'!$A$2:$D$160,3,)</f>
        <v>Aforo de centros comerciales (si diferente al de locales comerciales en general)</v>
      </c>
      <c r="H12" s="35" t="s">
        <v>179</v>
      </c>
      <c r="I12" s="22" t="str">
        <f>VLOOKUP($H12,'NO TOCAR'!$A$2:$D$160,2,FALSE)</f>
        <v>Comercio</v>
      </c>
      <c r="J12" s="22" t="str">
        <f>VLOOKUP($H12,'NO TOCAR'!$A$2:$D$160,4,FALSE)</f>
        <v>CO</v>
      </c>
      <c r="K12" s="33" t="s">
        <v>347</v>
      </c>
      <c r="L12" s="33">
        <v>30</v>
      </c>
      <c r="M12" s="12">
        <v>53.3</v>
      </c>
      <c r="N12" s="34"/>
      <c r="O12" s="34"/>
      <c r="P12" s="34"/>
      <c r="Q12" s="34"/>
    </row>
    <row r="13" spans="1:17" s="13" customFormat="1" ht="29" hidden="1" x14ac:dyDescent="0.35">
      <c r="A13" s="36" t="s">
        <v>355</v>
      </c>
      <c r="B13" s="36" t="s">
        <v>346</v>
      </c>
      <c r="C13" s="36" t="s">
        <v>358</v>
      </c>
      <c r="D13" s="37">
        <v>44026</v>
      </c>
      <c r="E13" s="37">
        <v>44026</v>
      </c>
      <c r="F13" s="56">
        <v>44078</v>
      </c>
      <c r="G13" s="22" t="str">
        <f>VLOOKUP($H13,'NO TOCAR'!$A$2:$D$160,3,)</f>
        <v>Aforo de centros comerciales (si diferente al de locales comerciales en general)</v>
      </c>
      <c r="H13" s="39" t="s">
        <v>179</v>
      </c>
      <c r="I13" s="22" t="str">
        <f>VLOOKUP($H13,'NO TOCAR'!$A$2:$D$160,2,FALSE)</f>
        <v>Comercio</v>
      </c>
      <c r="J13" s="22" t="str">
        <f>VLOOKUP($H13,'NO TOCAR'!$A$2:$D$160,4,FALSE)</f>
        <v>CO</v>
      </c>
      <c r="K13" s="36" t="s">
        <v>347</v>
      </c>
      <c r="L13" s="36">
        <v>75</v>
      </c>
      <c r="M13" s="38">
        <v>80.400000000000006</v>
      </c>
      <c r="N13" s="38"/>
      <c r="O13" s="38"/>
      <c r="P13" s="38"/>
      <c r="Q13" s="38"/>
    </row>
    <row r="14" spans="1:17" s="13" customFormat="1" ht="29" hidden="1" x14ac:dyDescent="0.35">
      <c r="A14" s="42" t="s">
        <v>355</v>
      </c>
      <c r="B14" s="42" t="s">
        <v>346</v>
      </c>
      <c r="C14" s="42" t="s">
        <v>356</v>
      </c>
      <c r="D14" s="41">
        <v>44036</v>
      </c>
      <c r="E14" s="41">
        <v>44036</v>
      </c>
      <c r="F14" s="56">
        <v>44078</v>
      </c>
      <c r="G14" s="22" t="str">
        <f>VLOOKUP($H14,'NO TOCAR'!$A$2:$D$160,3,)</f>
        <v>Aforo de centros comerciales (si diferente al de locales comerciales en general)</v>
      </c>
      <c r="H14" s="43" t="s">
        <v>179</v>
      </c>
      <c r="I14" s="22" t="str">
        <f>VLOOKUP($H14,'NO TOCAR'!$A$2:$D$160,2,FALSE)</f>
        <v>Comercio</v>
      </c>
      <c r="J14" s="22" t="str">
        <f>VLOOKUP($H14,'NO TOCAR'!$A$2:$D$160,4,FALSE)</f>
        <v>CO</v>
      </c>
      <c r="K14" s="42" t="s">
        <v>347</v>
      </c>
      <c r="L14" s="42">
        <v>75</v>
      </c>
      <c r="M14" s="44">
        <v>49.9</v>
      </c>
      <c r="N14" s="44"/>
      <c r="O14" s="44"/>
      <c r="P14" s="44"/>
      <c r="Q14" s="44"/>
    </row>
    <row r="15" spans="1:17" s="13" customFormat="1" ht="29" hidden="1" x14ac:dyDescent="0.35">
      <c r="A15" s="46" t="s">
        <v>355</v>
      </c>
      <c r="B15" s="46" t="s">
        <v>346</v>
      </c>
      <c r="C15" s="46" t="s">
        <v>356</v>
      </c>
      <c r="D15" s="47">
        <v>44036</v>
      </c>
      <c r="E15" s="47">
        <v>44036</v>
      </c>
      <c r="F15" s="56">
        <v>44078</v>
      </c>
      <c r="G15" s="22" t="str">
        <f>VLOOKUP($H15,'NO TOCAR'!$A$2:$D$160,3,)</f>
        <v>Aforo de centros comerciales (si diferente al de locales comerciales en general)</v>
      </c>
      <c r="H15" s="48" t="s">
        <v>179</v>
      </c>
      <c r="I15" s="22" t="str">
        <f>VLOOKUP($H15,'NO TOCAR'!$A$2:$D$160,2,FALSE)</f>
        <v>Comercio</v>
      </c>
      <c r="J15" s="22" t="str">
        <f>VLOOKUP($H15,'NO TOCAR'!$A$2:$D$160,4,FALSE)</f>
        <v>CO</v>
      </c>
      <c r="K15" s="46" t="s">
        <v>347</v>
      </c>
      <c r="L15" s="53">
        <v>30</v>
      </c>
      <c r="M15" s="49">
        <v>17.7</v>
      </c>
      <c r="N15" s="49"/>
      <c r="O15" s="49"/>
      <c r="P15" s="49"/>
      <c r="Q15" s="49"/>
    </row>
    <row r="16" spans="1:17" s="13" customFormat="1" hidden="1" x14ac:dyDescent="0.35">
      <c r="A16" s="13" t="s">
        <v>345</v>
      </c>
      <c r="B16" s="13" t="s">
        <v>346</v>
      </c>
      <c r="D16" s="7">
        <v>44002</v>
      </c>
      <c r="E16" s="30">
        <v>44003</v>
      </c>
      <c r="F16" s="30">
        <v>44124</v>
      </c>
      <c r="G16" s="22" t="str">
        <f>VLOOKUP($H16,'NO TOCAR'!$A$2:$D$160,3,)</f>
        <v>Aforo de locales comerciales en general</v>
      </c>
      <c r="H16" s="26" t="s">
        <v>28</v>
      </c>
      <c r="I16" s="22" t="str">
        <f>VLOOKUP($H16,'NO TOCAR'!$A$2:$D$160,2,FALSE)</f>
        <v>Comercio</v>
      </c>
      <c r="J16" s="22" t="str">
        <f>VLOOKUP($H16,'NO TOCAR'!$A$2:$D$160,4,FALSE)</f>
        <v>CO</v>
      </c>
      <c r="K16" s="24" t="s">
        <v>347</v>
      </c>
      <c r="L16" s="24">
        <v>75</v>
      </c>
      <c r="M16" s="12"/>
      <c r="N16" s="14"/>
      <c r="O16" s="14"/>
      <c r="P16" s="14"/>
      <c r="Q16" s="14"/>
    </row>
    <row r="17" spans="1:17" s="13" customFormat="1" hidden="1" x14ac:dyDescent="0.35">
      <c r="A17" s="13" t="s">
        <v>345</v>
      </c>
      <c r="B17" s="13" t="s">
        <v>346</v>
      </c>
      <c r="D17" s="7">
        <v>44140</v>
      </c>
      <c r="E17" s="30">
        <v>44141</v>
      </c>
      <c r="F17" s="30">
        <v>44200</v>
      </c>
      <c r="G17" s="22" t="str">
        <f>VLOOKUP($H17,'NO TOCAR'!$A$2:$D$160,3,)</f>
        <v>Aforo de locales comerciales en general</v>
      </c>
      <c r="H17" s="31" t="s">
        <v>28</v>
      </c>
      <c r="I17" s="22" t="str">
        <f>VLOOKUP($H17,'NO TOCAR'!$A$2:$D$160,2,FALSE)</f>
        <v>Comercio</v>
      </c>
      <c r="J17" s="22" t="str">
        <f>VLOOKUP($H17,'NO TOCAR'!$A$2:$D$160,4,FALSE)</f>
        <v>CO</v>
      </c>
      <c r="K17" s="24" t="s">
        <v>347</v>
      </c>
      <c r="L17" s="24">
        <v>25</v>
      </c>
      <c r="M17" s="12"/>
      <c r="N17" s="14"/>
      <c r="O17" s="14"/>
      <c r="P17" s="14"/>
      <c r="Q17" s="14"/>
    </row>
    <row r="18" spans="1:17" s="13" customFormat="1" hidden="1" x14ac:dyDescent="0.35">
      <c r="A18" s="13" t="s">
        <v>355</v>
      </c>
      <c r="B18" s="13" t="s">
        <v>346</v>
      </c>
      <c r="C18" s="13" t="s">
        <v>356</v>
      </c>
      <c r="D18" s="7">
        <v>44004</v>
      </c>
      <c r="E18" s="7">
        <v>44004</v>
      </c>
      <c r="F18" s="7">
        <v>44026</v>
      </c>
      <c r="G18" s="22" t="str">
        <f>VLOOKUP($H18,'NO TOCAR'!$A$2:$D$160,3,)</f>
        <v>Aforo de locales comerciales en general</v>
      </c>
      <c r="H18" s="15" t="s">
        <v>28</v>
      </c>
      <c r="I18" s="22" t="str">
        <f>VLOOKUP($H18,'NO TOCAR'!$A$2:$D$160,2,FALSE)</f>
        <v>Comercio</v>
      </c>
      <c r="J18" s="22" t="str">
        <f>VLOOKUP($H18,'NO TOCAR'!$A$2:$D$160,4,FALSE)</f>
        <v>CO</v>
      </c>
      <c r="K18" s="13" t="s">
        <v>347</v>
      </c>
      <c r="L18" s="13">
        <v>75</v>
      </c>
      <c r="M18" s="12">
        <v>29.2</v>
      </c>
      <c r="N18" s="14"/>
      <c r="O18" s="14"/>
      <c r="P18" s="14"/>
      <c r="Q18" s="14"/>
    </row>
    <row r="19" spans="1:17" s="13" customFormat="1" hidden="1" x14ac:dyDescent="0.35">
      <c r="A19" s="33" t="s">
        <v>355</v>
      </c>
      <c r="B19" s="33" t="s">
        <v>346</v>
      </c>
      <c r="C19" s="33" t="s">
        <v>356</v>
      </c>
      <c r="D19" s="7">
        <v>44026</v>
      </c>
      <c r="E19" s="7">
        <v>44026</v>
      </c>
      <c r="F19" s="41">
        <v>44036</v>
      </c>
      <c r="G19" s="22" t="str">
        <f>VLOOKUP($H19,'NO TOCAR'!$A$2:$D$160,3,)</f>
        <v>Aforo de locales comerciales en general</v>
      </c>
      <c r="H19" s="35" t="s">
        <v>28</v>
      </c>
      <c r="I19" s="22" t="str">
        <f>VLOOKUP($H19,'NO TOCAR'!$A$2:$D$160,2,FALSE)</f>
        <v>Comercio</v>
      </c>
      <c r="J19" s="22" t="str">
        <f>VLOOKUP($H19,'NO TOCAR'!$A$2:$D$160,4,FALSE)</f>
        <v>CO</v>
      </c>
      <c r="K19" s="33" t="s">
        <v>347</v>
      </c>
      <c r="L19" s="33">
        <v>40</v>
      </c>
      <c r="M19" s="12">
        <v>53.3</v>
      </c>
      <c r="N19" s="34"/>
      <c r="O19" s="34"/>
      <c r="P19" s="34"/>
      <c r="Q19" s="34"/>
    </row>
    <row r="20" spans="1:17" s="13" customFormat="1" hidden="1" x14ac:dyDescent="0.35">
      <c r="A20" s="36" t="s">
        <v>355</v>
      </c>
      <c r="B20" s="36" t="s">
        <v>346</v>
      </c>
      <c r="C20" s="36" t="s">
        <v>358</v>
      </c>
      <c r="D20" s="37">
        <v>44026</v>
      </c>
      <c r="E20" s="37">
        <v>44026</v>
      </c>
      <c r="F20" s="56">
        <v>44078</v>
      </c>
      <c r="G20" s="22" t="str">
        <f>VLOOKUP($H20,'NO TOCAR'!$A$2:$D$160,3,)</f>
        <v>Aforo de locales comerciales en general</v>
      </c>
      <c r="H20" s="39" t="s">
        <v>28</v>
      </c>
      <c r="I20" s="22" t="str">
        <f>VLOOKUP($H20,'NO TOCAR'!$A$2:$D$160,2,FALSE)</f>
        <v>Comercio</v>
      </c>
      <c r="J20" s="22" t="str">
        <f>VLOOKUP($H20,'NO TOCAR'!$A$2:$D$160,4,FALSE)</f>
        <v>CO</v>
      </c>
      <c r="K20" s="36" t="s">
        <v>347</v>
      </c>
      <c r="L20" s="36">
        <v>75</v>
      </c>
      <c r="M20" s="38">
        <v>80.400000000000006</v>
      </c>
      <c r="N20" s="38"/>
      <c r="O20" s="38"/>
      <c r="P20" s="38"/>
      <c r="Q20" s="38"/>
    </row>
    <row r="21" spans="1:17" s="13" customFormat="1" hidden="1" x14ac:dyDescent="0.35">
      <c r="A21" s="13" t="s">
        <v>345</v>
      </c>
      <c r="B21" s="13" t="s">
        <v>346</v>
      </c>
      <c r="D21" s="17">
        <v>44200</v>
      </c>
      <c r="E21" s="17">
        <v>44201</v>
      </c>
      <c r="F21" s="17"/>
      <c r="G21" s="22" t="str">
        <f>VLOOKUP($H21,'NO TOCAR'!$A$2:$D$160,3,)</f>
        <v>Aforo de locales comerciales en general</v>
      </c>
      <c r="H21" s="26" t="s">
        <v>28</v>
      </c>
      <c r="I21" s="22" t="str">
        <f>VLOOKUP($H21,'NO TOCAR'!$A$2:$D$160,2,FALSE)</f>
        <v>Comercio</v>
      </c>
      <c r="J21" s="22" t="str">
        <f>VLOOKUP($H21,'NO TOCAR'!$A$2:$D$160,4,FALSE)</f>
        <v>CO</v>
      </c>
      <c r="K21" s="24" t="s">
        <v>347</v>
      </c>
      <c r="L21" s="24">
        <v>25</v>
      </c>
      <c r="M21" s="12"/>
      <c r="N21" s="14"/>
      <c r="O21" s="14"/>
      <c r="P21" s="14"/>
      <c r="Q21" s="14"/>
    </row>
    <row r="22" spans="1:17" s="13" customFormat="1" hidden="1" x14ac:dyDescent="0.35">
      <c r="A22" s="42" t="s">
        <v>355</v>
      </c>
      <c r="B22" s="42" t="s">
        <v>346</v>
      </c>
      <c r="C22" s="42" t="s">
        <v>356</v>
      </c>
      <c r="D22" s="41">
        <v>44036</v>
      </c>
      <c r="E22" s="41">
        <v>44036</v>
      </c>
      <c r="F22" s="56">
        <v>44078</v>
      </c>
      <c r="G22" s="22" t="str">
        <f>VLOOKUP($H22,'NO TOCAR'!$A$2:$D$160,3,)</f>
        <v>Aforo de locales comerciales en general</v>
      </c>
      <c r="H22" s="43" t="s">
        <v>28</v>
      </c>
      <c r="I22" s="22" t="str">
        <f>VLOOKUP($H22,'NO TOCAR'!$A$2:$D$160,2,FALSE)</f>
        <v>Comercio</v>
      </c>
      <c r="J22" s="22" t="str">
        <f>VLOOKUP($H22,'NO TOCAR'!$A$2:$D$160,4,FALSE)</f>
        <v>CO</v>
      </c>
      <c r="K22" s="42" t="s">
        <v>347</v>
      </c>
      <c r="L22" s="42">
        <v>75</v>
      </c>
      <c r="M22" s="44">
        <v>49.9</v>
      </c>
      <c r="N22" s="44"/>
      <c r="O22" s="44"/>
      <c r="P22" s="44"/>
      <c r="Q22" s="44"/>
    </row>
    <row r="23" spans="1:17" s="13" customFormat="1" hidden="1" x14ac:dyDescent="0.35">
      <c r="A23" s="46" t="s">
        <v>355</v>
      </c>
      <c r="B23" s="46" t="s">
        <v>346</v>
      </c>
      <c r="C23" s="46" t="s">
        <v>356</v>
      </c>
      <c r="D23" s="47">
        <v>44036</v>
      </c>
      <c r="E23" s="47">
        <v>44036</v>
      </c>
      <c r="F23" s="56">
        <v>44078</v>
      </c>
      <c r="G23" s="22" t="str">
        <f>VLOOKUP($H23,'NO TOCAR'!$A$2:$D$160,3,)</f>
        <v>Aforo de locales comerciales en general</v>
      </c>
      <c r="H23" s="48" t="s">
        <v>28</v>
      </c>
      <c r="I23" s="22" t="str">
        <f>VLOOKUP($H23,'NO TOCAR'!$A$2:$D$160,2,FALSE)</f>
        <v>Comercio</v>
      </c>
      <c r="J23" s="22" t="str">
        <f>VLOOKUP($H23,'NO TOCAR'!$A$2:$D$160,4,FALSE)</f>
        <v>CO</v>
      </c>
      <c r="K23" s="46" t="s">
        <v>347</v>
      </c>
      <c r="L23" s="53">
        <v>40</v>
      </c>
      <c r="M23" s="49">
        <v>17.7</v>
      </c>
      <c r="N23" s="49"/>
      <c r="O23" s="49"/>
      <c r="P23" s="49"/>
      <c r="Q23" s="49"/>
    </row>
    <row r="24" spans="1:17" s="13" customFormat="1" hidden="1" x14ac:dyDescent="0.35">
      <c r="A24" s="13" t="s">
        <v>345</v>
      </c>
      <c r="B24" s="13" t="s">
        <v>346</v>
      </c>
      <c r="D24" s="7">
        <v>44123</v>
      </c>
      <c r="E24" s="30">
        <v>44124</v>
      </c>
      <c r="F24" s="30">
        <v>44141</v>
      </c>
      <c r="G24" s="22" t="str">
        <f>VLOOKUP($H24,'NO TOCAR'!$A$2:$D$160,3,)</f>
        <v>Aforo de locales comerciales en general</v>
      </c>
      <c r="H24" s="26" t="s">
        <v>28</v>
      </c>
      <c r="I24" s="22" t="str">
        <f>VLOOKUP($H24,'NO TOCAR'!$A$2:$D$160,2,FALSE)</f>
        <v>Comercio</v>
      </c>
      <c r="J24" s="22" t="str">
        <f>VLOOKUP($H24,'NO TOCAR'!$A$2:$D$160,4,FALSE)</f>
        <v>CO</v>
      </c>
      <c r="K24" s="24" t="s">
        <v>347</v>
      </c>
      <c r="L24" s="24">
        <v>50</v>
      </c>
      <c r="M24" s="12"/>
      <c r="N24" s="14"/>
      <c r="O24" s="14"/>
      <c r="P24" s="14"/>
      <c r="Q24" s="14"/>
    </row>
    <row r="25" spans="1:17" s="13" customFormat="1" hidden="1" x14ac:dyDescent="0.35">
      <c r="A25" s="13" t="s">
        <v>345</v>
      </c>
      <c r="B25" s="13" t="s">
        <v>346</v>
      </c>
      <c r="D25" s="7">
        <v>44179</v>
      </c>
      <c r="E25" s="30">
        <v>44180</v>
      </c>
      <c r="F25" s="30"/>
      <c r="G25" s="22" t="str">
        <f>VLOOKUP($H25,'NO TOCAR'!$A$2:$D$160,3,)</f>
        <v>Aforo de mercadillos  y/o mercados al aire libre</v>
      </c>
      <c r="H25" s="26" t="s">
        <v>29</v>
      </c>
      <c r="I25" s="22" t="str">
        <f>VLOOKUP($H25,'NO TOCAR'!$A$2:$D$160,2,FALSE)</f>
        <v>Comercio</v>
      </c>
      <c r="J25" s="22" t="str">
        <f>VLOOKUP($H25,'NO TOCAR'!$A$2:$D$160,4,FALSE)</f>
        <v>CO</v>
      </c>
      <c r="K25" s="24" t="s">
        <v>347</v>
      </c>
      <c r="L25" s="24">
        <v>100</v>
      </c>
      <c r="M25" s="12"/>
      <c r="N25" s="14"/>
      <c r="O25" s="14"/>
      <c r="P25" s="14"/>
      <c r="Q25" s="14"/>
    </row>
    <row r="26" spans="1:17" s="33" customFormat="1" hidden="1" x14ac:dyDescent="0.35">
      <c r="A26" s="13" t="s">
        <v>345</v>
      </c>
      <c r="B26" s="13" t="s">
        <v>346</v>
      </c>
      <c r="C26" s="13"/>
      <c r="D26" s="7">
        <v>44123</v>
      </c>
      <c r="E26" s="30">
        <v>44124</v>
      </c>
      <c r="F26" s="30">
        <v>44141</v>
      </c>
      <c r="G26" s="22" t="str">
        <f>VLOOKUP($H26,'NO TOCAR'!$A$2:$D$160,3,)</f>
        <v>Aforo de mercadillos  y/o mercados al aire libre</v>
      </c>
      <c r="H26" s="26" t="s">
        <v>29</v>
      </c>
      <c r="I26" s="22" t="str">
        <f>VLOOKUP($H26,'NO TOCAR'!$A$2:$D$160,2,FALSE)</f>
        <v>Comercio</v>
      </c>
      <c r="J26" s="22" t="str">
        <f>VLOOKUP($H26,'NO TOCAR'!$A$2:$D$160,4,FALSE)</f>
        <v>CO</v>
      </c>
      <c r="K26" s="24" t="s">
        <v>347</v>
      </c>
      <c r="L26" s="24">
        <v>50</v>
      </c>
      <c r="M26" s="12"/>
      <c r="N26" s="14"/>
      <c r="O26" s="14"/>
      <c r="P26" s="14"/>
      <c r="Q26" s="14"/>
    </row>
    <row r="27" spans="1:17" s="33" customFormat="1" hidden="1" x14ac:dyDescent="0.35">
      <c r="A27" s="13" t="s">
        <v>345</v>
      </c>
      <c r="B27" s="13" t="s">
        <v>346</v>
      </c>
      <c r="C27" s="13"/>
      <c r="D27" s="7">
        <v>44140</v>
      </c>
      <c r="E27" s="30">
        <v>44141</v>
      </c>
      <c r="F27" s="30">
        <v>44180</v>
      </c>
      <c r="G27" s="22" t="str">
        <f>VLOOKUP($H27,'NO TOCAR'!$A$2:$D$160,3,)</f>
        <v>Aforo de mercadillos  y/o mercados al aire libre</v>
      </c>
      <c r="H27" s="26" t="s">
        <v>29</v>
      </c>
      <c r="I27" s="22" t="str">
        <f>VLOOKUP($H27,'NO TOCAR'!$A$2:$D$160,2,FALSE)</f>
        <v>Comercio</v>
      </c>
      <c r="J27" s="22" t="str">
        <f>VLOOKUP($H27,'NO TOCAR'!$A$2:$D$160,4,FALSE)</f>
        <v>CO</v>
      </c>
      <c r="K27" s="24" t="s">
        <v>347</v>
      </c>
      <c r="L27" s="24">
        <v>25</v>
      </c>
      <c r="M27" s="12"/>
      <c r="N27" s="14"/>
      <c r="O27" s="14"/>
      <c r="P27" s="14"/>
      <c r="Q27" s="14"/>
    </row>
    <row r="28" spans="1:17" s="33" customFormat="1" ht="29" hidden="1" x14ac:dyDescent="0.35">
      <c r="A28" s="13" t="s">
        <v>345</v>
      </c>
      <c r="B28" s="13" t="s">
        <v>346</v>
      </c>
      <c r="C28" s="13"/>
      <c r="D28" s="7">
        <v>44002</v>
      </c>
      <c r="E28" s="16">
        <v>44003</v>
      </c>
      <c r="F28" s="16">
        <v>44141</v>
      </c>
      <c r="G28" s="22" t="str">
        <f>VLOOKUP($H28,'NO TOCAR'!$A$2:$D$160,3,)</f>
        <v>Aforo en espacios comunes de alojamientos como albergues</v>
      </c>
      <c r="H28" s="26" t="s">
        <v>39</v>
      </c>
      <c r="I28" s="22" t="str">
        <f>VLOOKUP($H28,'NO TOCAR'!$A$2:$D$160,2,FALSE)</f>
        <v>Alojamientos (hoteles, albergues)</v>
      </c>
      <c r="J28" s="22" t="str">
        <f>VLOOKUP($H28,'NO TOCAR'!$A$2:$D$160,4,FALSE)</f>
        <v>AL</v>
      </c>
      <c r="K28" s="13" t="s">
        <v>347</v>
      </c>
      <c r="L28" s="13">
        <v>50</v>
      </c>
      <c r="M28" s="12"/>
      <c r="N28" s="14"/>
      <c r="O28" s="14"/>
      <c r="P28" s="14"/>
      <c r="Q28" s="14"/>
    </row>
    <row r="29" spans="1:17" s="33" customFormat="1" ht="29" hidden="1" x14ac:dyDescent="0.35">
      <c r="A29" s="13" t="s">
        <v>345</v>
      </c>
      <c r="B29" s="13" t="s">
        <v>346</v>
      </c>
      <c r="C29" s="13"/>
      <c r="D29" s="7">
        <v>41257</v>
      </c>
      <c r="E29" s="30">
        <v>44180</v>
      </c>
      <c r="F29" s="30"/>
      <c r="G29" s="22" t="str">
        <f>VLOOKUP($H29,'NO TOCAR'!$A$2:$D$160,3,)</f>
        <v>Aforo en espacios comunes de alojamientos como albergues</v>
      </c>
      <c r="H29" s="26" t="s">
        <v>39</v>
      </c>
      <c r="I29" s="22" t="str">
        <f>VLOOKUP($H29,'NO TOCAR'!$A$2:$D$160,2,FALSE)</f>
        <v>Alojamientos (hoteles, albergues)</v>
      </c>
      <c r="J29" s="22" t="str">
        <f>VLOOKUP($H29,'NO TOCAR'!$A$2:$D$160,4,FALSE)</f>
        <v>AL</v>
      </c>
      <c r="K29" s="24" t="s">
        <v>347</v>
      </c>
      <c r="L29" s="24">
        <v>25</v>
      </c>
      <c r="M29" s="12"/>
      <c r="N29" s="14"/>
      <c r="O29" s="14"/>
      <c r="P29" s="14"/>
      <c r="Q29" s="14"/>
    </row>
    <row r="30" spans="1:17" s="33" customFormat="1" ht="29" hidden="1" x14ac:dyDescent="0.35">
      <c r="A30" s="13" t="s">
        <v>345</v>
      </c>
      <c r="B30" s="13" t="s">
        <v>346</v>
      </c>
      <c r="C30" s="13"/>
      <c r="D30" s="7">
        <v>44200</v>
      </c>
      <c r="E30" s="30">
        <v>44201</v>
      </c>
      <c r="F30" s="30"/>
      <c r="G30" s="22" t="str">
        <f>VLOOKUP($H30,'NO TOCAR'!$A$2:$D$160,3,)</f>
        <v>Aforo en espacios comunes de alojamientos como hoteles</v>
      </c>
      <c r="H30" s="26" t="s">
        <v>38</v>
      </c>
      <c r="I30" s="22" t="str">
        <f>VLOOKUP($H30,'NO TOCAR'!$A$2:$D$160,2,FALSE)</f>
        <v>Alojamientos (hoteles, albergues)</v>
      </c>
      <c r="J30" s="22" t="str">
        <f>VLOOKUP($H30,'NO TOCAR'!$A$2:$D$160,4,FALSE)</f>
        <v>AL</v>
      </c>
      <c r="K30" s="24" t="s">
        <v>347</v>
      </c>
      <c r="L30" s="24">
        <v>25</v>
      </c>
      <c r="M30" s="12"/>
      <c r="N30" s="14"/>
      <c r="O30" s="14"/>
      <c r="P30" s="14"/>
      <c r="Q30" s="14"/>
    </row>
    <row r="31" spans="1:17" s="33" customFormat="1" ht="29" hidden="1" x14ac:dyDescent="0.35">
      <c r="A31" s="13" t="s">
        <v>345</v>
      </c>
      <c r="B31" s="13" t="s">
        <v>346</v>
      </c>
      <c r="C31" s="13"/>
      <c r="D31" s="7">
        <v>44200</v>
      </c>
      <c r="E31" s="30">
        <v>44201</v>
      </c>
      <c r="F31" s="30"/>
      <c r="G31" s="22" t="str">
        <f>VLOOKUP($H31,'NO TOCAR'!$A$2:$D$160,3,)</f>
        <v>Aforo en espacios comunes en residencias de estudiantes</v>
      </c>
      <c r="H31" s="26" t="s">
        <v>115</v>
      </c>
      <c r="I31" s="22" t="str">
        <f>VLOOKUP($H31,'NO TOCAR'!$A$2:$D$160,2,FALSE)</f>
        <v>Alojamientos (hoteles, albergues)</v>
      </c>
      <c r="J31" s="22" t="str">
        <f>VLOOKUP($H31,'NO TOCAR'!$A$2:$D$160,4,FALSE)</f>
        <v>AL</v>
      </c>
      <c r="K31" s="24" t="s">
        <v>347</v>
      </c>
      <c r="L31" s="24">
        <v>25</v>
      </c>
      <c r="M31" s="12"/>
      <c r="N31" s="14"/>
      <c r="O31" s="14"/>
      <c r="P31" s="14"/>
      <c r="Q31" s="14"/>
    </row>
    <row r="32" spans="1:17" s="33" customFormat="1" ht="29" hidden="1" x14ac:dyDescent="0.35">
      <c r="A32" s="13" t="s">
        <v>355</v>
      </c>
      <c r="B32" s="13" t="s">
        <v>346</v>
      </c>
      <c r="C32" s="13" t="s">
        <v>356</v>
      </c>
      <c r="D32" s="7">
        <v>44004</v>
      </c>
      <c r="E32" s="7">
        <v>44004</v>
      </c>
      <c r="F32" s="7">
        <v>44026</v>
      </c>
      <c r="G32" s="22" t="str">
        <f>VLOOKUP($H32,'NO TOCAR'!$A$2:$D$160,3,)</f>
        <v>Aforo en eventos profesionales (congresos, encuentros, etc.) en espacios abiertos y cerrados</v>
      </c>
      <c r="H32" s="6" t="s">
        <v>336</v>
      </c>
      <c r="I32" s="22" t="str">
        <f>VLOOKUP($H32,'NO TOCAR'!$A$2:$D$160,2,FALSE)</f>
        <v>Trabajo</v>
      </c>
      <c r="J32" s="22" t="str">
        <f>VLOOKUP($H32,'NO TOCAR'!$A$2:$D$160,4,FALSE)</f>
        <v>TR</v>
      </c>
      <c r="K32" s="13" t="s">
        <v>354</v>
      </c>
      <c r="L32" s="13">
        <v>50</v>
      </c>
      <c r="M32" s="12">
        <v>29.2</v>
      </c>
      <c r="N32" s="14"/>
      <c r="O32" s="14"/>
      <c r="P32" s="14"/>
      <c r="Q32" s="14"/>
    </row>
    <row r="33" spans="1:17" s="33" customFormat="1" ht="29" hidden="1" x14ac:dyDescent="0.35">
      <c r="A33" s="33" t="s">
        <v>355</v>
      </c>
      <c r="B33" s="33" t="s">
        <v>346</v>
      </c>
      <c r="C33" s="33" t="s">
        <v>356</v>
      </c>
      <c r="D33" s="7">
        <v>44026</v>
      </c>
      <c r="E33" s="7">
        <v>44026</v>
      </c>
      <c r="F33" s="41">
        <v>44036</v>
      </c>
      <c r="G33" s="22" t="str">
        <f>VLOOKUP($H33,'NO TOCAR'!$A$2:$D$160,3,)</f>
        <v>Aforo en eventos profesionales (congresos, encuentros, etc.) en espacios abiertos y cerrados</v>
      </c>
      <c r="H33" s="35" t="s">
        <v>336</v>
      </c>
      <c r="I33" s="22" t="str">
        <f>VLOOKUP($H33,'NO TOCAR'!$A$2:$D$160,2,FALSE)</f>
        <v>Trabajo</v>
      </c>
      <c r="J33" s="22" t="str">
        <f>VLOOKUP($H33,'NO TOCAR'!$A$2:$D$160,4,FALSE)</f>
        <v>TR</v>
      </c>
      <c r="K33" s="33" t="s">
        <v>354</v>
      </c>
      <c r="L33" s="33">
        <v>50</v>
      </c>
      <c r="M33" s="12">
        <v>53.3</v>
      </c>
      <c r="N33" s="34"/>
      <c r="O33" s="34"/>
      <c r="P33" s="34"/>
      <c r="Q33" s="34"/>
    </row>
    <row r="34" spans="1:17" s="33" customFormat="1" ht="29" hidden="1" x14ac:dyDescent="0.35">
      <c r="A34" s="36" t="s">
        <v>355</v>
      </c>
      <c r="B34" s="36" t="s">
        <v>346</v>
      </c>
      <c r="C34" s="36" t="s">
        <v>358</v>
      </c>
      <c r="D34" s="37">
        <v>44026</v>
      </c>
      <c r="E34" s="37">
        <v>44026</v>
      </c>
      <c r="F34" s="56">
        <v>44078</v>
      </c>
      <c r="G34" s="22" t="str">
        <f>VLOOKUP($H34,'NO TOCAR'!$A$2:$D$160,3,)</f>
        <v>Aforo en eventos profesionales (congresos, encuentros, etc.) en espacios abiertos y cerrados</v>
      </c>
      <c r="H34" s="39" t="s">
        <v>336</v>
      </c>
      <c r="I34" s="22" t="str">
        <f>VLOOKUP($H34,'NO TOCAR'!$A$2:$D$160,2,FALSE)</f>
        <v>Trabajo</v>
      </c>
      <c r="J34" s="22" t="str">
        <f>VLOOKUP($H34,'NO TOCAR'!$A$2:$D$160,4,FALSE)</f>
        <v>TR</v>
      </c>
      <c r="K34" s="36" t="s">
        <v>354</v>
      </c>
      <c r="L34" s="36">
        <v>50</v>
      </c>
      <c r="M34" s="38">
        <v>80.400000000000006</v>
      </c>
      <c r="N34" s="38"/>
      <c r="O34" s="38"/>
      <c r="P34" s="38"/>
      <c r="Q34" s="38"/>
    </row>
    <row r="35" spans="1:17" s="33" customFormat="1" ht="29" hidden="1" x14ac:dyDescent="0.35">
      <c r="A35" s="42" t="s">
        <v>355</v>
      </c>
      <c r="B35" s="42" t="s">
        <v>346</v>
      </c>
      <c r="C35" s="42" t="s">
        <v>356</v>
      </c>
      <c r="D35" s="41">
        <v>44036</v>
      </c>
      <c r="E35" s="41">
        <v>44036</v>
      </c>
      <c r="F35" s="56">
        <v>44078</v>
      </c>
      <c r="G35" s="22" t="str">
        <f>VLOOKUP($H35,'NO TOCAR'!$A$2:$D$160,3,)</f>
        <v>Aforo en eventos profesionales (congresos, encuentros, etc.) en espacios abiertos y cerrados</v>
      </c>
      <c r="H35" s="50" t="s">
        <v>336</v>
      </c>
      <c r="I35" s="22" t="str">
        <f>VLOOKUP($H35,'NO TOCAR'!$A$2:$D$160,2,FALSE)</f>
        <v>Trabajo</v>
      </c>
      <c r="J35" s="22" t="str">
        <f>VLOOKUP($H35,'NO TOCAR'!$A$2:$D$160,4,FALSE)</f>
        <v>TR</v>
      </c>
      <c r="K35" s="51" t="s">
        <v>354</v>
      </c>
      <c r="L35" s="51">
        <v>50</v>
      </c>
      <c r="M35" s="44">
        <v>49.9</v>
      </c>
      <c r="N35" s="44"/>
      <c r="O35" s="44"/>
      <c r="P35" s="44"/>
      <c r="Q35" s="44"/>
    </row>
    <row r="36" spans="1:17" s="33" customFormat="1" ht="29" hidden="1" x14ac:dyDescent="0.35">
      <c r="A36" s="46" t="s">
        <v>355</v>
      </c>
      <c r="B36" s="46" t="s">
        <v>346</v>
      </c>
      <c r="C36" s="46" t="s">
        <v>356</v>
      </c>
      <c r="D36" s="47">
        <v>44036</v>
      </c>
      <c r="E36" s="47">
        <v>44036</v>
      </c>
      <c r="F36" s="56">
        <v>44078</v>
      </c>
      <c r="G36" s="22" t="str">
        <f>VLOOKUP($H36,'NO TOCAR'!$A$2:$D$160,3,)</f>
        <v>Aforo en eventos profesionales (congresos, encuentros, etc.) en espacios abiertos y cerrados</v>
      </c>
      <c r="H36" s="48" t="s">
        <v>336</v>
      </c>
      <c r="I36" s="22" t="str">
        <f>VLOOKUP($H36,'NO TOCAR'!$A$2:$D$160,2,FALSE)</f>
        <v>Trabajo</v>
      </c>
      <c r="J36" s="22" t="str">
        <f>VLOOKUP($H36,'NO TOCAR'!$A$2:$D$160,4,FALSE)</f>
        <v>TR</v>
      </c>
      <c r="K36" s="46" t="s">
        <v>354</v>
      </c>
      <c r="L36" s="53">
        <v>50</v>
      </c>
      <c r="M36" s="49">
        <v>17.7</v>
      </c>
      <c r="N36" s="49"/>
      <c r="O36" s="49"/>
      <c r="P36" s="49"/>
      <c r="Q36" s="49"/>
    </row>
    <row r="37" spans="1:17" s="33" customFormat="1" ht="29" hidden="1" x14ac:dyDescent="0.35">
      <c r="A37" s="46" t="s">
        <v>355</v>
      </c>
      <c r="B37" s="46" t="s">
        <v>346</v>
      </c>
      <c r="C37" s="46" t="s">
        <v>356</v>
      </c>
      <c r="D37" s="47">
        <v>44111</v>
      </c>
      <c r="E37" s="40">
        <v>44112</v>
      </c>
      <c r="F37" s="40">
        <v>44506</v>
      </c>
      <c r="G37" s="22" t="str">
        <f>VLOOKUP($H37,'NO TOCAR'!$A$2:$D$160,3,)</f>
        <v>Aforo en eventos profesionales (congresos, encuentros, etc.) en espacios abiertos y cerrados</v>
      </c>
      <c r="H37" s="48" t="s">
        <v>336</v>
      </c>
      <c r="I37" s="22" t="str">
        <f>VLOOKUP($H37,'NO TOCAR'!$A$2:$D$160,2,FALSE)</f>
        <v>Trabajo</v>
      </c>
      <c r="J37" s="22" t="str">
        <f>VLOOKUP($H37,'NO TOCAR'!$A$2:$D$160,4,FALSE)</f>
        <v>TR</v>
      </c>
      <c r="K37" s="46" t="s">
        <v>354</v>
      </c>
      <c r="L37" s="46">
        <v>50</v>
      </c>
      <c r="M37" s="49">
        <v>24</v>
      </c>
      <c r="N37"/>
      <c r="O37"/>
      <c r="P37"/>
      <c r="Q37"/>
    </row>
    <row r="38" spans="1:17" s="33" customFormat="1" ht="29" hidden="1" x14ac:dyDescent="0.35">
      <c r="A38" s="59" t="s">
        <v>355</v>
      </c>
      <c r="B38" s="59" t="s">
        <v>346</v>
      </c>
      <c r="C38" s="59" t="s">
        <v>361</v>
      </c>
      <c r="D38" s="60">
        <v>44118</v>
      </c>
      <c r="E38" s="60">
        <v>44119</v>
      </c>
      <c r="F38" s="61">
        <v>44506</v>
      </c>
      <c r="G38" s="22" t="str">
        <f>VLOOKUP($H38,'NO TOCAR'!$A$2:$D$160,3,)</f>
        <v>Aforo en eventos profesionales (congresos, encuentros, etc.) en espacios abiertos y cerrados</v>
      </c>
      <c r="H38" s="62" t="s">
        <v>336</v>
      </c>
      <c r="I38" s="22" t="str">
        <f>VLOOKUP($H38,'NO TOCAR'!$A$2:$D$160,2,FALSE)</f>
        <v>Trabajo</v>
      </c>
      <c r="J38" s="22" t="str">
        <f>VLOOKUP($H38,'NO TOCAR'!$A$2:$D$160,4,FALSE)</f>
        <v>TR</v>
      </c>
      <c r="K38" s="59" t="s">
        <v>354</v>
      </c>
      <c r="L38" s="59">
        <v>50</v>
      </c>
      <c r="M38" s="63">
        <v>29</v>
      </c>
      <c r="N38"/>
      <c r="O38"/>
      <c r="P38"/>
      <c r="Q38"/>
    </row>
    <row r="39" spans="1:17" s="33" customFormat="1" ht="29" hidden="1" x14ac:dyDescent="0.35">
      <c r="A39" s="66" t="s">
        <v>355</v>
      </c>
      <c r="B39" s="66" t="s">
        <v>346</v>
      </c>
      <c r="C39" s="66" t="s">
        <v>358</v>
      </c>
      <c r="D39" s="7">
        <v>44111</v>
      </c>
      <c r="E39" s="16">
        <v>44112</v>
      </c>
      <c r="F39" s="16">
        <v>44118</v>
      </c>
      <c r="G39" s="22" t="str">
        <f>VLOOKUP($H39,'NO TOCAR'!$A$2:$D$160,3,)</f>
        <v>Aforo en eventos profesionales (congresos, encuentros, etc.) en espacios abiertos y cerrados</v>
      </c>
      <c r="H39" s="67" t="s">
        <v>336</v>
      </c>
      <c r="I39" s="22" t="str">
        <f>VLOOKUP($H39,'NO TOCAR'!$A$2:$D$160,2,FALSE)</f>
        <v>Trabajo</v>
      </c>
      <c r="J39" s="22" t="str">
        <f>VLOOKUP($H39,'NO TOCAR'!$A$2:$D$160,4,FALSE)</f>
        <v>TR</v>
      </c>
      <c r="K39" s="66" t="s">
        <v>354</v>
      </c>
      <c r="L39" s="66">
        <v>50</v>
      </c>
      <c r="M39" s="68">
        <v>70</v>
      </c>
      <c r="N39"/>
      <c r="O39"/>
      <c r="P39"/>
      <c r="Q39"/>
    </row>
    <row r="40" spans="1:17" s="33" customFormat="1" ht="29" hidden="1" x14ac:dyDescent="0.35">
      <c r="A40" s="13" t="s">
        <v>345</v>
      </c>
      <c r="B40" s="13" t="s">
        <v>346</v>
      </c>
      <c r="C40" s="24"/>
      <c r="D40" s="7">
        <v>44259</v>
      </c>
      <c r="E40" s="16">
        <v>44260</v>
      </c>
      <c r="F40" s="16"/>
      <c r="G40" s="22" t="str">
        <f>VLOOKUP($H40,'NO TOCAR'!$A$2:$D$160,3,)</f>
        <v>Aforo en eventos profesionales (congresos, encuentros, etc.) en espacios abiertos y cerrados</v>
      </c>
      <c r="H40" s="31" t="s">
        <v>336</v>
      </c>
      <c r="I40" s="22" t="str">
        <f>VLOOKUP($H40,'NO TOCAR'!$A$2:$D$160,2,FALSE)</f>
        <v>Trabajo</v>
      </c>
      <c r="J40" s="22" t="str">
        <f>VLOOKUP($H40,'NO TOCAR'!$A$2:$D$160,4,FALSE)</f>
        <v>TR</v>
      </c>
      <c r="K40" s="32" t="s">
        <v>347</v>
      </c>
      <c r="L40" s="24">
        <v>30</v>
      </c>
      <c r="M40" s="27"/>
      <c r="N40" s="28"/>
      <c r="O40" s="28"/>
      <c r="P40" s="28"/>
      <c r="Q40" s="28"/>
    </row>
    <row r="41" spans="1:17" s="33" customFormat="1" ht="29" hidden="1" x14ac:dyDescent="0.35">
      <c r="A41" s="13" t="s">
        <v>345</v>
      </c>
      <c r="B41" s="13" t="s">
        <v>346</v>
      </c>
      <c r="C41" s="24"/>
      <c r="D41" s="7">
        <v>44002</v>
      </c>
      <c r="E41" s="16">
        <v>44003</v>
      </c>
      <c r="F41" s="16">
        <v>44124</v>
      </c>
      <c r="G41" s="22" t="str">
        <f>VLOOKUP($H41,'NO TOCAR'!$A$2:$D$160,3,)</f>
        <v>Aforo en eventos profesionales (congresos, encuentros, etc.) en espacios cerrados</v>
      </c>
      <c r="H41" s="31" t="s">
        <v>57</v>
      </c>
      <c r="I41" s="22" t="str">
        <f>VLOOKUP($H41,'NO TOCAR'!$A$2:$D$160,2,FALSE)</f>
        <v>Trabajo</v>
      </c>
      <c r="J41" s="22" t="str">
        <f>VLOOKUP($H41,'NO TOCAR'!$A$2:$D$160,4,FALSE)</f>
        <v>TR</v>
      </c>
      <c r="K41" s="32" t="s">
        <v>347</v>
      </c>
      <c r="L41" s="24">
        <v>75</v>
      </c>
      <c r="M41" s="27"/>
      <c r="N41" s="28"/>
      <c r="O41" s="28"/>
      <c r="P41" s="28"/>
      <c r="Q41" s="28"/>
    </row>
    <row r="42" spans="1:17" s="33" customFormat="1" ht="29" hidden="1" x14ac:dyDescent="0.35">
      <c r="A42" s="13" t="s">
        <v>345</v>
      </c>
      <c r="B42" s="13" t="s">
        <v>346</v>
      </c>
      <c r="C42" s="24"/>
      <c r="D42" s="7">
        <v>44123</v>
      </c>
      <c r="E42" s="16">
        <v>44124</v>
      </c>
      <c r="F42" s="16">
        <v>44141</v>
      </c>
      <c r="G42" s="22" t="str">
        <f>VLOOKUP($H42,'NO TOCAR'!$A$2:$D$160,3,)</f>
        <v>Aforo en eventos profesionales (congresos, encuentros, etc.) en espacios cerrados</v>
      </c>
      <c r="H42" s="31" t="s">
        <v>57</v>
      </c>
      <c r="I42" s="22" t="str">
        <f>VLOOKUP($H42,'NO TOCAR'!$A$2:$D$160,2,FALSE)</f>
        <v>Trabajo</v>
      </c>
      <c r="J42" s="22" t="str">
        <f>VLOOKUP($H42,'NO TOCAR'!$A$2:$D$160,4,FALSE)</f>
        <v>TR</v>
      </c>
      <c r="K42" s="32" t="s">
        <v>354</v>
      </c>
      <c r="L42" s="24">
        <v>20</v>
      </c>
      <c r="M42" s="27"/>
      <c r="N42" s="28"/>
      <c r="O42" s="28"/>
      <c r="P42" s="28"/>
      <c r="Q42" s="28"/>
    </row>
    <row r="43" spans="1:17" s="33" customFormat="1" ht="29" hidden="1" x14ac:dyDescent="0.35">
      <c r="A43" s="13" t="s">
        <v>345</v>
      </c>
      <c r="B43" s="13" t="s">
        <v>346</v>
      </c>
      <c r="C43" s="24"/>
      <c r="D43" s="7">
        <v>44002</v>
      </c>
      <c r="E43" s="30">
        <v>44003</v>
      </c>
      <c r="F43" s="30">
        <v>44141</v>
      </c>
      <c r="G43" s="22" t="str">
        <f>VLOOKUP($H43,'NO TOCAR'!$A$2:$D$160,3,)</f>
        <v>Aforo en festejos taurinos</v>
      </c>
      <c r="H43" s="26" t="s">
        <v>54</v>
      </c>
      <c r="I43" s="22" t="str">
        <f>VLOOKUP($H43,'NO TOCAR'!$A$2:$D$160,2,FALSE)</f>
        <v>Cultura y eventos (exc. deportivos)</v>
      </c>
      <c r="J43" s="22" t="str">
        <f>VLOOKUP($H43,'NO TOCAR'!$A$2:$D$160,4,FALSE)</f>
        <v>CD</v>
      </c>
      <c r="K43" s="24" t="s">
        <v>347</v>
      </c>
      <c r="L43" s="24">
        <v>50</v>
      </c>
      <c r="M43" s="27"/>
      <c r="N43" s="28"/>
      <c r="O43" s="28"/>
      <c r="P43" s="28"/>
      <c r="Q43" s="28"/>
    </row>
    <row r="44" spans="1:17" s="33" customFormat="1" ht="29" hidden="1" x14ac:dyDescent="0.35">
      <c r="A44" s="13"/>
      <c r="B44" s="13"/>
      <c r="C44" s="24"/>
      <c r="D44" s="25">
        <v>44179</v>
      </c>
      <c r="E44" s="30">
        <v>44180</v>
      </c>
      <c r="F44" s="30">
        <v>44201</v>
      </c>
      <c r="G44" s="22" t="str">
        <f>VLOOKUP($H44,'NO TOCAR'!$A$2:$D$160,3,)</f>
        <v>Aforo en festejos taurinos</v>
      </c>
      <c r="H44" s="26" t="s">
        <v>54</v>
      </c>
      <c r="I44" s="22" t="str">
        <f>VLOOKUP($H44,'NO TOCAR'!$A$2:$D$160,2,FALSE)</f>
        <v>Cultura y eventos (exc. deportivos)</v>
      </c>
      <c r="J44" s="22" t="str">
        <f>VLOOKUP($H44,'NO TOCAR'!$A$2:$D$160,4,FALSE)</f>
        <v>CD</v>
      </c>
      <c r="K44" s="24" t="s">
        <v>347</v>
      </c>
      <c r="L44" s="24">
        <v>25</v>
      </c>
      <c r="M44" s="27"/>
      <c r="N44" s="28"/>
      <c r="O44" s="28"/>
      <c r="P44" s="28"/>
      <c r="Q44" s="28"/>
    </row>
    <row r="45" spans="1:17" s="33" customFormat="1" hidden="1" x14ac:dyDescent="0.35">
      <c r="A45" s="13" t="s">
        <v>345</v>
      </c>
      <c r="B45" s="13" t="s">
        <v>346</v>
      </c>
      <c r="C45" s="24"/>
      <c r="D45" s="7">
        <v>44002</v>
      </c>
      <c r="E45" s="16">
        <v>44003</v>
      </c>
      <c r="F45" s="16">
        <v>44124</v>
      </c>
      <c r="G45" s="22" t="str">
        <f>VLOOKUP($H45,'NO TOCAR'!$A$2:$D$160,3,)</f>
        <v>Aforo en locales de apuestas, bingos etc.</v>
      </c>
      <c r="H45" s="26" t="s">
        <v>55</v>
      </c>
      <c r="I45" s="22" t="str">
        <f>VLOOKUP($H45,'NO TOCAR'!$A$2:$D$160,2,FALSE)</f>
        <v>Locales de apuestas</v>
      </c>
      <c r="J45" s="22" t="str">
        <f>VLOOKUP($H45,'NO TOCAR'!$A$2:$D$160,4,FALSE)</f>
        <v>LA</v>
      </c>
      <c r="K45" s="24" t="s">
        <v>347</v>
      </c>
      <c r="L45" s="24">
        <v>75</v>
      </c>
      <c r="M45" s="27"/>
      <c r="N45" s="28"/>
      <c r="O45" s="28"/>
      <c r="P45" s="28"/>
      <c r="Q45" s="28"/>
    </row>
    <row r="46" spans="1:17" s="33" customFormat="1" hidden="1" x14ac:dyDescent="0.35">
      <c r="A46" s="13" t="s">
        <v>345</v>
      </c>
      <c r="B46" s="13" t="s">
        <v>346</v>
      </c>
      <c r="C46" s="46"/>
      <c r="D46" s="17">
        <v>44200</v>
      </c>
      <c r="E46" s="17">
        <v>44201</v>
      </c>
      <c r="F46" s="30"/>
      <c r="G46" s="22" t="str">
        <f>VLOOKUP($H46,'NO TOCAR'!$A$2:$D$160,3,)</f>
        <v>Aforo en locales de apuestas, bingos etc.</v>
      </c>
      <c r="H46" s="26" t="s">
        <v>55</v>
      </c>
      <c r="I46" s="22" t="str">
        <f>VLOOKUP($H46,'NO TOCAR'!$A$2:$D$160,2,FALSE)</f>
        <v>Locales de apuestas</v>
      </c>
      <c r="J46" s="22" t="str">
        <f>VLOOKUP($H46,'NO TOCAR'!$A$2:$D$160,4,FALSE)</f>
        <v>LA</v>
      </c>
      <c r="K46" s="24" t="s">
        <v>347</v>
      </c>
      <c r="L46" s="24">
        <v>30</v>
      </c>
      <c r="M46" s="49"/>
      <c r="N46" s="49"/>
      <c r="O46" s="49"/>
      <c r="P46" s="49"/>
      <c r="Q46" s="49"/>
    </row>
    <row r="47" spans="1:17" s="33" customFormat="1" hidden="1" x14ac:dyDescent="0.35">
      <c r="A47" s="13" t="s">
        <v>345</v>
      </c>
      <c r="B47" s="13" t="s">
        <v>346</v>
      </c>
      <c r="C47" s="24"/>
      <c r="D47" s="7">
        <v>44123</v>
      </c>
      <c r="E47" s="16">
        <v>44124</v>
      </c>
      <c r="F47" s="16">
        <v>44141</v>
      </c>
      <c r="G47" s="22" t="str">
        <f>VLOOKUP($H47,'NO TOCAR'!$A$2:$D$160,3,)</f>
        <v>Aforo en locales de apuestas, bingos etc.</v>
      </c>
      <c r="H47" s="26" t="s">
        <v>55</v>
      </c>
      <c r="I47" s="22" t="str">
        <f>VLOOKUP($H47,'NO TOCAR'!$A$2:$D$160,2,FALSE)</f>
        <v>Locales de apuestas</v>
      </c>
      <c r="J47" s="22" t="str">
        <f>VLOOKUP($H47,'NO TOCAR'!$A$2:$D$160,4,FALSE)</f>
        <v>LA</v>
      </c>
      <c r="K47" s="24" t="s">
        <v>347</v>
      </c>
      <c r="L47" s="24">
        <v>50</v>
      </c>
      <c r="M47" s="27"/>
      <c r="N47" s="28"/>
      <c r="O47" s="28"/>
      <c r="P47" s="28"/>
      <c r="Q47" s="28"/>
    </row>
    <row r="48" spans="1:17" s="33" customFormat="1" hidden="1" x14ac:dyDescent="0.35">
      <c r="A48" s="13" t="s">
        <v>345</v>
      </c>
      <c r="B48" s="13" t="s">
        <v>346</v>
      </c>
      <c r="C48" s="46"/>
      <c r="D48" s="25">
        <v>44179</v>
      </c>
      <c r="E48" s="30">
        <v>44180</v>
      </c>
      <c r="F48" s="30">
        <v>44200</v>
      </c>
      <c r="G48" s="22" t="str">
        <f>VLOOKUP($H48,'NO TOCAR'!$A$2:$D$160,3,)</f>
        <v>Aforo en locales de apuestas, bingos etc.</v>
      </c>
      <c r="H48" s="26" t="s">
        <v>55</v>
      </c>
      <c r="I48" s="22" t="str">
        <f>VLOOKUP($H48,'NO TOCAR'!$A$2:$D$160,2,FALSE)</f>
        <v>Locales de apuestas</v>
      </c>
      <c r="J48" s="22" t="str">
        <f>VLOOKUP($H48,'NO TOCAR'!$A$2:$D$160,4,FALSE)</f>
        <v>LA</v>
      </c>
      <c r="K48" s="24" t="s">
        <v>347</v>
      </c>
      <c r="L48" s="24">
        <v>50</v>
      </c>
      <c r="M48" s="49"/>
      <c r="N48" s="49"/>
      <c r="O48" s="49"/>
      <c r="P48" s="49"/>
      <c r="Q48" s="49"/>
    </row>
    <row r="49" spans="1:17" s="33" customFormat="1" hidden="1" x14ac:dyDescent="0.35">
      <c r="A49" s="13" t="s">
        <v>355</v>
      </c>
      <c r="B49" s="13" t="s">
        <v>346</v>
      </c>
      <c r="C49" s="13" t="s">
        <v>356</v>
      </c>
      <c r="D49" s="7">
        <v>44004</v>
      </c>
      <c r="E49" s="7">
        <v>44004</v>
      </c>
      <c r="F49" s="7">
        <v>44026</v>
      </c>
      <c r="G49" s="22" t="str">
        <f>VLOOKUP($H49,'NO TOCAR'!$A$2:$D$160,3,)</f>
        <v>Aforo en locales de ocio nocturno en exteriores (si diferente de los interiores)</v>
      </c>
      <c r="H49" s="13" t="s">
        <v>37</v>
      </c>
      <c r="I49" s="22" t="str">
        <f>VLOOKUP($H49,'NO TOCAR'!$A$2:$D$160,2,FALSE)</f>
        <v>Ocio nocturno</v>
      </c>
      <c r="J49" s="22" t="str">
        <f>VLOOKUP($H49,'NO TOCAR'!$A$2:$D$160,4,FALSE)</f>
        <v>ON</v>
      </c>
      <c r="K49" s="13" t="s">
        <v>347</v>
      </c>
      <c r="L49" s="13">
        <v>75</v>
      </c>
      <c r="M49" s="12">
        <v>29.2</v>
      </c>
      <c r="N49" s="14"/>
      <c r="O49" s="14"/>
      <c r="P49" s="14"/>
      <c r="Q49" s="14"/>
    </row>
    <row r="50" spans="1:17" s="42" customFormat="1" hidden="1" x14ac:dyDescent="0.35">
      <c r="A50" s="33" t="s">
        <v>355</v>
      </c>
      <c r="B50" s="33" t="s">
        <v>346</v>
      </c>
      <c r="C50" s="33" t="s">
        <v>356</v>
      </c>
      <c r="D50" s="7">
        <v>44026</v>
      </c>
      <c r="E50" s="7">
        <v>44026</v>
      </c>
      <c r="F50" s="41">
        <v>44036</v>
      </c>
      <c r="G50" s="22" t="str">
        <f>VLOOKUP($H50,'NO TOCAR'!$A$2:$D$160,3,)</f>
        <v>Aforo en locales de ocio nocturno en exteriores (si diferente de los interiores)</v>
      </c>
      <c r="H50" s="33" t="s">
        <v>37</v>
      </c>
      <c r="I50" s="22" t="str">
        <f>VLOOKUP($H50,'NO TOCAR'!$A$2:$D$160,2,FALSE)</f>
        <v>Ocio nocturno</v>
      </c>
      <c r="J50" s="22" t="str">
        <f>VLOOKUP($H50,'NO TOCAR'!$A$2:$D$160,4,FALSE)</f>
        <v>ON</v>
      </c>
      <c r="K50" s="33" t="s">
        <v>347</v>
      </c>
      <c r="L50" s="33">
        <v>75</v>
      </c>
      <c r="M50" s="12"/>
      <c r="N50" s="34"/>
      <c r="O50" s="34"/>
      <c r="P50" s="34"/>
      <c r="Q50" s="34"/>
    </row>
    <row r="51" spans="1:17" s="42" customFormat="1" hidden="1" x14ac:dyDescent="0.35">
      <c r="A51" s="36" t="s">
        <v>355</v>
      </c>
      <c r="B51" s="36" t="s">
        <v>346</v>
      </c>
      <c r="C51" s="36" t="s">
        <v>358</v>
      </c>
      <c r="D51" s="37">
        <v>44026</v>
      </c>
      <c r="E51" s="37">
        <v>44026</v>
      </c>
      <c r="F51" s="7">
        <v>44060</v>
      </c>
      <c r="G51" s="22" t="str">
        <f>VLOOKUP($H51,'NO TOCAR'!$A$2:$D$160,3,)</f>
        <v>Aforo en locales de ocio nocturno en exteriores (si diferente de los interiores)</v>
      </c>
      <c r="H51" s="36" t="s">
        <v>37</v>
      </c>
      <c r="I51" s="22" t="str">
        <f>VLOOKUP($H51,'NO TOCAR'!$A$2:$D$160,2,FALSE)</f>
        <v>Ocio nocturno</v>
      </c>
      <c r="J51" s="22" t="str">
        <f>VLOOKUP($H51,'NO TOCAR'!$A$2:$D$160,4,FALSE)</f>
        <v>ON</v>
      </c>
      <c r="K51" s="36" t="s">
        <v>347</v>
      </c>
      <c r="L51" s="36">
        <v>75</v>
      </c>
      <c r="M51" s="38">
        <v>80.400000000000006</v>
      </c>
      <c r="N51" s="38"/>
      <c r="O51" s="38"/>
      <c r="P51" s="38"/>
      <c r="Q51" s="38"/>
    </row>
    <row r="52" spans="1:17" s="42" customFormat="1" hidden="1" x14ac:dyDescent="0.35">
      <c r="A52" s="42" t="s">
        <v>355</v>
      </c>
      <c r="B52" s="42" t="s">
        <v>346</v>
      </c>
      <c r="C52" s="42" t="s">
        <v>356</v>
      </c>
      <c r="D52" s="41">
        <v>44036</v>
      </c>
      <c r="E52" s="41">
        <v>44036</v>
      </c>
      <c r="F52" s="7">
        <v>44060</v>
      </c>
      <c r="G52" s="22" t="str">
        <f>VLOOKUP($H52,'NO TOCAR'!$A$2:$D$160,3,)</f>
        <v>Aforo en locales de ocio nocturno en exteriores (si diferente de los interiores)</v>
      </c>
      <c r="H52" s="45" t="s">
        <v>37</v>
      </c>
      <c r="I52" s="22" t="str">
        <f>VLOOKUP($H52,'NO TOCAR'!$A$2:$D$160,2,FALSE)</f>
        <v>Ocio nocturno</v>
      </c>
      <c r="J52" s="22" t="str">
        <f>VLOOKUP($H52,'NO TOCAR'!$A$2:$D$160,4,FALSE)</f>
        <v>ON</v>
      </c>
      <c r="K52" s="42" t="s">
        <v>347</v>
      </c>
      <c r="L52" s="42">
        <v>75</v>
      </c>
      <c r="M52" s="44">
        <v>49.9</v>
      </c>
      <c r="N52" s="44"/>
      <c r="O52" s="44"/>
      <c r="P52" s="44"/>
      <c r="Q52" s="44"/>
    </row>
    <row r="53" spans="1:17" s="42" customFormat="1" hidden="1" x14ac:dyDescent="0.35">
      <c r="A53" s="13" t="s">
        <v>345</v>
      </c>
      <c r="B53" s="13" t="s">
        <v>346</v>
      </c>
      <c r="C53" s="24"/>
      <c r="D53" s="7">
        <v>44002</v>
      </c>
      <c r="E53" s="16">
        <v>44003</v>
      </c>
      <c r="F53" s="7">
        <v>44060</v>
      </c>
      <c r="G53" s="22" t="str">
        <f>VLOOKUP($H53,'NO TOCAR'!$A$2:$D$160,3,)</f>
        <v>Aforo en locales de ocio nocturno en interiores (si diferente de los exteriores)</v>
      </c>
      <c r="H53" s="26" t="s">
        <v>36</v>
      </c>
      <c r="I53" s="22" t="str">
        <f>VLOOKUP($H53,'NO TOCAR'!$A$2:$D$160,2,FALSE)</f>
        <v>Ocio nocturno</v>
      </c>
      <c r="J53" s="22" t="str">
        <f>VLOOKUP($H53,'NO TOCAR'!$A$2:$D$160,4,FALSE)</f>
        <v>ON</v>
      </c>
      <c r="K53" s="32" t="s">
        <v>347</v>
      </c>
      <c r="L53" s="24">
        <v>50</v>
      </c>
      <c r="M53" s="27"/>
      <c r="N53" s="28"/>
      <c r="O53" s="28"/>
      <c r="P53" s="28"/>
      <c r="Q53" s="28"/>
    </row>
    <row r="54" spans="1:17" s="42" customFormat="1" hidden="1" x14ac:dyDescent="0.35">
      <c r="A54" s="13" t="s">
        <v>355</v>
      </c>
      <c r="B54" s="13" t="s">
        <v>346</v>
      </c>
      <c r="C54" s="13" t="s">
        <v>356</v>
      </c>
      <c r="D54" s="7">
        <v>44004</v>
      </c>
      <c r="E54" s="7">
        <v>44004</v>
      </c>
      <c r="F54" s="7">
        <v>44026</v>
      </c>
      <c r="G54" s="22" t="str">
        <f>VLOOKUP($H54,'NO TOCAR'!$A$2:$D$160,3,)</f>
        <v>Aforo en locales de ocio nocturno en interiores (si diferente de los exteriores)</v>
      </c>
      <c r="H54" s="13" t="s">
        <v>36</v>
      </c>
      <c r="I54" s="22" t="str">
        <f>VLOOKUP($H54,'NO TOCAR'!$A$2:$D$160,2,FALSE)</f>
        <v>Ocio nocturno</v>
      </c>
      <c r="J54" s="22" t="str">
        <f>VLOOKUP($H54,'NO TOCAR'!$A$2:$D$160,4,FALSE)</f>
        <v>ON</v>
      </c>
      <c r="K54" s="13" t="s">
        <v>347</v>
      </c>
      <c r="L54" s="13">
        <v>50</v>
      </c>
      <c r="M54" s="12">
        <v>29.2</v>
      </c>
      <c r="N54" s="14"/>
      <c r="O54" s="14"/>
      <c r="P54" s="14"/>
      <c r="Q54" s="14"/>
    </row>
    <row r="55" spans="1:17" s="42" customFormat="1" hidden="1" x14ac:dyDescent="0.35">
      <c r="A55" s="33" t="s">
        <v>355</v>
      </c>
      <c r="B55" s="33" t="s">
        <v>346</v>
      </c>
      <c r="C55" s="33" t="s">
        <v>356</v>
      </c>
      <c r="D55" s="7">
        <v>44026</v>
      </c>
      <c r="E55" s="7">
        <v>44026</v>
      </c>
      <c r="F55" s="41">
        <v>44036</v>
      </c>
      <c r="G55" s="22" t="str">
        <f>VLOOKUP($H55,'NO TOCAR'!$A$2:$D$160,3,)</f>
        <v>Aforo en locales de ocio nocturno en interiores (si diferente de los exteriores)</v>
      </c>
      <c r="H55" s="33" t="s">
        <v>36</v>
      </c>
      <c r="I55" s="22" t="str">
        <f>VLOOKUP($H55,'NO TOCAR'!$A$2:$D$160,2,FALSE)</f>
        <v>Ocio nocturno</v>
      </c>
      <c r="J55" s="22" t="str">
        <f>VLOOKUP($H55,'NO TOCAR'!$A$2:$D$160,4,FALSE)</f>
        <v>ON</v>
      </c>
      <c r="K55" s="33" t="s">
        <v>347</v>
      </c>
      <c r="L55" s="33">
        <v>50</v>
      </c>
      <c r="M55" s="12">
        <v>53.3</v>
      </c>
      <c r="N55" s="34"/>
      <c r="O55" s="34"/>
      <c r="P55" s="34"/>
      <c r="Q55" s="34"/>
    </row>
    <row r="56" spans="1:17" s="42" customFormat="1" hidden="1" x14ac:dyDescent="0.35">
      <c r="A56" s="36" t="s">
        <v>355</v>
      </c>
      <c r="B56" s="36" t="s">
        <v>346</v>
      </c>
      <c r="C56" s="36" t="s">
        <v>358</v>
      </c>
      <c r="D56" s="37">
        <v>44026</v>
      </c>
      <c r="E56" s="37">
        <v>44026</v>
      </c>
      <c r="F56" s="7">
        <v>44060</v>
      </c>
      <c r="G56" s="22" t="str">
        <f>VLOOKUP($H56,'NO TOCAR'!$A$2:$D$160,3,)</f>
        <v>Aforo en locales de ocio nocturno en interiores (si diferente de los exteriores)</v>
      </c>
      <c r="H56" s="36" t="s">
        <v>36</v>
      </c>
      <c r="I56" s="22" t="str">
        <f>VLOOKUP($H56,'NO TOCAR'!$A$2:$D$160,2,FALSE)</f>
        <v>Ocio nocturno</v>
      </c>
      <c r="J56" s="22" t="str">
        <f>VLOOKUP($H56,'NO TOCAR'!$A$2:$D$160,4,FALSE)</f>
        <v>ON</v>
      </c>
      <c r="K56" s="36" t="s">
        <v>347</v>
      </c>
      <c r="L56" s="36">
        <v>50</v>
      </c>
      <c r="M56" s="38">
        <v>80.400000000000006</v>
      </c>
      <c r="N56" s="38"/>
      <c r="O56" s="38"/>
      <c r="P56" s="38"/>
      <c r="Q56" s="38"/>
    </row>
    <row r="57" spans="1:17" s="42" customFormat="1" hidden="1" x14ac:dyDescent="0.35">
      <c r="A57" s="42" t="s">
        <v>355</v>
      </c>
      <c r="B57" s="42" t="s">
        <v>346</v>
      </c>
      <c r="C57" s="42" t="s">
        <v>356</v>
      </c>
      <c r="D57" s="41">
        <v>44036</v>
      </c>
      <c r="E57" s="41">
        <v>44036</v>
      </c>
      <c r="F57" s="7">
        <v>44060</v>
      </c>
      <c r="G57" s="22" t="str">
        <f>VLOOKUP($H57,'NO TOCAR'!$A$2:$D$160,3,)</f>
        <v>Aforo en locales de ocio nocturno en interiores (si diferente de los exteriores)</v>
      </c>
      <c r="H57" s="45" t="s">
        <v>36</v>
      </c>
      <c r="I57" s="22" t="str">
        <f>VLOOKUP($H57,'NO TOCAR'!$A$2:$D$160,2,FALSE)</f>
        <v>Ocio nocturno</v>
      </c>
      <c r="J57" s="22" t="str">
        <f>VLOOKUP($H57,'NO TOCAR'!$A$2:$D$160,4,FALSE)</f>
        <v>ON</v>
      </c>
      <c r="K57" s="42" t="s">
        <v>347</v>
      </c>
      <c r="L57" s="42">
        <v>50</v>
      </c>
      <c r="M57" s="44">
        <v>49.9</v>
      </c>
      <c r="N57" s="44"/>
      <c r="O57" s="44"/>
      <c r="P57" s="44"/>
      <c r="Q57" s="44"/>
    </row>
    <row r="58" spans="1:17" s="42" customFormat="1" hidden="1" x14ac:dyDescent="0.35">
      <c r="A58" s="13" t="s">
        <v>345</v>
      </c>
      <c r="B58" s="13" t="s">
        <v>346</v>
      </c>
      <c r="C58" s="13"/>
      <c r="D58" s="7">
        <v>44002</v>
      </c>
      <c r="E58" s="30">
        <v>44003</v>
      </c>
      <c r="F58" s="30">
        <v>44124</v>
      </c>
      <c r="G58" s="22" t="str">
        <f>VLOOKUP($H58,'NO TOCAR'!$A$2:$D$160,3,)</f>
        <v>Aforo en lugares de culto</v>
      </c>
      <c r="H58" s="31" t="s">
        <v>25</v>
      </c>
      <c r="I58" s="22" t="str">
        <f>VLOOKUP($H58,'NO TOCAR'!$A$2:$D$160,2,FALSE)</f>
        <v>Ceremonias religiosas</v>
      </c>
      <c r="J58" s="22" t="str">
        <f>VLOOKUP($H58,'NO TOCAR'!$A$2:$D$160,4,FALSE)</f>
        <v>CE</v>
      </c>
      <c r="K58" s="24" t="s">
        <v>347</v>
      </c>
      <c r="L58" s="24">
        <v>75</v>
      </c>
      <c r="M58" s="12"/>
      <c r="N58" s="14"/>
      <c r="O58" s="14"/>
      <c r="P58" s="14"/>
      <c r="Q58" s="14"/>
    </row>
    <row r="59" spans="1:17" s="42" customFormat="1" hidden="1" x14ac:dyDescent="0.35">
      <c r="A59" s="13" t="s">
        <v>355</v>
      </c>
      <c r="B59" s="13" t="s">
        <v>346</v>
      </c>
      <c r="C59" s="13" t="s">
        <v>356</v>
      </c>
      <c r="D59" s="7">
        <v>44004</v>
      </c>
      <c r="E59" s="7">
        <v>44004</v>
      </c>
      <c r="F59" s="7">
        <v>44026</v>
      </c>
      <c r="G59" s="22" t="str">
        <f>VLOOKUP($H59,'NO TOCAR'!$A$2:$D$160,3,)</f>
        <v>Aforo en lugares de culto</v>
      </c>
      <c r="H59" s="15" t="s">
        <v>25</v>
      </c>
      <c r="I59" s="22" t="str">
        <f>VLOOKUP($H59,'NO TOCAR'!$A$2:$D$160,2,FALSE)</f>
        <v>Ceremonias religiosas</v>
      </c>
      <c r="J59" s="22" t="str">
        <f>VLOOKUP($H59,'NO TOCAR'!$A$2:$D$160,4,FALSE)</f>
        <v>CE</v>
      </c>
      <c r="K59" s="13" t="s">
        <v>347</v>
      </c>
      <c r="L59" s="13">
        <v>50</v>
      </c>
      <c r="M59" s="12">
        <v>29.2</v>
      </c>
      <c r="N59" s="14"/>
      <c r="O59" s="14"/>
      <c r="P59" s="14"/>
      <c r="Q59" s="14"/>
    </row>
    <row r="60" spans="1:17" s="42" customFormat="1" hidden="1" x14ac:dyDescent="0.35">
      <c r="A60" s="33" t="s">
        <v>355</v>
      </c>
      <c r="B60" s="33" t="s">
        <v>346</v>
      </c>
      <c r="C60" s="33" t="s">
        <v>356</v>
      </c>
      <c r="D60" s="7">
        <v>44026</v>
      </c>
      <c r="E60" s="7">
        <v>44026</v>
      </c>
      <c r="F60" s="41">
        <v>44036</v>
      </c>
      <c r="G60" s="22" t="str">
        <f>VLOOKUP($H60,'NO TOCAR'!$A$2:$D$160,3,)</f>
        <v>Aforo en lugares de culto</v>
      </c>
      <c r="H60" s="35" t="s">
        <v>25</v>
      </c>
      <c r="I60" s="22" t="str">
        <f>VLOOKUP($H60,'NO TOCAR'!$A$2:$D$160,2,FALSE)</f>
        <v>Ceremonias religiosas</v>
      </c>
      <c r="J60" s="22" t="str">
        <f>VLOOKUP($H60,'NO TOCAR'!$A$2:$D$160,4,FALSE)</f>
        <v>CE</v>
      </c>
      <c r="K60" s="33" t="s">
        <v>347</v>
      </c>
      <c r="L60" s="33">
        <v>50</v>
      </c>
      <c r="M60" s="12">
        <v>53.3</v>
      </c>
      <c r="N60" s="34"/>
      <c r="O60" s="34"/>
      <c r="P60" s="34"/>
      <c r="Q60" s="34"/>
    </row>
    <row r="61" spans="1:17" s="42" customFormat="1" hidden="1" x14ac:dyDescent="0.35">
      <c r="A61" s="36" t="s">
        <v>355</v>
      </c>
      <c r="B61" s="36" t="s">
        <v>346</v>
      </c>
      <c r="C61" s="36" t="s">
        <v>358</v>
      </c>
      <c r="D61" s="37">
        <v>44026</v>
      </c>
      <c r="E61" s="37">
        <v>44026</v>
      </c>
      <c r="F61" s="56">
        <v>44078</v>
      </c>
      <c r="G61" s="22" t="str">
        <f>VLOOKUP($H61,'NO TOCAR'!$A$2:$D$160,3,)</f>
        <v>Aforo en lugares de culto</v>
      </c>
      <c r="H61" s="39" t="s">
        <v>25</v>
      </c>
      <c r="I61" s="22" t="str">
        <f>VLOOKUP($H61,'NO TOCAR'!$A$2:$D$160,2,FALSE)</f>
        <v>Ceremonias religiosas</v>
      </c>
      <c r="J61" s="22" t="str">
        <f>VLOOKUP($H61,'NO TOCAR'!$A$2:$D$160,4,FALSE)</f>
        <v>CE</v>
      </c>
      <c r="K61" s="36" t="s">
        <v>347</v>
      </c>
      <c r="L61" s="36">
        <v>50</v>
      </c>
      <c r="M61" s="38">
        <v>80.400000000000006</v>
      </c>
      <c r="N61" s="38"/>
      <c r="O61" s="38"/>
      <c r="P61" s="38"/>
      <c r="Q61" s="38"/>
    </row>
    <row r="62" spans="1:17" s="42" customFormat="1" hidden="1" x14ac:dyDescent="0.35">
      <c r="A62" s="46" t="s">
        <v>355</v>
      </c>
      <c r="B62" s="46" t="s">
        <v>346</v>
      </c>
      <c r="C62" s="46" t="s">
        <v>356</v>
      </c>
      <c r="D62" s="47">
        <v>44036</v>
      </c>
      <c r="E62" s="47">
        <v>44036</v>
      </c>
      <c r="F62" s="56">
        <v>44078</v>
      </c>
      <c r="G62" s="22" t="str">
        <f>VLOOKUP($H62,'NO TOCAR'!$A$2:$D$160,3,)</f>
        <v>Aforo en lugares de culto</v>
      </c>
      <c r="H62" s="48" t="s">
        <v>25</v>
      </c>
      <c r="I62" s="22" t="str">
        <f>VLOOKUP($H62,'NO TOCAR'!$A$2:$D$160,2,FALSE)</f>
        <v>Ceremonias religiosas</v>
      </c>
      <c r="J62" s="22" t="str">
        <f>VLOOKUP($H62,'NO TOCAR'!$A$2:$D$160,4,FALSE)</f>
        <v>CE</v>
      </c>
      <c r="K62" s="46" t="s">
        <v>347</v>
      </c>
      <c r="L62" s="46">
        <v>50</v>
      </c>
      <c r="M62" s="49">
        <f>17.7+49.9</f>
        <v>67.599999999999994</v>
      </c>
      <c r="N62" s="49"/>
      <c r="O62" s="49"/>
      <c r="P62" s="49"/>
      <c r="Q62" s="49"/>
    </row>
    <row r="63" spans="1:17" s="46" customFormat="1" hidden="1" x14ac:dyDescent="0.35">
      <c r="A63" s="46" t="s">
        <v>355</v>
      </c>
      <c r="B63" s="46" t="s">
        <v>346</v>
      </c>
      <c r="C63" s="46" t="s">
        <v>356</v>
      </c>
      <c r="D63" s="47">
        <v>44111</v>
      </c>
      <c r="E63" s="40">
        <v>44112</v>
      </c>
      <c r="F63" s="40">
        <v>44506</v>
      </c>
      <c r="G63" s="22" t="str">
        <f>VLOOKUP($H63,'NO TOCAR'!$A$2:$D$160,3,)</f>
        <v>Aforo en lugares de culto</v>
      </c>
      <c r="H63" s="48" t="s">
        <v>25</v>
      </c>
      <c r="I63" s="22" t="str">
        <f>VLOOKUP($H63,'NO TOCAR'!$A$2:$D$160,2,FALSE)</f>
        <v>Ceremonias religiosas</v>
      </c>
      <c r="J63" s="22" t="str">
        <f>VLOOKUP($H63,'NO TOCAR'!$A$2:$D$160,4,FALSE)</f>
        <v>CE</v>
      </c>
      <c r="K63" s="46" t="s">
        <v>347</v>
      </c>
      <c r="L63" s="46">
        <v>50</v>
      </c>
      <c r="M63" s="49">
        <v>24</v>
      </c>
      <c r="N63"/>
      <c r="O63"/>
      <c r="P63"/>
      <c r="Q63"/>
    </row>
    <row r="64" spans="1:17" s="46" customFormat="1" hidden="1" x14ac:dyDescent="0.35">
      <c r="A64" s="66" t="s">
        <v>355</v>
      </c>
      <c r="B64" s="66" t="s">
        <v>346</v>
      </c>
      <c r="C64" s="66" t="s">
        <v>358</v>
      </c>
      <c r="D64" s="7">
        <v>44111</v>
      </c>
      <c r="E64" s="16">
        <v>44112</v>
      </c>
      <c r="F64" s="16">
        <v>44118</v>
      </c>
      <c r="G64" s="22" t="str">
        <f>VLOOKUP($H64,'NO TOCAR'!$A$2:$D$160,3,)</f>
        <v>Aforo en lugares de culto</v>
      </c>
      <c r="H64" s="67" t="s">
        <v>25</v>
      </c>
      <c r="I64" s="22" t="str">
        <f>VLOOKUP($H64,'NO TOCAR'!$A$2:$D$160,2,FALSE)</f>
        <v>Ceremonias religiosas</v>
      </c>
      <c r="J64" s="22" t="str">
        <f>VLOOKUP($H64,'NO TOCAR'!$A$2:$D$160,4,FALSE)</f>
        <v>CE</v>
      </c>
      <c r="K64" s="66" t="s">
        <v>347</v>
      </c>
      <c r="L64" s="66">
        <v>50</v>
      </c>
      <c r="M64" s="68">
        <v>70</v>
      </c>
      <c r="N64" s="14"/>
      <c r="O64" s="14"/>
      <c r="P64" s="14"/>
      <c r="Q64" s="14"/>
    </row>
    <row r="65" spans="1:17" s="46" customFormat="1" hidden="1" x14ac:dyDescent="0.35">
      <c r="A65" s="59" t="s">
        <v>355</v>
      </c>
      <c r="B65" s="59" t="s">
        <v>346</v>
      </c>
      <c r="C65" s="59" t="s">
        <v>361</v>
      </c>
      <c r="D65" s="60">
        <v>44118</v>
      </c>
      <c r="E65" s="60">
        <v>44119</v>
      </c>
      <c r="F65" s="61">
        <v>44506</v>
      </c>
      <c r="G65" s="22" t="str">
        <f>VLOOKUP($H65,'NO TOCAR'!$A$2:$D$160,3,)</f>
        <v>Aforo en lugares de culto</v>
      </c>
      <c r="H65" s="62" t="s">
        <v>25</v>
      </c>
      <c r="I65" s="22" t="str">
        <f>VLOOKUP($H65,'NO TOCAR'!$A$2:$D$160,2,FALSE)</f>
        <v>Ceremonias religiosas</v>
      </c>
      <c r="J65" s="22" t="str">
        <f>VLOOKUP($H65,'NO TOCAR'!$A$2:$D$160,4,FALSE)</f>
        <v>CE</v>
      </c>
      <c r="K65" s="59" t="s">
        <v>347</v>
      </c>
      <c r="L65" s="59">
        <v>50</v>
      </c>
      <c r="M65" s="63">
        <v>29</v>
      </c>
      <c r="N65"/>
      <c r="O65"/>
      <c r="P65"/>
      <c r="Q65"/>
    </row>
    <row r="66" spans="1:17" s="46" customFormat="1" hidden="1" x14ac:dyDescent="0.35">
      <c r="A66" s="13" t="s">
        <v>345</v>
      </c>
      <c r="B66" s="13" t="s">
        <v>346</v>
      </c>
      <c r="C66" s="13"/>
      <c r="D66" s="17">
        <v>44252</v>
      </c>
      <c r="E66" s="17">
        <v>44253</v>
      </c>
      <c r="F66" s="30"/>
      <c r="G66" s="22" t="s">
        <v>152</v>
      </c>
      <c r="H66" s="31" t="s">
        <v>25</v>
      </c>
      <c r="I66" s="22" t="s">
        <v>150</v>
      </c>
      <c r="J66" s="22" t="s">
        <v>151</v>
      </c>
      <c r="K66" s="24" t="s">
        <v>347</v>
      </c>
      <c r="L66" s="24">
        <v>50</v>
      </c>
      <c r="M66" s="12"/>
      <c r="N66" s="14"/>
      <c r="O66" s="14"/>
      <c r="P66" s="14"/>
      <c r="Q66" s="14"/>
    </row>
    <row r="67" spans="1:17" s="46" customFormat="1" hidden="1" x14ac:dyDescent="0.35">
      <c r="A67" s="13" t="s">
        <v>345</v>
      </c>
      <c r="B67" s="13" t="s">
        <v>346</v>
      </c>
      <c r="C67" s="13"/>
      <c r="D67" s="7">
        <v>44123</v>
      </c>
      <c r="E67" s="30">
        <v>44124</v>
      </c>
      <c r="F67" s="30">
        <v>44141</v>
      </c>
      <c r="G67" s="22" t="str">
        <f>VLOOKUP($H67,'NO TOCAR'!$A$2:$D$160,3,)</f>
        <v>Aforo en lugares de culto</v>
      </c>
      <c r="H67" s="31" t="s">
        <v>25</v>
      </c>
      <c r="I67" s="22" t="str">
        <f>VLOOKUP($H67,'NO TOCAR'!$A$2:$D$160,2,FALSE)</f>
        <v>Ceremonias religiosas</v>
      </c>
      <c r="J67" s="22" t="str">
        <f>VLOOKUP($H67,'NO TOCAR'!$A$2:$D$160,4,FALSE)</f>
        <v>CE</v>
      </c>
      <c r="K67" s="24" t="s">
        <v>347</v>
      </c>
      <c r="L67" s="24">
        <v>50</v>
      </c>
      <c r="M67" s="12"/>
      <c r="N67" s="14"/>
      <c r="O67" s="14"/>
      <c r="P67" s="14"/>
      <c r="Q67" s="14"/>
    </row>
    <row r="68" spans="1:17" s="46" customFormat="1" hidden="1" x14ac:dyDescent="0.35">
      <c r="A68" s="13" t="s">
        <v>345</v>
      </c>
      <c r="B68" s="13" t="s">
        <v>346</v>
      </c>
      <c r="C68" s="13"/>
      <c r="D68" s="7">
        <v>44140</v>
      </c>
      <c r="E68" s="30">
        <v>44141</v>
      </c>
      <c r="F68" s="30">
        <v>44189</v>
      </c>
      <c r="G68" s="22" t="str">
        <f>VLOOKUP($H68,'NO TOCAR'!$A$2:$D$160,3,)</f>
        <v>Aforo en lugares de culto</v>
      </c>
      <c r="H68" s="31" t="s">
        <v>25</v>
      </c>
      <c r="I68" s="22" t="str">
        <f>VLOOKUP($H68,'NO TOCAR'!$A$2:$D$160,2,FALSE)</f>
        <v>Ceremonias religiosas</v>
      </c>
      <c r="J68" s="22" t="str">
        <f>VLOOKUP($H68,'NO TOCAR'!$A$2:$D$160,4,FALSE)</f>
        <v>CE</v>
      </c>
      <c r="K68" s="24" t="s">
        <v>347</v>
      </c>
      <c r="L68" s="24">
        <v>25</v>
      </c>
      <c r="M68" s="12"/>
      <c r="N68" s="14"/>
      <c r="O68" s="14"/>
      <c r="P68" s="14"/>
      <c r="Q68" s="14"/>
    </row>
    <row r="69" spans="1:17" s="46" customFormat="1" hidden="1" x14ac:dyDescent="0.35">
      <c r="A69" s="13" t="s">
        <v>345</v>
      </c>
      <c r="B69" s="13" t="s">
        <v>346</v>
      </c>
      <c r="C69" s="13"/>
      <c r="D69" s="7">
        <v>44179</v>
      </c>
      <c r="E69" s="30">
        <v>44189</v>
      </c>
      <c r="F69" s="30">
        <v>44202</v>
      </c>
      <c r="G69" s="22" t="str">
        <f>VLOOKUP($H69,'NO TOCAR'!$A$2:$D$160,3,)</f>
        <v>Aforo en lugares de culto</v>
      </c>
      <c r="H69" s="31" t="s">
        <v>25</v>
      </c>
      <c r="I69" s="22" t="str">
        <f>VLOOKUP($H69,'NO TOCAR'!$A$2:$D$160,2,FALSE)</f>
        <v>Ceremonias religiosas</v>
      </c>
      <c r="J69" s="22" t="str">
        <f>VLOOKUP($H69,'NO TOCAR'!$A$2:$D$160,4,FALSE)</f>
        <v>CE</v>
      </c>
      <c r="K69" s="24" t="s">
        <v>347</v>
      </c>
      <c r="L69" s="24">
        <v>50</v>
      </c>
      <c r="M69" s="12"/>
      <c r="N69" s="14"/>
      <c r="O69" s="14"/>
      <c r="P69" s="14"/>
      <c r="Q69" s="14"/>
    </row>
    <row r="70" spans="1:17" s="46" customFormat="1" hidden="1" x14ac:dyDescent="0.35">
      <c r="A70" s="13" t="s">
        <v>345</v>
      </c>
      <c r="B70" s="13" t="s">
        <v>346</v>
      </c>
      <c r="C70" s="13"/>
      <c r="D70" s="7">
        <v>44179</v>
      </c>
      <c r="E70" s="30">
        <v>44202</v>
      </c>
      <c r="F70" s="30">
        <v>44201</v>
      </c>
      <c r="G70" s="22" t="str">
        <f>VLOOKUP($H70,'NO TOCAR'!$A$2:$D$160,3,)</f>
        <v>Aforo en lugares de culto</v>
      </c>
      <c r="H70" s="31" t="s">
        <v>25</v>
      </c>
      <c r="I70" s="22" t="str">
        <f>VLOOKUP($H70,'NO TOCAR'!$A$2:$D$160,2,FALSE)</f>
        <v>Ceremonias religiosas</v>
      </c>
      <c r="J70" s="22" t="str">
        <f>VLOOKUP($H70,'NO TOCAR'!$A$2:$D$160,4,FALSE)</f>
        <v>CE</v>
      </c>
      <c r="K70" s="24" t="s">
        <v>347</v>
      </c>
      <c r="L70" s="24">
        <v>25</v>
      </c>
      <c r="M70" s="12"/>
      <c r="N70" s="14"/>
      <c r="O70" s="14"/>
      <c r="P70" s="14"/>
      <c r="Q70" s="14"/>
    </row>
    <row r="71" spans="1:17" s="46" customFormat="1" hidden="1" x14ac:dyDescent="0.35">
      <c r="A71" s="13" t="s">
        <v>345</v>
      </c>
      <c r="B71" s="13" t="s">
        <v>346</v>
      </c>
      <c r="C71" s="13"/>
      <c r="D71" s="17">
        <v>44200</v>
      </c>
      <c r="E71" s="17">
        <v>44201</v>
      </c>
      <c r="F71" s="30">
        <v>44252</v>
      </c>
      <c r="G71" s="22" t="s">
        <v>152</v>
      </c>
      <c r="H71" s="31" t="s">
        <v>25</v>
      </c>
      <c r="I71" s="22" t="s">
        <v>150</v>
      </c>
      <c r="J71" s="22" t="s">
        <v>151</v>
      </c>
      <c r="K71" s="24" t="s">
        <v>347</v>
      </c>
      <c r="L71" s="24">
        <v>25</v>
      </c>
      <c r="M71" s="12"/>
      <c r="N71" s="14"/>
      <c r="O71" s="14"/>
      <c r="P71" s="14"/>
      <c r="Q71" s="14"/>
    </row>
    <row r="72" spans="1:17" s="46" customFormat="1" hidden="1" x14ac:dyDescent="0.35">
      <c r="A72" s="13" t="s">
        <v>355</v>
      </c>
      <c r="B72" s="13" t="s">
        <v>346</v>
      </c>
      <c r="C72" s="13" t="s">
        <v>356</v>
      </c>
      <c r="D72" s="7">
        <v>44004</v>
      </c>
      <c r="E72" s="7">
        <v>44004</v>
      </c>
      <c r="F72" s="7">
        <v>44026</v>
      </c>
      <c r="G72" s="22" t="str">
        <f>VLOOKUP($H72,'NO TOCAR'!$A$2:$D$160,3,)</f>
        <v>Aforo en otras ceremonias (bodas, bautizos) en espacios exteriores</v>
      </c>
      <c r="H72" s="15" t="s">
        <v>27</v>
      </c>
      <c r="I72" s="22" t="str">
        <f>VLOOKUP($H72,'NO TOCAR'!$A$2:$D$160,2,FALSE)</f>
        <v>Ceremonias religiosas</v>
      </c>
      <c r="J72" s="22" t="str">
        <f>VLOOKUP($H72,'NO TOCAR'!$A$2:$D$160,4,FALSE)</f>
        <v>CE</v>
      </c>
      <c r="K72" s="13" t="s">
        <v>347</v>
      </c>
      <c r="L72" s="13">
        <v>50</v>
      </c>
      <c r="M72" s="12">
        <v>29.2</v>
      </c>
      <c r="N72" s="14"/>
      <c r="O72" s="14"/>
      <c r="P72" s="14"/>
      <c r="Q72" s="14"/>
    </row>
    <row r="73" spans="1:17" s="46" customFormat="1" hidden="1" x14ac:dyDescent="0.35">
      <c r="A73" s="13" t="s">
        <v>355</v>
      </c>
      <c r="B73" s="13" t="s">
        <v>346</v>
      </c>
      <c r="C73" s="13" t="s">
        <v>356</v>
      </c>
      <c r="D73" s="7">
        <v>44004</v>
      </c>
      <c r="E73" s="7">
        <v>44004</v>
      </c>
      <c r="F73" s="7">
        <v>44026</v>
      </c>
      <c r="G73" s="22" t="str">
        <f>VLOOKUP($H73,'NO TOCAR'!$A$2:$D$160,3,)</f>
        <v>Aforo en otras ceremonias (bodas, bautizos) en espacios exteriores</v>
      </c>
      <c r="H73" s="15" t="s">
        <v>27</v>
      </c>
      <c r="I73" s="22" t="str">
        <f>VLOOKUP($H73,'NO TOCAR'!$A$2:$D$160,2,FALSE)</f>
        <v>Ceremonias religiosas</v>
      </c>
      <c r="J73" s="22" t="str">
        <f>VLOOKUP($H73,'NO TOCAR'!$A$2:$D$160,4,FALSE)</f>
        <v>CE</v>
      </c>
      <c r="K73" s="13" t="s">
        <v>354</v>
      </c>
      <c r="L73" s="13">
        <v>100</v>
      </c>
      <c r="M73" s="12">
        <v>29.2</v>
      </c>
      <c r="N73" s="14"/>
      <c r="O73" s="14"/>
      <c r="P73" s="14"/>
      <c r="Q73" s="14"/>
    </row>
    <row r="74" spans="1:17" s="46" customFormat="1" hidden="1" x14ac:dyDescent="0.35">
      <c r="A74" s="33" t="s">
        <v>355</v>
      </c>
      <c r="B74" s="33" t="s">
        <v>346</v>
      </c>
      <c r="C74" s="33" t="s">
        <v>356</v>
      </c>
      <c r="D74" s="7">
        <v>44026</v>
      </c>
      <c r="E74" s="7">
        <v>44026</v>
      </c>
      <c r="F74" s="41">
        <v>44036</v>
      </c>
      <c r="G74" s="22" t="str">
        <f>VLOOKUP($H74,'NO TOCAR'!$A$2:$D$160,3,)</f>
        <v>Aforo en otras ceremonias (bodas, bautizos) en espacios exteriores</v>
      </c>
      <c r="H74" s="35" t="s">
        <v>27</v>
      </c>
      <c r="I74" s="22" t="str">
        <f>VLOOKUP($H74,'NO TOCAR'!$A$2:$D$160,2,FALSE)</f>
        <v>Ceremonias religiosas</v>
      </c>
      <c r="J74" s="22" t="str">
        <f>VLOOKUP($H74,'NO TOCAR'!$A$2:$D$160,4,FALSE)</f>
        <v>CE</v>
      </c>
      <c r="K74" s="33" t="s">
        <v>347</v>
      </c>
      <c r="L74" s="33">
        <v>50</v>
      </c>
      <c r="M74" s="12">
        <v>53.3</v>
      </c>
      <c r="N74" s="34"/>
      <c r="O74" s="34"/>
      <c r="P74" s="34"/>
      <c r="Q74" s="34"/>
    </row>
    <row r="75" spans="1:17" s="46" customFormat="1" hidden="1" x14ac:dyDescent="0.35">
      <c r="A75" s="33" t="s">
        <v>355</v>
      </c>
      <c r="B75" s="33" t="s">
        <v>346</v>
      </c>
      <c r="C75" s="33" t="s">
        <v>356</v>
      </c>
      <c r="D75" s="7">
        <v>44026</v>
      </c>
      <c r="E75" s="7">
        <v>44026</v>
      </c>
      <c r="F75" s="41">
        <v>44036</v>
      </c>
      <c r="G75" s="22" t="str">
        <f>VLOOKUP($H75,'NO TOCAR'!$A$2:$D$160,3,)</f>
        <v>Aforo en otras ceremonias (bodas, bautizos) en espacios exteriores</v>
      </c>
      <c r="H75" s="35" t="s">
        <v>27</v>
      </c>
      <c r="I75" s="22" t="str">
        <f>VLOOKUP($H75,'NO TOCAR'!$A$2:$D$160,2,FALSE)</f>
        <v>Ceremonias religiosas</v>
      </c>
      <c r="J75" s="22" t="str">
        <f>VLOOKUP($H75,'NO TOCAR'!$A$2:$D$160,4,FALSE)</f>
        <v>CE</v>
      </c>
      <c r="K75" s="33" t="s">
        <v>354</v>
      </c>
      <c r="L75" s="33">
        <v>100</v>
      </c>
      <c r="M75" s="12">
        <v>53.3</v>
      </c>
      <c r="N75" s="34"/>
      <c r="O75" s="34"/>
      <c r="P75" s="34"/>
      <c r="Q75" s="34"/>
    </row>
    <row r="76" spans="1:17" s="46" customFormat="1" hidden="1" x14ac:dyDescent="0.35">
      <c r="A76" s="36" t="s">
        <v>355</v>
      </c>
      <c r="B76" s="36" t="s">
        <v>346</v>
      </c>
      <c r="C76" s="36" t="s">
        <v>358</v>
      </c>
      <c r="D76" s="37">
        <v>44026</v>
      </c>
      <c r="E76" s="37">
        <v>44026</v>
      </c>
      <c r="F76" s="56">
        <v>44078</v>
      </c>
      <c r="G76" s="22" t="str">
        <f>VLOOKUP($H76,'NO TOCAR'!$A$2:$D$160,3,)</f>
        <v>Aforo en otras ceremonias (bodas, bautizos) en espacios exteriores</v>
      </c>
      <c r="H76" s="39" t="s">
        <v>27</v>
      </c>
      <c r="I76" s="22" t="str">
        <f>VLOOKUP($H76,'NO TOCAR'!$A$2:$D$160,2,FALSE)</f>
        <v>Ceremonias religiosas</v>
      </c>
      <c r="J76" s="22" t="str">
        <f>VLOOKUP($H76,'NO TOCAR'!$A$2:$D$160,4,FALSE)</f>
        <v>CE</v>
      </c>
      <c r="K76" s="36" t="s">
        <v>347</v>
      </c>
      <c r="L76" s="36">
        <v>50</v>
      </c>
      <c r="M76" s="38">
        <v>80.400000000000006</v>
      </c>
      <c r="N76" s="38"/>
      <c r="O76" s="38"/>
      <c r="P76" s="38"/>
      <c r="Q76" s="38"/>
    </row>
    <row r="77" spans="1:17" s="46" customFormat="1" hidden="1" x14ac:dyDescent="0.35">
      <c r="A77" s="36" t="s">
        <v>355</v>
      </c>
      <c r="B77" s="36" t="s">
        <v>346</v>
      </c>
      <c r="C77" s="36" t="s">
        <v>358</v>
      </c>
      <c r="D77" s="37">
        <v>44026</v>
      </c>
      <c r="E77" s="37">
        <v>44026</v>
      </c>
      <c r="F77" s="56">
        <v>44078</v>
      </c>
      <c r="G77" s="22" t="str">
        <f>VLOOKUP($H77,'NO TOCAR'!$A$2:$D$160,3,)</f>
        <v>Aforo en otras ceremonias (bodas, bautizos) en espacios exteriores</v>
      </c>
      <c r="H77" s="39" t="s">
        <v>27</v>
      </c>
      <c r="I77" s="22" t="str">
        <f>VLOOKUP($H77,'NO TOCAR'!$A$2:$D$160,2,FALSE)</f>
        <v>Ceremonias religiosas</v>
      </c>
      <c r="J77" s="22" t="str">
        <f>VLOOKUP($H77,'NO TOCAR'!$A$2:$D$160,4,FALSE)</f>
        <v>CE</v>
      </c>
      <c r="K77" s="36" t="s">
        <v>354</v>
      </c>
      <c r="L77" s="36">
        <v>100</v>
      </c>
      <c r="M77" s="38">
        <v>80.400000000000006</v>
      </c>
      <c r="N77" s="38"/>
      <c r="O77" s="38"/>
      <c r="P77" s="38"/>
      <c r="Q77" s="38"/>
    </row>
    <row r="78" spans="1:17" s="46" customFormat="1" hidden="1" x14ac:dyDescent="0.35">
      <c r="A78" s="46" t="s">
        <v>355</v>
      </c>
      <c r="B78" s="46" t="s">
        <v>346</v>
      </c>
      <c r="C78" s="46" t="s">
        <v>356</v>
      </c>
      <c r="D78" s="47">
        <v>44036</v>
      </c>
      <c r="E78" s="47">
        <v>44036</v>
      </c>
      <c r="F78" s="56">
        <v>44078</v>
      </c>
      <c r="G78" s="22" t="str">
        <f>VLOOKUP($H78,'NO TOCAR'!$A$2:$D$160,3,)</f>
        <v>Aforo en otras ceremonias (bodas, bautizos) en espacios exteriores</v>
      </c>
      <c r="H78" s="48" t="s">
        <v>27</v>
      </c>
      <c r="I78" s="22" t="str">
        <f>VLOOKUP($H78,'NO TOCAR'!$A$2:$D$160,2,FALSE)</f>
        <v>Ceremonias religiosas</v>
      </c>
      <c r="J78" s="22" t="str">
        <f>VLOOKUP($H78,'NO TOCAR'!$A$2:$D$160,4,FALSE)</f>
        <v>CE</v>
      </c>
      <c r="K78" s="46" t="s">
        <v>347</v>
      </c>
      <c r="L78" s="46">
        <v>50</v>
      </c>
      <c r="M78" s="49">
        <f>17.7+49.9</f>
        <v>67.599999999999994</v>
      </c>
      <c r="N78" s="49"/>
      <c r="O78" s="49"/>
      <c r="P78" s="49"/>
      <c r="Q78" s="49"/>
    </row>
    <row r="79" spans="1:17" s="46" customFormat="1" hidden="1" x14ac:dyDescent="0.35">
      <c r="A79" s="46" t="s">
        <v>355</v>
      </c>
      <c r="B79" s="46" t="s">
        <v>346</v>
      </c>
      <c r="C79" s="46" t="s">
        <v>356</v>
      </c>
      <c r="D79" s="47">
        <v>44036</v>
      </c>
      <c r="E79" s="47">
        <v>44036</v>
      </c>
      <c r="F79" s="56">
        <v>44078</v>
      </c>
      <c r="G79" s="22" t="str">
        <f>VLOOKUP($H79,'NO TOCAR'!$A$2:$D$160,3,)</f>
        <v>Aforo en otras ceremonias (bodas, bautizos) en espacios exteriores</v>
      </c>
      <c r="H79" s="48" t="s">
        <v>27</v>
      </c>
      <c r="I79" s="22" t="str">
        <f>VLOOKUP($H79,'NO TOCAR'!$A$2:$D$160,2,FALSE)</f>
        <v>Ceremonias religiosas</v>
      </c>
      <c r="J79" s="22" t="str">
        <f>VLOOKUP($H79,'NO TOCAR'!$A$2:$D$160,4,FALSE)</f>
        <v>CE</v>
      </c>
      <c r="K79" s="46" t="s">
        <v>354</v>
      </c>
      <c r="L79" s="46">
        <v>100</v>
      </c>
      <c r="M79" s="49">
        <f>17.7+49.9</f>
        <v>67.599999999999994</v>
      </c>
      <c r="N79" s="49"/>
      <c r="O79" s="49"/>
      <c r="P79" s="49"/>
      <c r="Q79" s="49"/>
    </row>
    <row r="80" spans="1:17" s="46" customFormat="1" hidden="1" x14ac:dyDescent="0.35">
      <c r="A80" s="13" t="s">
        <v>345</v>
      </c>
      <c r="B80" s="13" t="s">
        <v>346</v>
      </c>
      <c r="C80" s="13"/>
      <c r="D80" s="7">
        <v>44083</v>
      </c>
      <c r="E80" s="25">
        <v>44083</v>
      </c>
      <c r="F80" s="30">
        <v>44124</v>
      </c>
      <c r="G80" s="22" t="str">
        <f>VLOOKUP($H80,'NO TOCAR'!$A$2:$D$160,3,)</f>
        <v>Aforo en otras ceremonias (bodas, bautizos) en espacios exteriores</v>
      </c>
      <c r="H80" s="26" t="s">
        <v>27</v>
      </c>
      <c r="I80" s="22" t="str">
        <f>VLOOKUP($H80,'NO TOCAR'!$A$2:$D$160,2,FALSE)</f>
        <v>Ceremonias religiosas</v>
      </c>
      <c r="J80" s="22" t="str">
        <f>VLOOKUP($H80,'NO TOCAR'!$A$2:$D$160,4,FALSE)</f>
        <v>CE</v>
      </c>
      <c r="K80" s="32" t="s">
        <v>354</v>
      </c>
      <c r="L80" s="24">
        <v>100</v>
      </c>
      <c r="M80" s="14"/>
      <c r="N80" s="14"/>
      <c r="O80" s="14"/>
      <c r="P80" s="14"/>
      <c r="Q80" s="14"/>
    </row>
    <row r="81" spans="1:17" s="46" customFormat="1" hidden="1" x14ac:dyDescent="0.35">
      <c r="A81" s="46" t="s">
        <v>355</v>
      </c>
      <c r="B81" s="46" t="s">
        <v>346</v>
      </c>
      <c r="C81" s="46" t="s">
        <v>356</v>
      </c>
      <c r="D81" s="47">
        <v>44111</v>
      </c>
      <c r="E81" s="40">
        <v>44112</v>
      </c>
      <c r="F81" s="40">
        <v>44506</v>
      </c>
      <c r="G81" s="22" t="str">
        <f>VLOOKUP($H81,'NO TOCAR'!$A$2:$D$160,3,)</f>
        <v>Aforo en otras ceremonias (bodas, bautizos) en espacios exteriores</v>
      </c>
      <c r="H81" s="48" t="s">
        <v>27</v>
      </c>
      <c r="I81" s="22" t="str">
        <f>VLOOKUP($H81,'NO TOCAR'!$A$2:$D$160,2,FALSE)</f>
        <v>Ceremonias religiosas</v>
      </c>
      <c r="J81" s="22" t="str">
        <f>VLOOKUP($H81,'NO TOCAR'!$A$2:$D$160,4,FALSE)</f>
        <v>CE</v>
      </c>
      <c r="K81" s="46" t="s">
        <v>347</v>
      </c>
      <c r="L81" s="46">
        <v>50</v>
      </c>
      <c r="M81" s="49">
        <v>24</v>
      </c>
      <c r="N81"/>
      <c r="O81"/>
      <c r="P81"/>
      <c r="Q81"/>
    </row>
    <row r="82" spans="1:17" s="46" customFormat="1" hidden="1" x14ac:dyDescent="0.35">
      <c r="A82" s="46" t="s">
        <v>355</v>
      </c>
      <c r="B82" s="46" t="s">
        <v>346</v>
      </c>
      <c r="C82" s="46" t="s">
        <v>356</v>
      </c>
      <c r="D82" s="47">
        <v>44111</v>
      </c>
      <c r="E82" s="40">
        <v>44112</v>
      </c>
      <c r="F82" s="40">
        <v>44506</v>
      </c>
      <c r="G82" s="22" t="str">
        <f>VLOOKUP($H82,'NO TOCAR'!$A$2:$D$160,3,)</f>
        <v>Aforo en otras ceremonias (bodas, bautizos) en espacios exteriores</v>
      </c>
      <c r="H82" s="48" t="s">
        <v>27</v>
      </c>
      <c r="I82" s="22" t="str">
        <f>VLOOKUP($H82,'NO TOCAR'!$A$2:$D$160,2,FALSE)</f>
        <v>Ceremonias religiosas</v>
      </c>
      <c r="J82" s="22" t="str">
        <f>VLOOKUP($H82,'NO TOCAR'!$A$2:$D$160,4,FALSE)</f>
        <v>CE</v>
      </c>
      <c r="K82" s="46" t="s">
        <v>354</v>
      </c>
      <c r="L82" s="46">
        <v>100</v>
      </c>
      <c r="M82" s="49">
        <v>24</v>
      </c>
      <c r="N82"/>
      <c r="O82"/>
      <c r="P82"/>
      <c r="Q82"/>
    </row>
    <row r="83" spans="1:17" s="46" customFormat="1" hidden="1" x14ac:dyDescent="0.35">
      <c r="A83" s="59" t="s">
        <v>355</v>
      </c>
      <c r="B83" s="59" t="s">
        <v>346</v>
      </c>
      <c r="C83" s="59" t="s">
        <v>361</v>
      </c>
      <c r="D83" s="60">
        <v>44118</v>
      </c>
      <c r="E83" s="60">
        <v>44119</v>
      </c>
      <c r="F83" s="61">
        <v>44506</v>
      </c>
      <c r="G83" s="22" t="str">
        <f>VLOOKUP($H83,'NO TOCAR'!$A$2:$D$160,3,)</f>
        <v>Aforo en otras ceremonias (bodas, bautizos) en espacios exteriores</v>
      </c>
      <c r="H83" s="62" t="s">
        <v>27</v>
      </c>
      <c r="I83" s="22" t="str">
        <f>VLOOKUP($H83,'NO TOCAR'!$A$2:$D$160,2,FALSE)</f>
        <v>Ceremonias religiosas</v>
      </c>
      <c r="J83" s="22" t="str">
        <f>VLOOKUP($H83,'NO TOCAR'!$A$2:$D$160,4,FALSE)</f>
        <v>CE</v>
      </c>
      <c r="K83" s="59" t="s">
        <v>347</v>
      </c>
      <c r="L83" s="59">
        <v>50</v>
      </c>
      <c r="M83" s="63">
        <v>29</v>
      </c>
      <c r="N83"/>
      <c r="O83"/>
      <c r="P83"/>
      <c r="Q83"/>
    </row>
    <row r="84" spans="1:17" s="46" customFormat="1" hidden="1" x14ac:dyDescent="0.35">
      <c r="A84" s="66" t="s">
        <v>355</v>
      </c>
      <c r="B84" s="66" t="s">
        <v>346</v>
      </c>
      <c r="C84" s="66" t="s">
        <v>358</v>
      </c>
      <c r="D84" s="7">
        <v>44111</v>
      </c>
      <c r="E84" s="16">
        <v>44112</v>
      </c>
      <c r="F84" s="16">
        <v>44118</v>
      </c>
      <c r="G84" s="22" t="str">
        <f>VLOOKUP($H84,'NO TOCAR'!$A$2:$D$160,3,)</f>
        <v>Aforo en otras ceremonias (bodas, bautizos) en espacios exteriores</v>
      </c>
      <c r="H84" s="67" t="s">
        <v>27</v>
      </c>
      <c r="I84" s="22" t="str">
        <f>VLOOKUP($H84,'NO TOCAR'!$A$2:$D$160,2,FALSE)</f>
        <v>Ceremonias religiosas</v>
      </c>
      <c r="J84" s="22" t="str">
        <f>VLOOKUP($H84,'NO TOCAR'!$A$2:$D$160,4,FALSE)</f>
        <v>CE</v>
      </c>
      <c r="K84" s="66" t="s">
        <v>347</v>
      </c>
      <c r="L84" s="66">
        <v>50</v>
      </c>
      <c r="M84" s="68">
        <v>70</v>
      </c>
      <c r="N84" s="14"/>
      <c r="O84" s="14"/>
      <c r="P84" s="14"/>
      <c r="Q84" s="14"/>
    </row>
    <row r="85" spans="1:17" s="46" customFormat="1" hidden="1" x14ac:dyDescent="0.35">
      <c r="A85" s="66" t="s">
        <v>355</v>
      </c>
      <c r="B85" s="66" t="s">
        <v>346</v>
      </c>
      <c r="C85" s="66" t="s">
        <v>358</v>
      </c>
      <c r="D85" s="7">
        <v>44111</v>
      </c>
      <c r="E85" s="16">
        <v>44112</v>
      </c>
      <c r="F85" s="16">
        <v>44118</v>
      </c>
      <c r="G85" s="22" t="str">
        <f>VLOOKUP($H85,'NO TOCAR'!$A$2:$D$160,3,)</f>
        <v>Aforo en otras ceremonias (bodas, bautizos) en espacios exteriores</v>
      </c>
      <c r="H85" s="67" t="s">
        <v>27</v>
      </c>
      <c r="I85" s="22" t="str">
        <f>VLOOKUP($H85,'NO TOCAR'!$A$2:$D$160,2,FALSE)</f>
        <v>Ceremonias religiosas</v>
      </c>
      <c r="J85" s="22" t="str">
        <f>VLOOKUP($H85,'NO TOCAR'!$A$2:$D$160,4,FALSE)</f>
        <v>CE</v>
      </c>
      <c r="K85" s="66" t="s">
        <v>354</v>
      </c>
      <c r="L85" s="66">
        <v>100</v>
      </c>
      <c r="M85" s="68">
        <v>70</v>
      </c>
      <c r="N85" s="14"/>
      <c r="O85" s="14"/>
      <c r="P85" s="14"/>
      <c r="Q85" s="14"/>
    </row>
    <row r="86" spans="1:17" s="46" customFormat="1" hidden="1" x14ac:dyDescent="0.35">
      <c r="A86" s="59" t="s">
        <v>355</v>
      </c>
      <c r="B86" s="59" t="s">
        <v>346</v>
      </c>
      <c r="C86" s="59" t="s">
        <v>361</v>
      </c>
      <c r="D86" s="60">
        <v>44118</v>
      </c>
      <c r="E86" s="60">
        <v>44119</v>
      </c>
      <c r="F86" s="61">
        <v>44506</v>
      </c>
      <c r="G86" s="22" t="str">
        <f>VLOOKUP($H86,'NO TOCAR'!$A$2:$D$160,3,)</f>
        <v>Aforo en otras ceremonias (bodas, bautizos) en espacios exteriores</v>
      </c>
      <c r="H86" s="62" t="s">
        <v>27</v>
      </c>
      <c r="I86" s="22" t="str">
        <f>VLOOKUP($H86,'NO TOCAR'!$A$2:$D$160,2,FALSE)</f>
        <v>Ceremonias religiosas</v>
      </c>
      <c r="J86" s="22" t="str">
        <f>VLOOKUP($H86,'NO TOCAR'!$A$2:$D$160,4,FALSE)</f>
        <v>CE</v>
      </c>
      <c r="K86" s="59" t="s">
        <v>354</v>
      </c>
      <c r="L86" s="59">
        <v>100</v>
      </c>
      <c r="M86" s="63">
        <v>29</v>
      </c>
      <c r="N86"/>
      <c r="O86"/>
      <c r="P86"/>
      <c r="Q86"/>
    </row>
    <row r="87" spans="1:17" s="46" customFormat="1" hidden="1" x14ac:dyDescent="0.35">
      <c r="A87" s="13" t="s">
        <v>345</v>
      </c>
      <c r="B87" s="13" t="s">
        <v>346</v>
      </c>
      <c r="C87" s="13"/>
      <c r="D87" s="17">
        <v>44200</v>
      </c>
      <c r="E87" s="17">
        <v>44201</v>
      </c>
      <c r="F87" s="30"/>
      <c r="G87" s="22" t="s">
        <v>156</v>
      </c>
      <c r="H87" s="26" t="s">
        <v>27</v>
      </c>
      <c r="I87" s="22" t="s">
        <v>150</v>
      </c>
      <c r="J87" s="22" t="s">
        <v>151</v>
      </c>
      <c r="K87" s="32" t="s">
        <v>354</v>
      </c>
      <c r="L87" s="24">
        <v>15</v>
      </c>
      <c r="M87" s="14"/>
      <c r="N87" s="14"/>
      <c r="O87" s="14"/>
      <c r="P87" s="14"/>
      <c r="Q87" s="14"/>
    </row>
    <row r="88" spans="1:17" s="46" customFormat="1" hidden="1" x14ac:dyDescent="0.35">
      <c r="A88" s="13" t="s">
        <v>345</v>
      </c>
      <c r="B88" s="13" t="s">
        <v>346</v>
      </c>
      <c r="C88" s="13"/>
      <c r="D88" s="7">
        <v>44123</v>
      </c>
      <c r="E88" s="30">
        <v>44124</v>
      </c>
      <c r="F88" s="30">
        <v>44141</v>
      </c>
      <c r="G88" s="22" t="str">
        <f>VLOOKUP($H88,'NO TOCAR'!$A$2:$D$160,3,)</f>
        <v>Aforo en otras ceremonias (bodas, bautizos) en espacios exteriores</v>
      </c>
      <c r="H88" s="26" t="s">
        <v>27</v>
      </c>
      <c r="I88" s="22" t="str">
        <f>VLOOKUP($H88,'NO TOCAR'!$A$2:$D$160,2,FALSE)</f>
        <v>Ceremonias religiosas</v>
      </c>
      <c r="J88" s="22" t="str">
        <f>VLOOKUP($H88,'NO TOCAR'!$A$2:$D$160,4,FALSE)</f>
        <v>CE</v>
      </c>
      <c r="K88" s="32" t="s">
        <v>354</v>
      </c>
      <c r="L88" s="24">
        <v>35</v>
      </c>
      <c r="M88" s="14"/>
      <c r="N88" s="14"/>
      <c r="O88" s="14"/>
      <c r="P88" s="14"/>
      <c r="Q88" s="14"/>
    </row>
    <row r="89" spans="1:17" s="46" customFormat="1" hidden="1" x14ac:dyDescent="0.35">
      <c r="A89" s="13" t="s">
        <v>345</v>
      </c>
      <c r="B89" s="13" t="s">
        <v>346</v>
      </c>
      <c r="C89" s="13"/>
      <c r="D89" s="7">
        <v>44140</v>
      </c>
      <c r="E89" s="30">
        <v>44141</v>
      </c>
      <c r="F89" s="30">
        <v>44201</v>
      </c>
      <c r="G89" s="22" t="str">
        <f>VLOOKUP($H89,'NO TOCAR'!$A$2:$D$160,3,)</f>
        <v>Aforo en otras ceremonias (bodas, bautizos) en espacios exteriores</v>
      </c>
      <c r="H89" s="26" t="s">
        <v>27</v>
      </c>
      <c r="I89" s="22" t="str">
        <f>VLOOKUP($H89,'NO TOCAR'!$A$2:$D$160,2,FALSE)</f>
        <v>Ceremonias religiosas</v>
      </c>
      <c r="J89" s="22" t="str">
        <f>VLOOKUP($H89,'NO TOCAR'!$A$2:$D$160,4,FALSE)</f>
        <v>CE</v>
      </c>
      <c r="K89" s="32" t="s">
        <v>354</v>
      </c>
      <c r="L89" s="24">
        <v>15</v>
      </c>
      <c r="M89" s="14"/>
      <c r="N89" s="14"/>
      <c r="O89" s="14"/>
      <c r="P89" s="14"/>
      <c r="Q89" s="14"/>
    </row>
    <row r="90" spans="1:17" s="46" customFormat="1" hidden="1" x14ac:dyDescent="0.35">
      <c r="A90" s="13" t="s">
        <v>355</v>
      </c>
      <c r="B90" s="13" t="s">
        <v>346</v>
      </c>
      <c r="C90" s="13" t="s">
        <v>356</v>
      </c>
      <c r="D90" s="7">
        <v>44004</v>
      </c>
      <c r="E90" s="7">
        <v>44004</v>
      </c>
      <c r="F90" s="7">
        <v>44026</v>
      </c>
      <c r="G90" s="22" t="str">
        <f>VLOOKUP($H90,'NO TOCAR'!$A$2:$D$160,3,)</f>
        <v>Aforo en otras ceremonias (bodas, bautizos) en espacios interiores</v>
      </c>
      <c r="H90" s="15" t="s">
        <v>26</v>
      </c>
      <c r="I90" s="22" t="str">
        <f>VLOOKUP($H90,'NO TOCAR'!$A$2:$D$160,2,FALSE)</f>
        <v>Ceremonias religiosas</v>
      </c>
      <c r="J90" s="22" t="str">
        <f>VLOOKUP($H90,'NO TOCAR'!$A$2:$D$160,4,FALSE)</f>
        <v>CE</v>
      </c>
      <c r="K90" s="13" t="s">
        <v>347</v>
      </c>
      <c r="L90" s="13">
        <v>50</v>
      </c>
      <c r="M90" s="12">
        <v>29.2</v>
      </c>
      <c r="N90" s="14"/>
      <c r="O90" s="14"/>
      <c r="P90" s="14"/>
      <c r="Q90" s="14"/>
    </row>
    <row r="91" spans="1:17" s="46" customFormat="1" hidden="1" x14ac:dyDescent="0.35">
      <c r="A91" s="13" t="s">
        <v>355</v>
      </c>
      <c r="B91" s="13" t="s">
        <v>346</v>
      </c>
      <c r="C91" s="13" t="s">
        <v>356</v>
      </c>
      <c r="D91" s="7">
        <v>44004</v>
      </c>
      <c r="E91" s="7">
        <v>44004</v>
      </c>
      <c r="F91" s="7">
        <v>44026</v>
      </c>
      <c r="G91" s="22" t="str">
        <f>VLOOKUP($H91,'NO TOCAR'!$A$2:$D$160,3,)</f>
        <v>Aforo en otras ceremonias (bodas, bautizos) en espacios interiores</v>
      </c>
      <c r="H91" s="15" t="s">
        <v>26</v>
      </c>
      <c r="I91" s="22" t="str">
        <f>VLOOKUP($H91,'NO TOCAR'!$A$2:$D$160,2,FALSE)</f>
        <v>Ceremonias religiosas</v>
      </c>
      <c r="J91" s="22" t="str">
        <f>VLOOKUP($H91,'NO TOCAR'!$A$2:$D$160,4,FALSE)</f>
        <v>CE</v>
      </c>
      <c r="K91" s="13" t="s">
        <v>354</v>
      </c>
      <c r="L91" s="13">
        <v>50</v>
      </c>
      <c r="M91" s="12">
        <v>29.2</v>
      </c>
      <c r="N91" s="14"/>
      <c r="O91" s="14"/>
      <c r="P91" s="14"/>
      <c r="Q91" s="14"/>
    </row>
    <row r="92" spans="1:17" s="46" customFormat="1" hidden="1" x14ac:dyDescent="0.35">
      <c r="A92" s="33" t="s">
        <v>355</v>
      </c>
      <c r="B92" s="33" t="s">
        <v>346</v>
      </c>
      <c r="C92" s="33" t="s">
        <v>356</v>
      </c>
      <c r="D92" s="7">
        <v>44026</v>
      </c>
      <c r="E92" s="7">
        <v>44026</v>
      </c>
      <c r="F92" s="41">
        <v>44036</v>
      </c>
      <c r="G92" s="22" t="str">
        <f>VLOOKUP($H92,'NO TOCAR'!$A$2:$D$160,3,)</f>
        <v>Aforo en otras ceremonias (bodas, bautizos) en espacios interiores</v>
      </c>
      <c r="H92" s="35" t="s">
        <v>26</v>
      </c>
      <c r="I92" s="22" t="str">
        <f>VLOOKUP($H92,'NO TOCAR'!$A$2:$D$160,2,FALSE)</f>
        <v>Ceremonias religiosas</v>
      </c>
      <c r="J92" s="22" t="str">
        <f>VLOOKUP($H92,'NO TOCAR'!$A$2:$D$160,4,FALSE)</f>
        <v>CE</v>
      </c>
      <c r="K92" s="33" t="s">
        <v>347</v>
      </c>
      <c r="L92" s="33">
        <v>50</v>
      </c>
      <c r="M92" s="12">
        <v>53.3</v>
      </c>
      <c r="N92" s="34"/>
      <c r="O92" s="34"/>
      <c r="P92" s="34"/>
      <c r="Q92" s="34"/>
    </row>
    <row r="93" spans="1:17" s="46" customFormat="1" hidden="1" x14ac:dyDescent="0.35">
      <c r="A93" s="33" t="s">
        <v>355</v>
      </c>
      <c r="B93" s="33" t="s">
        <v>346</v>
      </c>
      <c r="C93" s="33" t="s">
        <v>356</v>
      </c>
      <c r="D93" s="7">
        <v>44026</v>
      </c>
      <c r="E93" s="7">
        <v>44026</v>
      </c>
      <c r="F93" s="41">
        <v>44036</v>
      </c>
      <c r="G93" s="22" t="str">
        <f>VLOOKUP($H93,'NO TOCAR'!$A$2:$D$160,3,)</f>
        <v>Aforo en otras ceremonias (bodas, bautizos) en espacios interiores</v>
      </c>
      <c r="H93" s="35" t="s">
        <v>26</v>
      </c>
      <c r="I93" s="22" t="str">
        <f>VLOOKUP($H93,'NO TOCAR'!$A$2:$D$160,2,FALSE)</f>
        <v>Ceremonias religiosas</v>
      </c>
      <c r="J93" s="22" t="str">
        <f>VLOOKUP($H93,'NO TOCAR'!$A$2:$D$160,4,FALSE)</f>
        <v>CE</v>
      </c>
      <c r="K93" s="33" t="s">
        <v>354</v>
      </c>
      <c r="L93" s="33">
        <v>50</v>
      </c>
      <c r="M93" s="12">
        <v>53.3</v>
      </c>
      <c r="N93" s="34"/>
      <c r="O93" s="34"/>
      <c r="P93" s="34"/>
      <c r="Q93" s="34"/>
    </row>
    <row r="94" spans="1:17" s="46" customFormat="1" hidden="1" x14ac:dyDescent="0.35">
      <c r="A94" s="36" t="s">
        <v>355</v>
      </c>
      <c r="B94" s="36" t="s">
        <v>346</v>
      </c>
      <c r="C94" s="36" t="s">
        <v>358</v>
      </c>
      <c r="D94" s="37">
        <v>44026</v>
      </c>
      <c r="E94" s="37">
        <v>44026</v>
      </c>
      <c r="F94" s="56">
        <v>44078</v>
      </c>
      <c r="G94" s="22" t="str">
        <f>VLOOKUP($H94,'NO TOCAR'!$A$2:$D$160,3,)</f>
        <v>Aforo en otras ceremonias (bodas, bautizos) en espacios interiores</v>
      </c>
      <c r="H94" s="39" t="s">
        <v>26</v>
      </c>
      <c r="I94" s="22" t="str">
        <f>VLOOKUP($H94,'NO TOCAR'!$A$2:$D$160,2,FALSE)</f>
        <v>Ceremonias religiosas</v>
      </c>
      <c r="J94" s="22" t="str">
        <f>VLOOKUP($H94,'NO TOCAR'!$A$2:$D$160,4,FALSE)</f>
        <v>CE</v>
      </c>
      <c r="K94" s="36" t="s">
        <v>347</v>
      </c>
      <c r="L94" s="36">
        <v>50</v>
      </c>
      <c r="M94" s="38">
        <v>80.400000000000006</v>
      </c>
      <c r="N94" s="38"/>
      <c r="O94" s="38"/>
      <c r="P94" s="38"/>
      <c r="Q94" s="38"/>
    </row>
    <row r="95" spans="1:17" s="36" customFormat="1" hidden="1" x14ac:dyDescent="0.35">
      <c r="A95" s="36" t="s">
        <v>355</v>
      </c>
      <c r="B95" s="36" t="s">
        <v>346</v>
      </c>
      <c r="C95" s="36" t="s">
        <v>358</v>
      </c>
      <c r="D95" s="37">
        <v>44026</v>
      </c>
      <c r="E95" s="37">
        <v>44026</v>
      </c>
      <c r="F95" s="56">
        <v>44078</v>
      </c>
      <c r="G95" s="22" t="str">
        <f>VLOOKUP($H95,'NO TOCAR'!$A$2:$D$160,3,)</f>
        <v>Aforo en otras ceremonias (bodas, bautizos) en espacios interiores</v>
      </c>
      <c r="H95" s="39" t="s">
        <v>26</v>
      </c>
      <c r="I95" s="22" t="str">
        <f>VLOOKUP($H95,'NO TOCAR'!$A$2:$D$160,2,FALSE)</f>
        <v>Ceremonias religiosas</v>
      </c>
      <c r="J95" s="22" t="str">
        <f>VLOOKUP($H95,'NO TOCAR'!$A$2:$D$160,4,FALSE)</f>
        <v>CE</v>
      </c>
      <c r="K95" s="36" t="s">
        <v>354</v>
      </c>
      <c r="L95" s="36">
        <v>50</v>
      </c>
      <c r="M95" s="38">
        <v>80.400000000000006</v>
      </c>
      <c r="N95" s="38"/>
      <c r="O95" s="38"/>
      <c r="P95" s="38"/>
      <c r="Q95" s="38"/>
    </row>
    <row r="96" spans="1:17" s="36" customFormat="1" hidden="1" x14ac:dyDescent="0.35">
      <c r="A96" s="46" t="s">
        <v>355</v>
      </c>
      <c r="B96" s="46" t="s">
        <v>346</v>
      </c>
      <c r="C96" s="46" t="s">
        <v>356</v>
      </c>
      <c r="D96" s="47">
        <v>44036</v>
      </c>
      <c r="E96" s="47">
        <v>44036</v>
      </c>
      <c r="F96" s="56">
        <v>44078</v>
      </c>
      <c r="G96" s="22" t="str">
        <f>VLOOKUP($H96,'NO TOCAR'!$A$2:$D$160,3,)</f>
        <v>Aforo en otras ceremonias (bodas, bautizos) en espacios interiores</v>
      </c>
      <c r="H96" s="48" t="s">
        <v>26</v>
      </c>
      <c r="I96" s="22" t="str">
        <f>VLOOKUP($H96,'NO TOCAR'!$A$2:$D$160,2,FALSE)</f>
        <v>Ceremonias religiosas</v>
      </c>
      <c r="J96" s="22" t="str">
        <f>VLOOKUP($H96,'NO TOCAR'!$A$2:$D$160,4,FALSE)</f>
        <v>CE</v>
      </c>
      <c r="K96" s="46" t="s">
        <v>347</v>
      </c>
      <c r="L96" s="46">
        <v>50</v>
      </c>
      <c r="M96" s="49">
        <f>17.7+49.9</f>
        <v>67.599999999999994</v>
      </c>
      <c r="N96" s="49"/>
      <c r="O96" s="49"/>
      <c r="P96" s="49"/>
      <c r="Q96" s="49"/>
    </row>
    <row r="97" spans="1:17" s="36" customFormat="1" hidden="1" x14ac:dyDescent="0.35">
      <c r="A97" s="46" t="s">
        <v>355</v>
      </c>
      <c r="B97" s="46" t="s">
        <v>346</v>
      </c>
      <c r="C97" s="46" t="s">
        <v>356</v>
      </c>
      <c r="D97" s="47">
        <v>44036</v>
      </c>
      <c r="E97" s="47">
        <v>44036</v>
      </c>
      <c r="F97" s="56">
        <v>44078</v>
      </c>
      <c r="G97" s="22" t="str">
        <f>VLOOKUP($H97,'NO TOCAR'!$A$2:$D$160,3,)</f>
        <v>Aforo en otras ceremonias (bodas, bautizos) en espacios interiores</v>
      </c>
      <c r="H97" s="48" t="s">
        <v>26</v>
      </c>
      <c r="I97" s="22" t="str">
        <f>VLOOKUP($H97,'NO TOCAR'!$A$2:$D$160,2,FALSE)</f>
        <v>Ceremonias religiosas</v>
      </c>
      <c r="J97" s="22" t="str">
        <f>VLOOKUP($H97,'NO TOCAR'!$A$2:$D$160,4,FALSE)</f>
        <v>CE</v>
      </c>
      <c r="K97" s="46" t="s">
        <v>354</v>
      </c>
      <c r="L97" s="46">
        <v>50</v>
      </c>
      <c r="M97" s="49">
        <f>17.7+49.9</f>
        <v>67.599999999999994</v>
      </c>
      <c r="N97" s="49"/>
      <c r="O97" s="49"/>
      <c r="P97" s="49"/>
      <c r="Q97" s="49"/>
    </row>
    <row r="98" spans="1:17" s="36" customFormat="1" hidden="1" x14ac:dyDescent="0.35">
      <c r="A98" s="13" t="s">
        <v>345</v>
      </c>
      <c r="B98" s="13" t="s">
        <v>346</v>
      </c>
      <c r="C98" s="13"/>
      <c r="D98" s="7">
        <v>44083</v>
      </c>
      <c r="E98" s="25">
        <v>44083</v>
      </c>
      <c r="F98" s="30">
        <v>44124</v>
      </c>
      <c r="G98" s="22" t="str">
        <f>VLOOKUP($H98,'NO TOCAR'!$A$2:$D$160,3,)</f>
        <v>Aforo en otras ceremonias (bodas, bautizos) en espacios interiores</v>
      </c>
      <c r="H98" s="26" t="s">
        <v>26</v>
      </c>
      <c r="I98" s="22" t="str">
        <f>VLOOKUP($H98,'NO TOCAR'!$A$2:$D$160,2,FALSE)</f>
        <v>Ceremonias religiosas</v>
      </c>
      <c r="J98" s="22" t="str">
        <f>VLOOKUP($H98,'NO TOCAR'!$A$2:$D$160,4,FALSE)</f>
        <v>CE</v>
      </c>
      <c r="K98" s="32" t="s">
        <v>354</v>
      </c>
      <c r="L98" s="24">
        <v>50</v>
      </c>
      <c r="M98" s="14"/>
      <c r="N98" s="14"/>
      <c r="O98" s="14"/>
      <c r="P98" s="14"/>
      <c r="Q98" s="14"/>
    </row>
    <row r="99" spans="1:17" s="36" customFormat="1" hidden="1" x14ac:dyDescent="0.35">
      <c r="A99" s="66" t="s">
        <v>355</v>
      </c>
      <c r="B99" s="66" t="s">
        <v>346</v>
      </c>
      <c r="C99" s="66" t="s">
        <v>358</v>
      </c>
      <c r="D99" s="7">
        <v>44111</v>
      </c>
      <c r="E99" s="16">
        <v>44112</v>
      </c>
      <c r="F99" s="16">
        <v>44118</v>
      </c>
      <c r="G99" s="22" t="str">
        <f>VLOOKUP($H99,'NO TOCAR'!$A$2:$D$160,3,)</f>
        <v>Aforo en otras ceremonias (bodas, bautizos) en espacios interiores</v>
      </c>
      <c r="H99" s="67" t="s">
        <v>26</v>
      </c>
      <c r="I99" s="22" t="str">
        <f>VLOOKUP($H99,'NO TOCAR'!$A$2:$D$160,2,FALSE)</f>
        <v>Ceremonias religiosas</v>
      </c>
      <c r="J99" s="22" t="str">
        <f>VLOOKUP($H99,'NO TOCAR'!$A$2:$D$160,4,FALSE)</f>
        <v>CE</v>
      </c>
      <c r="K99" s="66" t="s">
        <v>347</v>
      </c>
      <c r="L99" s="66">
        <v>50</v>
      </c>
      <c r="M99" s="68">
        <v>70</v>
      </c>
      <c r="N99" s="14"/>
      <c r="O99" s="14"/>
      <c r="P99" s="14"/>
      <c r="Q99" s="14"/>
    </row>
    <row r="100" spans="1:17" s="36" customFormat="1" hidden="1" x14ac:dyDescent="0.35">
      <c r="A100" s="66" t="s">
        <v>355</v>
      </c>
      <c r="B100" s="66" t="s">
        <v>346</v>
      </c>
      <c r="C100" s="66" t="s">
        <v>358</v>
      </c>
      <c r="D100" s="7">
        <v>44111</v>
      </c>
      <c r="E100" s="16">
        <v>44112</v>
      </c>
      <c r="F100" s="16">
        <v>44118</v>
      </c>
      <c r="G100" s="22" t="str">
        <f>VLOOKUP($H100,'NO TOCAR'!$A$2:$D$160,3,)</f>
        <v>Aforo en otras ceremonias (bodas, bautizos) en espacios interiores</v>
      </c>
      <c r="H100" s="67" t="s">
        <v>26</v>
      </c>
      <c r="I100" s="22" t="str">
        <f>VLOOKUP($H100,'NO TOCAR'!$A$2:$D$160,2,FALSE)</f>
        <v>Ceremonias religiosas</v>
      </c>
      <c r="J100" s="22" t="str">
        <f>VLOOKUP($H100,'NO TOCAR'!$A$2:$D$160,4,FALSE)</f>
        <v>CE</v>
      </c>
      <c r="K100" s="66" t="s">
        <v>354</v>
      </c>
      <c r="L100" s="66">
        <v>50</v>
      </c>
      <c r="M100" s="68">
        <v>70</v>
      </c>
      <c r="N100" s="14"/>
      <c r="O100" s="14"/>
      <c r="P100" s="14"/>
      <c r="Q100" s="14"/>
    </row>
    <row r="101" spans="1:17" s="36" customFormat="1" hidden="1" x14ac:dyDescent="0.35">
      <c r="A101" s="46" t="s">
        <v>355</v>
      </c>
      <c r="B101" s="46" t="s">
        <v>346</v>
      </c>
      <c r="C101" s="46" t="s">
        <v>356</v>
      </c>
      <c r="D101" s="47">
        <v>44111</v>
      </c>
      <c r="E101" s="40">
        <v>44112</v>
      </c>
      <c r="F101" s="40">
        <v>44506</v>
      </c>
      <c r="G101" s="22" t="str">
        <f>VLOOKUP($H101,'NO TOCAR'!$A$2:$D$160,3,)</f>
        <v>Aforo en otras ceremonias (bodas, bautizos) en espacios interiores</v>
      </c>
      <c r="H101" s="48" t="s">
        <v>26</v>
      </c>
      <c r="I101" s="22" t="str">
        <f>VLOOKUP($H101,'NO TOCAR'!$A$2:$D$160,2,FALSE)</f>
        <v>Ceremonias religiosas</v>
      </c>
      <c r="J101" s="22" t="str">
        <f>VLOOKUP($H101,'NO TOCAR'!$A$2:$D$160,4,FALSE)</f>
        <v>CE</v>
      </c>
      <c r="K101" s="46" t="s">
        <v>347</v>
      </c>
      <c r="L101" s="46">
        <v>50</v>
      </c>
      <c r="M101" s="49">
        <v>24</v>
      </c>
      <c r="N101"/>
      <c r="O101"/>
      <c r="P101"/>
      <c r="Q101"/>
    </row>
    <row r="102" spans="1:17" s="36" customFormat="1" hidden="1" x14ac:dyDescent="0.35">
      <c r="A102" s="46" t="s">
        <v>355</v>
      </c>
      <c r="B102" s="46" t="s">
        <v>346</v>
      </c>
      <c r="C102" s="46" t="s">
        <v>356</v>
      </c>
      <c r="D102" s="47">
        <v>44111</v>
      </c>
      <c r="E102" s="40">
        <v>44112</v>
      </c>
      <c r="F102" s="40">
        <v>44506</v>
      </c>
      <c r="G102" s="22" t="str">
        <f>VLOOKUP($H102,'NO TOCAR'!$A$2:$D$160,3,)</f>
        <v>Aforo en otras ceremonias (bodas, bautizos) en espacios interiores</v>
      </c>
      <c r="H102" s="48" t="s">
        <v>26</v>
      </c>
      <c r="I102" s="22" t="str">
        <f>VLOOKUP($H102,'NO TOCAR'!$A$2:$D$160,2,FALSE)</f>
        <v>Ceremonias religiosas</v>
      </c>
      <c r="J102" s="22" t="str">
        <f>VLOOKUP($H102,'NO TOCAR'!$A$2:$D$160,4,FALSE)</f>
        <v>CE</v>
      </c>
      <c r="K102" s="46" t="s">
        <v>354</v>
      </c>
      <c r="L102" s="46">
        <v>50</v>
      </c>
      <c r="M102" s="49">
        <v>24</v>
      </c>
      <c r="N102"/>
      <c r="O102"/>
      <c r="P102"/>
      <c r="Q102"/>
    </row>
    <row r="103" spans="1:17" s="36" customFormat="1" hidden="1" x14ac:dyDescent="0.35">
      <c r="A103" s="59" t="s">
        <v>355</v>
      </c>
      <c r="B103" s="59" t="s">
        <v>346</v>
      </c>
      <c r="C103" s="59" t="s">
        <v>361</v>
      </c>
      <c r="D103" s="60">
        <v>44118</v>
      </c>
      <c r="E103" s="60">
        <v>44119</v>
      </c>
      <c r="F103" s="61">
        <v>44506</v>
      </c>
      <c r="G103" s="22" t="str">
        <f>VLOOKUP($H103,'NO TOCAR'!$A$2:$D$160,3,)</f>
        <v>Aforo en otras ceremonias (bodas, bautizos) en espacios interiores</v>
      </c>
      <c r="H103" s="62" t="s">
        <v>26</v>
      </c>
      <c r="I103" s="22" t="str">
        <f>VLOOKUP($H103,'NO TOCAR'!$A$2:$D$160,2,FALSE)</f>
        <v>Ceremonias religiosas</v>
      </c>
      <c r="J103" s="22" t="str">
        <f>VLOOKUP($H103,'NO TOCAR'!$A$2:$D$160,4,FALSE)</f>
        <v>CE</v>
      </c>
      <c r="K103" s="59" t="s">
        <v>347</v>
      </c>
      <c r="L103" s="59">
        <v>50</v>
      </c>
      <c r="M103" s="63">
        <v>29</v>
      </c>
      <c r="N103"/>
      <c r="O103"/>
      <c r="P103"/>
      <c r="Q103"/>
    </row>
    <row r="104" spans="1:17" s="36" customFormat="1" hidden="1" x14ac:dyDescent="0.35">
      <c r="A104" s="59" t="s">
        <v>355</v>
      </c>
      <c r="B104" s="59" t="s">
        <v>346</v>
      </c>
      <c r="C104" s="59" t="s">
        <v>361</v>
      </c>
      <c r="D104" s="60">
        <v>44118</v>
      </c>
      <c r="E104" s="60">
        <v>44119</v>
      </c>
      <c r="F104" s="61">
        <v>44506</v>
      </c>
      <c r="G104" s="22" t="str">
        <f>VLOOKUP($H104,'NO TOCAR'!$A$2:$D$160,3,)</f>
        <v>Aforo en otras ceremonias (bodas, bautizos) en espacios interiores</v>
      </c>
      <c r="H104" s="62" t="s">
        <v>26</v>
      </c>
      <c r="I104" s="22" t="str">
        <f>VLOOKUP($H104,'NO TOCAR'!$A$2:$D$160,2,FALSE)</f>
        <v>Ceremonias religiosas</v>
      </c>
      <c r="J104" s="22" t="str">
        <f>VLOOKUP($H104,'NO TOCAR'!$A$2:$D$160,4,FALSE)</f>
        <v>CE</v>
      </c>
      <c r="K104" s="59" t="s">
        <v>354</v>
      </c>
      <c r="L104" s="59">
        <v>50</v>
      </c>
      <c r="M104" s="63">
        <v>29</v>
      </c>
      <c r="N104"/>
      <c r="O104"/>
      <c r="P104"/>
      <c r="Q104"/>
    </row>
    <row r="105" spans="1:17" s="36" customFormat="1" hidden="1" x14ac:dyDescent="0.35">
      <c r="A105" s="13" t="s">
        <v>345</v>
      </c>
      <c r="B105" s="13" t="s">
        <v>346</v>
      </c>
      <c r="C105" s="13"/>
      <c r="D105" s="17">
        <v>44200</v>
      </c>
      <c r="E105" s="17">
        <v>44201</v>
      </c>
      <c r="F105" s="30"/>
      <c r="G105" s="22" t="s">
        <v>155</v>
      </c>
      <c r="H105" s="26" t="s">
        <v>26</v>
      </c>
      <c r="I105" s="22" t="s">
        <v>150</v>
      </c>
      <c r="J105" s="22" t="s">
        <v>151</v>
      </c>
      <c r="K105" s="32" t="s">
        <v>354</v>
      </c>
      <c r="L105" s="24">
        <v>10</v>
      </c>
      <c r="M105" s="14"/>
      <c r="N105" s="14"/>
      <c r="O105" s="14"/>
      <c r="P105" s="14"/>
      <c r="Q105" s="14"/>
    </row>
    <row r="106" spans="1:17" s="36" customFormat="1" hidden="1" x14ac:dyDescent="0.35">
      <c r="A106" s="13" t="s">
        <v>345</v>
      </c>
      <c r="B106" s="13" t="s">
        <v>346</v>
      </c>
      <c r="C106" s="13"/>
      <c r="D106" s="7">
        <v>44123</v>
      </c>
      <c r="E106" s="30">
        <v>44124</v>
      </c>
      <c r="F106" s="30">
        <v>44141</v>
      </c>
      <c r="G106" s="22" t="str">
        <f>VLOOKUP($H106,'NO TOCAR'!$A$2:$D$160,3,)</f>
        <v>Aforo en otras ceremonias (bodas, bautizos) en espacios interiores</v>
      </c>
      <c r="H106" s="26" t="s">
        <v>26</v>
      </c>
      <c r="I106" s="22" t="str">
        <f>VLOOKUP($H106,'NO TOCAR'!$A$2:$D$160,2,FALSE)</f>
        <v>Ceremonias religiosas</v>
      </c>
      <c r="J106" s="22" t="str">
        <f>VLOOKUP($H106,'NO TOCAR'!$A$2:$D$160,4,FALSE)</f>
        <v>CE</v>
      </c>
      <c r="K106" s="32" t="s">
        <v>354</v>
      </c>
      <c r="L106" s="24">
        <v>20</v>
      </c>
      <c r="M106" s="14"/>
      <c r="N106" s="14"/>
      <c r="O106" s="14"/>
      <c r="P106" s="14"/>
      <c r="Q106" s="14"/>
    </row>
    <row r="107" spans="1:17" s="36" customFormat="1" hidden="1" x14ac:dyDescent="0.35">
      <c r="A107" s="13" t="s">
        <v>345</v>
      </c>
      <c r="B107" s="13" t="s">
        <v>346</v>
      </c>
      <c r="C107" s="13"/>
      <c r="D107" s="7">
        <v>44140</v>
      </c>
      <c r="E107" s="30">
        <v>44141</v>
      </c>
      <c r="F107" s="30">
        <v>44201</v>
      </c>
      <c r="G107" s="22" t="str">
        <f>VLOOKUP($H107,'NO TOCAR'!$A$2:$D$160,3,)</f>
        <v>Aforo en otras ceremonias (bodas, bautizos) en espacios interiores</v>
      </c>
      <c r="H107" s="26" t="s">
        <v>26</v>
      </c>
      <c r="I107" s="22" t="str">
        <f>VLOOKUP($H107,'NO TOCAR'!$A$2:$D$160,2,FALSE)</f>
        <v>Ceremonias religiosas</v>
      </c>
      <c r="J107" s="22" t="str">
        <f>VLOOKUP($H107,'NO TOCAR'!$A$2:$D$160,4,FALSE)</f>
        <v>CE</v>
      </c>
      <c r="K107" s="32" t="s">
        <v>354</v>
      </c>
      <c r="L107" s="24">
        <v>10</v>
      </c>
      <c r="M107" s="14"/>
      <c r="N107" s="14"/>
      <c r="O107" s="14"/>
      <c r="P107" s="14"/>
      <c r="Q107" s="14"/>
    </row>
    <row r="108" spans="1:17" s="36" customFormat="1" ht="29" hidden="1" x14ac:dyDescent="0.35">
      <c r="A108" s="13" t="s">
        <v>355</v>
      </c>
      <c r="B108" s="13" t="s">
        <v>346</v>
      </c>
      <c r="C108" s="13" t="s">
        <v>356</v>
      </c>
      <c r="D108" s="7">
        <v>44004</v>
      </c>
      <c r="E108" s="7">
        <v>44004</v>
      </c>
      <c r="F108" s="7">
        <v>44026</v>
      </c>
      <c r="G108" s="22" t="str">
        <f>VLOOKUP($H108,'NO TOCAR'!$A$2:$D$160,3,)</f>
        <v>Aforo en terrazas al aire libre</v>
      </c>
      <c r="H108" s="15" t="s">
        <v>281</v>
      </c>
      <c r="I108" s="22" t="str">
        <f>VLOOKUP($H108,'NO TOCAR'!$A$2:$D$160,2,FALSE)</f>
        <v>Restauración, hostelería y bares</v>
      </c>
      <c r="J108" s="22" t="str">
        <f>VLOOKUP($H108,'NO TOCAR'!$A$2:$D$160,4,FALSE)</f>
        <v>RH</v>
      </c>
      <c r="K108" s="13" t="s">
        <v>347</v>
      </c>
      <c r="L108" s="13">
        <v>75</v>
      </c>
      <c r="M108" s="12">
        <v>29.2</v>
      </c>
      <c r="N108" s="14"/>
      <c r="O108" s="14"/>
      <c r="P108" s="14"/>
      <c r="Q108" s="14"/>
    </row>
    <row r="109" spans="1:17" s="36" customFormat="1" ht="29" hidden="1" x14ac:dyDescent="0.35">
      <c r="A109" s="33" t="s">
        <v>355</v>
      </c>
      <c r="B109" s="33" t="s">
        <v>346</v>
      </c>
      <c r="C109" s="33" t="s">
        <v>356</v>
      </c>
      <c r="D109" s="7">
        <v>44026</v>
      </c>
      <c r="E109" s="7">
        <v>44026</v>
      </c>
      <c r="F109" s="41">
        <v>44036</v>
      </c>
      <c r="G109" s="22" t="str">
        <f>VLOOKUP($H109,'NO TOCAR'!$A$2:$D$160,3,)</f>
        <v>Aforo en terrazas al aire libre</v>
      </c>
      <c r="H109" s="35" t="s">
        <v>281</v>
      </c>
      <c r="I109" s="22" t="str">
        <f>VLOOKUP($H109,'NO TOCAR'!$A$2:$D$160,2,FALSE)</f>
        <v>Restauración, hostelería y bares</v>
      </c>
      <c r="J109" s="22" t="str">
        <f>VLOOKUP($H109,'NO TOCAR'!$A$2:$D$160,4,FALSE)</f>
        <v>RH</v>
      </c>
      <c r="K109" s="33" t="s">
        <v>347</v>
      </c>
      <c r="L109" s="33">
        <v>75</v>
      </c>
      <c r="M109" s="12">
        <v>53.3</v>
      </c>
      <c r="N109" s="34"/>
      <c r="O109" s="34"/>
      <c r="P109" s="34"/>
      <c r="Q109" s="34"/>
    </row>
    <row r="110" spans="1:17" s="36" customFormat="1" ht="29" hidden="1" x14ac:dyDescent="0.35">
      <c r="A110" s="36" t="s">
        <v>355</v>
      </c>
      <c r="B110" s="36" t="s">
        <v>346</v>
      </c>
      <c r="C110" s="36" t="s">
        <v>358</v>
      </c>
      <c r="D110" s="37">
        <v>44026</v>
      </c>
      <c r="E110" s="37">
        <v>44026</v>
      </c>
      <c r="F110" s="47">
        <v>44036</v>
      </c>
      <c r="G110" s="22" t="str">
        <f>VLOOKUP($H110,'NO TOCAR'!$A$2:$D$160,3,)</f>
        <v>Aforo en terrazas al aire libre</v>
      </c>
      <c r="H110" s="39" t="s">
        <v>281</v>
      </c>
      <c r="I110" s="22" t="str">
        <f>VLOOKUP($H110,'NO TOCAR'!$A$2:$D$160,2,FALSE)</f>
        <v>Restauración, hostelería y bares</v>
      </c>
      <c r="J110" s="22" t="str">
        <f>VLOOKUP($H110,'NO TOCAR'!$A$2:$D$160,4,FALSE)</f>
        <v>RH</v>
      </c>
      <c r="K110" s="36" t="s">
        <v>347</v>
      </c>
      <c r="L110" s="36">
        <v>75</v>
      </c>
      <c r="M110" s="38">
        <v>80.400000000000006</v>
      </c>
      <c r="N110" s="38"/>
      <c r="O110" s="38"/>
      <c r="P110" s="38"/>
      <c r="Q110" s="38"/>
    </row>
    <row r="111" spans="1:17" s="36" customFormat="1" ht="29" hidden="1" x14ac:dyDescent="0.35">
      <c r="A111" s="42" t="s">
        <v>355</v>
      </c>
      <c r="B111" s="42" t="s">
        <v>346</v>
      </c>
      <c r="C111" s="42" t="s">
        <v>356</v>
      </c>
      <c r="D111" s="41">
        <v>44036</v>
      </c>
      <c r="E111" s="41">
        <v>44036</v>
      </c>
      <c r="F111" s="56">
        <v>44078</v>
      </c>
      <c r="G111" s="22" t="str">
        <f>VLOOKUP($H111,'NO TOCAR'!$A$2:$D$160,3,)</f>
        <v>Aforo en terrazas al aire libre</v>
      </c>
      <c r="H111" s="43" t="s">
        <v>281</v>
      </c>
      <c r="I111" s="22" t="str">
        <f>VLOOKUP($H111,'NO TOCAR'!$A$2:$D$160,2,FALSE)</f>
        <v>Restauración, hostelería y bares</v>
      </c>
      <c r="J111" s="22" t="str">
        <f>VLOOKUP($H111,'NO TOCAR'!$A$2:$D$160,4,FALSE)</f>
        <v>RH</v>
      </c>
      <c r="K111" s="42" t="s">
        <v>347</v>
      </c>
      <c r="L111" s="42">
        <v>75</v>
      </c>
      <c r="M111" s="44">
        <v>49.9</v>
      </c>
      <c r="N111" s="44"/>
      <c r="O111" s="44"/>
      <c r="P111" s="44"/>
      <c r="Q111" s="44"/>
    </row>
    <row r="112" spans="1:17" s="36" customFormat="1" ht="29" hidden="1" x14ac:dyDescent="0.35">
      <c r="A112" s="46" t="s">
        <v>355</v>
      </c>
      <c r="B112" s="46" t="s">
        <v>346</v>
      </c>
      <c r="C112" s="46" t="s">
        <v>356</v>
      </c>
      <c r="D112" s="47">
        <v>44036</v>
      </c>
      <c r="E112" s="47">
        <v>44036</v>
      </c>
      <c r="F112" s="56">
        <v>44078</v>
      </c>
      <c r="G112" s="22" t="str">
        <f>VLOOKUP($H112,'NO TOCAR'!$A$2:$D$160,3,)</f>
        <v>Aforo en terrazas al aire libre</v>
      </c>
      <c r="H112" s="48" t="s">
        <v>281</v>
      </c>
      <c r="I112" s="22" t="str">
        <f>VLOOKUP($H112,'NO TOCAR'!$A$2:$D$160,2,FALSE)</f>
        <v>Restauración, hostelería y bares</v>
      </c>
      <c r="J112" s="22" t="str">
        <f>VLOOKUP($H112,'NO TOCAR'!$A$2:$D$160,4,FALSE)</f>
        <v>RH</v>
      </c>
      <c r="K112" s="46" t="s">
        <v>347</v>
      </c>
      <c r="L112" s="53">
        <v>50</v>
      </c>
      <c r="M112" s="49">
        <v>17.7</v>
      </c>
      <c r="N112" s="49"/>
      <c r="O112" s="49"/>
      <c r="P112" s="49"/>
      <c r="Q112" s="49"/>
    </row>
    <row r="113" spans="1:17" s="36" customFormat="1" ht="29" hidden="1" x14ac:dyDescent="0.35">
      <c r="A113" s="46" t="s">
        <v>355</v>
      </c>
      <c r="B113" s="46" t="s">
        <v>346</v>
      </c>
      <c r="C113" s="36" t="s">
        <v>358</v>
      </c>
      <c r="D113" s="47">
        <v>44036</v>
      </c>
      <c r="E113" s="47">
        <v>44036</v>
      </c>
      <c r="F113" s="56">
        <v>44078</v>
      </c>
      <c r="G113" s="22" t="str">
        <f>VLOOKUP($H113,'NO TOCAR'!$A$2:$D$160,3,)</f>
        <v>Aforo en terrazas al aire libre</v>
      </c>
      <c r="H113" s="48" t="s">
        <v>281</v>
      </c>
      <c r="I113" s="22" t="str">
        <f>VLOOKUP($H113,'NO TOCAR'!$A$2:$D$160,2,FALSE)</f>
        <v>Restauración, hostelería y bares</v>
      </c>
      <c r="J113" s="22" t="str">
        <f>VLOOKUP($H113,'NO TOCAR'!$A$2:$D$160,4,FALSE)</f>
        <v>RH</v>
      </c>
      <c r="K113" s="46" t="s">
        <v>347</v>
      </c>
      <c r="L113" s="53">
        <v>50</v>
      </c>
      <c r="M113" s="38">
        <v>80.400000000000006</v>
      </c>
      <c r="N113" s="49"/>
      <c r="O113" s="49"/>
      <c r="P113" s="49"/>
      <c r="Q113" s="49"/>
    </row>
    <row r="114" spans="1:17" s="36" customFormat="1" ht="29" hidden="1" x14ac:dyDescent="0.35">
      <c r="A114" s="66" t="s">
        <v>355</v>
      </c>
      <c r="B114" s="66" t="s">
        <v>346</v>
      </c>
      <c r="C114" s="66" t="s">
        <v>358</v>
      </c>
      <c r="D114" s="7">
        <v>44111</v>
      </c>
      <c r="E114" s="16">
        <v>44112</v>
      </c>
      <c r="F114" s="16">
        <v>44118</v>
      </c>
      <c r="G114" s="22" t="str">
        <f>VLOOKUP($H114,'NO TOCAR'!$A$2:$D$160,3,)</f>
        <v>Aforo en terrazas al aire libre</v>
      </c>
      <c r="H114" s="67" t="s">
        <v>281</v>
      </c>
      <c r="I114" s="22" t="str">
        <f>VLOOKUP($H114,'NO TOCAR'!$A$2:$D$160,2,FALSE)</f>
        <v>Restauración, hostelería y bares</v>
      </c>
      <c r="J114" s="22" t="str">
        <f>VLOOKUP($H114,'NO TOCAR'!$A$2:$D$160,4,FALSE)</f>
        <v>RH</v>
      </c>
      <c r="K114" s="66" t="s">
        <v>347</v>
      </c>
      <c r="L114" s="69">
        <v>75</v>
      </c>
      <c r="M114" s="68">
        <v>70</v>
      </c>
      <c r="N114"/>
      <c r="O114"/>
      <c r="P114"/>
      <c r="Q114"/>
    </row>
    <row r="115" spans="1:17" s="36" customFormat="1" ht="29" hidden="1" x14ac:dyDescent="0.35">
      <c r="A115" s="46" t="s">
        <v>355</v>
      </c>
      <c r="B115" s="46" t="s">
        <v>346</v>
      </c>
      <c r="C115" s="46" t="s">
        <v>356</v>
      </c>
      <c r="D115" s="47">
        <v>44111</v>
      </c>
      <c r="E115" s="40">
        <v>44112</v>
      </c>
      <c r="F115" s="40">
        <v>44506</v>
      </c>
      <c r="G115" s="22" t="str">
        <f>VLOOKUP($H115,'NO TOCAR'!$A$2:$D$160,3,)</f>
        <v>Aforo en terrazas al aire libre</v>
      </c>
      <c r="H115" s="48" t="s">
        <v>281</v>
      </c>
      <c r="I115" s="22" t="str">
        <f>VLOOKUP($H115,'NO TOCAR'!$A$2:$D$160,2,FALSE)</f>
        <v>Restauración, hostelería y bares</v>
      </c>
      <c r="J115" s="22" t="str">
        <f>VLOOKUP($H115,'NO TOCAR'!$A$2:$D$160,4,FALSE)</f>
        <v>RH</v>
      </c>
      <c r="K115" s="46" t="s">
        <v>347</v>
      </c>
      <c r="L115" s="53">
        <v>75</v>
      </c>
      <c r="M115" s="49">
        <v>24</v>
      </c>
      <c r="N115"/>
      <c r="O115"/>
      <c r="P115"/>
      <c r="Q115"/>
    </row>
    <row r="116" spans="1:17" s="36" customFormat="1" ht="29" hidden="1" x14ac:dyDescent="0.35">
      <c r="A116" s="59" t="s">
        <v>355</v>
      </c>
      <c r="B116" s="59" t="s">
        <v>346</v>
      </c>
      <c r="C116" s="59" t="s">
        <v>361</v>
      </c>
      <c r="D116" s="60">
        <v>44118</v>
      </c>
      <c r="E116" s="60">
        <v>44119</v>
      </c>
      <c r="F116" s="61">
        <v>44506</v>
      </c>
      <c r="G116" s="22" t="str">
        <f>VLOOKUP($H116,'NO TOCAR'!$A$2:$D$160,3,)</f>
        <v>Aforo en terrazas al aire libre</v>
      </c>
      <c r="H116" s="62" t="s">
        <v>281</v>
      </c>
      <c r="I116" s="22" t="str">
        <f>VLOOKUP($H116,'NO TOCAR'!$A$2:$D$160,2,FALSE)</f>
        <v>Restauración, hostelería y bares</v>
      </c>
      <c r="J116" s="22" t="str">
        <f>VLOOKUP($H116,'NO TOCAR'!$A$2:$D$160,4,FALSE)</f>
        <v>RH</v>
      </c>
      <c r="K116" s="59" t="s">
        <v>347</v>
      </c>
      <c r="L116" s="64">
        <v>75</v>
      </c>
      <c r="M116" s="63">
        <v>29</v>
      </c>
      <c r="N116"/>
      <c r="O116"/>
      <c r="P116"/>
      <c r="Q116"/>
    </row>
    <row r="117" spans="1:17" s="36" customFormat="1" ht="29" hidden="1" x14ac:dyDescent="0.35">
      <c r="A117" s="13" t="s">
        <v>345</v>
      </c>
      <c r="B117" s="13" t="s">
        <v>346</v>
      </c>
      <c r="C117" s="13"/>
      <c r="D117" s="7">
        <v>44252</v>
      </c>
      <c r="E117" s="30">
        <v>44253</v>
      </c>
      <c r="F117" s="30"/>
      <c r="G117" s="22" t="str">
        <f>VLOOKUP($H117,'NO TOCAR'!$A$2:$D$160,3,)</f>
        <v>Aforo en terrazas al aire libre</v>
      </c>
      <c r="H117" s="31" t="s">
        <v>281</v>
      </c>
      <c r="I117" s="22" t="str">
        <f>VLOOKUP($H117,'NO TOCAR'!$A$2:$D$160,2,FALSE)</f>
        <v>Restauración, hostelería y bares</v>
      </c>
      <c r="J117" s="22" t="str">
        <f>VLOOKUP($H117,'NO TOCAR'!$A$2:$D$160,4,FALSE)</f>
        <v>RH</v>
      </c>
      <c r="K117" s="24" t="s">
        <v>347</v>
      </c>
      <c r="L117" s="24">
        <v>100</v>
      </c>
      <c r="M117" s="12"/>
      <c r="N117" s="14"/>
      <c r="O117" s="14"/>
      <c r="P117" s="14"/>
      <c r="Q117" s="14"/>
    </row>
    <row r="118" spans="1:17" s="36" customFormat="1" ht="29" hidden="1" x14ac:dyDescent="0.35">
      <c r="A118" s="13" t="s">
        <v>345</v>
      </c>
      <c r="B118" s="13" t="s">
        <v>346</v>
      </c>
      <c r="C118" s="13"/>
      <c r="D118" s="7">
        <v>44123</v>
      </c>
      <c r="E118" s="30">
        <v>44124</v>
      </c>
      <c r="F118" s="30">
        <v>44180</v>
      </c>
      <c r="G118" s="22" t="str">
        <f>VLOOKUP($H118,'NO TOCAR'!$A$2:$D$160,3,)</f>
        <v>Aforo en terrazas al aire libre</v>
      </c>
      <c r="H118" s="31" t="s">
        <v>281</v>
      </c>
      <c r="I118" s="22" t="str">
        <f>VLOOKUP($H118,'NO TOCAR'!$A$2:$D$160,2,FALSE)</f>
        <v>Restauración, hostelería y bares</v>
      </c>
      <c r="J118" s="22" t="str">
        <f>VLOOKUP($H118,'NO TOCAR'!$A$2:$D$160,4,FALSE)</f>
        <v>RH</v>
      </c>
      <c r="K118" s="24" t="s">
        <v>347</v>
      </c>
      <c r="L118" s="24">
        <v>50</v>
      </c>
      <c r="M118" s="12"/>
      <c r="N118" s="14"/>
      <c r="O118" s="14"/>
      <c r="P118" s="14"/>
      <c r="Q118" s="14"/>
    </row>
    <row r="119" spans="1:17" s="46" customFormat="1" ht="29" hidden="1" x14ac:dyDescent="0.35">
      <c r="A119" s="13" t="s">
        <v>345</v>
      </c>
      <c r="B119" s="13" t="s">
        <v>346</v>
      </c>
      <c r="C119" s="13"/>
      <c r="D119" s="7">
        <v>44179</v>
      </c>
      <c r="E119" s="30">
        <v>44180</v>
      </c>
      <c r="F119" s="30">
        <v>44200</v>
      </c>
      <c r="G119" s="22" t="str">
        <f>VLOOKUP($H119,'NO TOCAR'!$A$2:$D$160,3,)</f>
        <v>Aforo en terrazas al aire libre</v>
      </c>
      <c r="H119" s="31" t="s">
        <v>281</v>
      </c>
      <c r="I119" s="22" t="str">
        <f>VLOOKUP($H119,'NO TOCAR'!$A$2:$D$160,2,FALSE)</f>
        <v>Restauración, hostelería y bares</v>
      </c>
      <c r="J119" s="22" t="str">
        <f>VLOOKUP($H119,'NO TOCAR'!$A$2:$D$160,4,FALSE)</f>
        <v>RH</v>
      </c>
      <c r="K119" s="24" t="s">
        <v>347</v>
      </c>
      <c r="L119" s="24">
        <v>100</v>
      </c>
      <c r="M119" s="12"/>
      <c r="N119" s="14"/>
      <c r="O119" s="14"/>
      <c r="P119" s="14"/>
      <c r="Q119" s="14"/>
    </row>
    <row r="120" spans="1:17" s="46" customFormat="1" ht="29" hidden="1" x14ac:dyDescent="0.35">
      <c r="A120" s="13" t="s">
        <v>345</v>
      </c>
      <c r="B120" s="13" t="s">
        <v>346</v>
      </c>
      <c r="C120" s="13"/>
      <c r="D120" s="7">
        <v>44200</v>
      </c>
      <c r="E120" s="30">
        <v>44201</v>
      </c>
      <c r="F120" s="30">
        <v>44252</v>
      </c>
      <c r="G120" s="22" t="str">
        <f>VLOOKUP($H120,'NO TOCAR'!$A$2:$D$160,3,)</f>
        <v>Aforo en terrazas al aire libre</v>
      </c>
      <c r="H120" s="31" t="s">
        <v>281</v>
      </c>
      <c r="I120" s="22" t="str">
        <f>VLOOKUP($H120,'NO TOCAR'!$A$2:$D$160,2,FALSE)</f>
        <v>Restauración, hostelería y bares</v>
      </c>
      <c r="J120" s="22" t="str">
        <f>VLOOKUP($H120,'NO TOCAR'!$A$2:$D$160,4,FALSE)</f>
        <v>RH</v>
      </c>
      <c r="K120" s="24" t="s">
        <v>347</v>
      </c>
      <c r="L120" s="24">
        <v>50</v>
      </c>
      <c r="M120" s="12"/>
      <c r="N120" s="14"/>
      <c r="O120" s="14"/>
      <c r="P120" s="14"/>
      <c r="Q120" s="14"/>
    </row>
    <row r="121" spans="1:17" s="46" customFormat="1" hidden="1" x14ac:dyDescent="0.35">
      <c r="A121" s="13" t="s">
        <v>355</v>
      </c>
      <c r="B121" s="13" t="s">
        <v>346</v>
      </c>
      <c r="C121" s="13" t="s">
        <v>356</v>
      </c>
      <c r="D121" s="7">
        <v>44004</v>
      </c>
      <c r="E121" s="7">
        <v>44004</v>
      </c>
      <c r="F121" s="7">
        <v>44026</v>
      </c>
      <c r="G121" s="22" t="str">
        <f>VLOOKUP($H121,'NO TOCAR'!$A$2:$D$160,3,)</f>
        <v>Aforo en velatorios, entierros y ceremonias fúnebres en espacios exteriores</v>
      </c>
      <c r="H121" s="15" t="s">
        <v>24</v>
      </c>
      <c r="I121" s="22" t="str">
        <f>VLOOKUP($H121,'NO TOCAR'!$A$2:$D$160,2,FALSE)</f>
        <v>Ceremonias religiosas</v>
      </c>
      <c r="J121" s="22" t="str">
        <f>VLOOKUP($H121,'NO TOCAR'!$A$2:$D$160,4,FALSE)</f>
        <v>CE</v>
      </c>
      <c r="K121" s="13" t="s">
        <v>354</v>
      </c>
      <c r="L121" s="13">
        <v>25</v>
      </c>
      <c r="M121" s="12">
        <v>29.2</v>
      </c>
      <c r="N121" s="14"/>
      <c r="O121" s="14"/>
      <c r="P121" s="14"/>
      <c r="Q121" s="14"/>
    </row>
    <row r="122" spans="1:17" s="46" customFormat="1" hidden="1" x14ac:dyDescent="0.35">
      <c r="A122" s="33" t="s">
        <v>355</v>
      </c>
      <c r="B122" s="33" t="s">
        <v>346</v>
      </c>
      <c r="C122" s="33" t="s">
        <v>356</v>
      </c>
      <c r="D122" s="7">
        <v>44026</v>
      </c>
      <c r="E122" s="7">
        <v>44026</v>
      </c>
      <c r="F122" s="41">
        <v>44036</v>
      </c>
      <c r="G122" s="22" t="str">
        <f>VLOOKUP($H122,'NO TOCAR'!$A$2:$D$160,3,)</f>
        <v>Aforo en velatorios, entierros y ceremonias fúnebres en espacios exteriores</v>
      </c>
      <c r="H122" s="35" t="s">
        <v>24</v>
      </c>
      <c r="I122" s="22" t="str">
        <f>VLOOKUP($H122,'NO TOCAR'!$A$2:$D$160,2,FALSE)</f>
        <v>Ceremonias religiosas</v>
      </c>
      <c r="J122" s="22" t="str">
        <f>VLOOKUP($H122,'NO TOCAR'!$A$2:$D$160,4,FALSE)</f>
        <v>CE</v>
      </c>
      <c r="K122" s="33" t="s">
        <v>354</v>
      </c>
      <c r="L122" s="33">
        <v>25</v>
      </c>
      <c r="M122" s="12">
        <v>53.3</v>
      </c>
      <c r="N122" s="34"/>
      <c r="O122" s="34"/>
      <c r="P122" s="34"/>
      <c r="Q122" s="34"/>
    </row>
    <row r="123" spans="1:17" s="46" customFormat="1" hidden="1" x14ac:dyDescent="0.35">
      <c r="A123" s="36" t="s">
        <v>355</v>
      </c>
      <c r="B123" s="36" t="s">
        <v>346</v>
      </c>
      <c r="C123" s="36" t="s">
        <v>358</v>
      </c>
      <c r="D123" s="37">
        <v>44026</v>
      </c>
      <c r="E123" s="37">
        <v>44026</v>
      </c>
      <c r="F123" s="56">
        <v>44078</v>
      </c>
      <c r="G123" s="22" t="str">
        <f>VLOOKUP($H123,'NO TOCAR'!$A$2:$D$160,3,)</f>
        <v>Aforo en velatorios, entierros y ceremonias fúnebres en espacios exteriores</v>
      </c>
      <c r="H123" s="39" t="s">
        <v>24</v>
      </c>
      <c r="I123" s="22" t="str">
        <f>VLOOKUP($H123,'NO TOCAR'!$A$2:$D$160,2,FALSE)</f>
        <v>Ceremonias religiosas</v>
      </c>
      <c r="J123" s="22" t="str">
        <f>VLOOKUP($H123,'NO TOCAR'!$A$2:$D$160,4,FALSE)</f>
        <v>CE</v>
      </c>
      <c r="K123" s="36" t="s">
        <v>354</v>
      </c>
      <c r="L123" s="36">
        <v>25</v>
      </c>
      <c r="M123" s="38">
        <v>80.400000000000006</v>
      </c>
      <c r="N123" s="38"/>
      <c r="O123" s="38"/>
      <c r="P123" s="38"/>
      <c r="Q123" s="38"/>
    </row>
    <row r="124" spans="1:17" s="13" customFormat="1" hidden="1" x14ac:dyDescent="0.35">
      <c r="A124" s="46" t="s">
        <v>355</v>
      </c>
      <c r="B124" s="46" t="s">
        <v>346</v>
      </c>
      <c r="C124" s="46" t="s">
        <v>356</v>
      </c>
      <c r="D124" s="47">
        <v>44036</v>
      </c>
      <c r="E124" s="47">
        <v>44036</v>
      </c>
      <c r="F124" s="56">
        <v>44078</v>
      </c>
      <c r="G124" s="22" t="str">
        <f>VLOOKUP($H124,'NO TOCAR'!$A$2:$D$160,3,)</f>
        <v>Aforo en velatorios, entierros y ceremonias fúnebres en espacios exteriores</v>
      </c>
      <c r="H124" s="48" t="s">
        <v>24</v>
      </c>
      <c r="I124" s="22" t="str">
        <f>VLOOKUP($H124,'NO TOCAR'!$A$2:$D$160,2,FALSE)</f>
        <v>Ceremonias religiosas</v>
      </c>
      <c r="J124" s="22" t="str">
        <f>VLOOKUP($H124,'NO TOCAR'!$A$2:$D$160,4,FALSE)</f>
        <v>CE</v>
      </c>
      <c r="K124" s="46" t="s">
        <v>354</v>
      </c>
      <c r="L124" s="46">
        <v>25</v>
      </c>
      <c r="M124" s="49">
        <f>17.7+49.9</f>
        <v>67.599999999999994</v>
      </c>
      <c r="N124" s="49"/>
      <c r="O124" s="49"/>
      <c r="P124" s="49"/>
      <c r="Q124" s="49"/>
    </row>
    <row r="125" spans="1:17" s="13" customFormat="1" hidden="1" x14ac:dyDescent="0.35">
      <c r="A125" s="13" t="s">
        <v>345</v>
      </c>
      <c r="B125" s="13" t="s">
        <v>346</v>
      </c>
      <c r="D125" s="7">
        <v>44083</v>
      </c>
      <c r="E125" s="25">
        <v>44083</v>
      </c>
      <c r="F125" s="30">
        <v>44124</v>
      </c>
      <c r="G125" s="22" t="str">
        <f>VLOOKUP($H125,'NO TOCAR'!$A$2:$D$160,3,)</f>
        <v>Aforo en velatorios, entierros y ceremonias fúnebres en espacios exteriores</v>
      </c>
      <c r="H125" s="26" t="s">
        <v>24</v>
      </c>
      <c r="I125" s="22" t="str">
        <f>VLOOKUP($H125,'NO TOCAR'!$A$2:$D$160,2,FALSE)</f>
        <v>Ceremonias religiosas</v>
      </c>
      <c r="J125" s="22" t="str">
        <f>VLOOKUP($H125,'NO TOCAR'!$A$2:$D$160,4,FALSE)</f>
        <v>CE</v>
      </c>
      <c r="K125" s="32" t="s">
        <v>354</v>
      </c>
      <c r="L125" s="24">
        <v>100</v>
      </c>
      <c r="M125" s="14"/>
      <c r="N125" s="14"/>
      <c r="O125" s="14"/>
      <c r="P125" s="14"/>
      <c r="Q125" s="14"/>
    </row>
    <row r="126" spans="1:17" s="13" customFormat="1" hidden="1" x14ac:dyDescent="0.35">
      <c r="A126" s="66" t="s">
        <v>355</v>
      </c>
      <c r="B126" s="66" t="s">
        <v>346</v>
      </c>
      <c r="C126" s="66" t="s">
        <v>358</v>
      </c>
      <c r="D126" s="7">
        <v>44111</v>
      </c>
      <c r="E126" s="16">
        <v>44112</v>
      </c>
      <c r="F126" s="16">
        <v>44118</v>
      </c>
      <c r="G126" s="22" t="str">
        <f>VLOOKUP($H126,'NO TOCAR'!$A$2:$D$160,3,)</f>
        <v>Aforo en velatorios, entierros y ceremonias fúnebres en espacios exteriores</v>
      </c>
      <c r="H126" s="67" t="s">
        <v>24</v>
      </c>
      <c r="I126" s="22" t="str">
        <f>VLOOKUP($H126,'NO TOCAR'!$A$2:$D$160,2,FALSE)</f>
        <v>Ceremonias religiosas</v>
      </c>
      <c r="J126" s="22" t="str">
        <f>VLOOKUP($H126,'NO TOCAR'!$A$2:$D$160,4,FALSE)</f>
        <v>CE</v>
      </c>
      <c r="K126" s="66" t="s">
        <v>354</v>
      </c>
      <c r="L126" s="66">
        <v>25</v>
      </c>
      <c r="M126" s="68">
        <v>70</v>
      </c>
      <c r="N126" s="14"/>
      <c r="O126" s="14"/>
      <c r="P126" s="14"/>
      <c r="Q126" s="14"/>
    </row>
    <row r="127" spans="1:17" s="13" customFormat="1" hidden="1" x14ac:dyDescent="0.35">
      <c r="A127" s="46" t="s">
        <v>355</v>
      </c>
      <c r="B127" s="46" t="s">
        <v>346</v>
      </c>
      <c r="C127" s="46" t="s">
        <v>356</v>
      </c>
      <c r="D127" s="47">
        <v>44111</v>
      </c>
      <c r="E127" s="40">
        <v>44112</v>
      </c>
      <c r="F127" s="40">
        <v>44506</v>
      </c>
      <c r="G127" s="22" t="str">
        <f>VLOOKUP($H127,'NO TOCAR'!$A$2:$D$160,3,)</f>
        <v>Aforo en velatorios, entierros y ceremonias fúnebres en espacios exteriores</v>
      </c>
      <c r="H127" s="48" t="s">
        <v>24</v>
      </c>
      <c r="I127" s="22" t="str">
        <f>VLOOKUP($H127,'NO TOCAR'!$A$2:$D$160,2,FALSE)</f>
        <v>Ceremonias religiosas</v>
      </c>
      <c r="J127" s="22" t="str">
        <f>VLOOKUP($H127,'NO TOCAR'!$A$2:$D$160,4,FALSE)</f>
        <v>CE</v>
      </c>
      <c r="K127" s="46" t="s">
        <v>354</v>
      </c>
      <c r="L127" s="46">
        <v>25</v>
      </c>
      <c r="M127" s="49">
        <v>24</v>
      </c>
      <c r="N127"/>
      <c r="O127"/>
      <c r="P127"/>
      <c r="Q127"/>
    </row>
    <row r="128" spans="1:17" s="13" customFormat="1" hidden="1" x14ac:dyDescent="0.35">
      <c r="A128" s="59" t="s">
        <v>355</v>
      </c>
      <c r="B128" s="59" t="s">
        <v>346</v>
      </c>
      <c r="C128" s="59" t="s">
        <v>361</v>
      </c>
      <c r="D128" s="60">
        <v>44118</v>
      </c>
      <c r="E128" s="60">
        <v>44119</v>
      </c>
      <c r="F128" s="61">
        <v>44506</v>
      </c>
      <c r="G128" s="22" t="str">
        <f>VLOOKUP($H128,'NO TOCAR'!$A$2:$D$160,3,)</f>
        <v>Aforo en velatorios, entierros y ceremonias fúnebres en espacios exteriores</v>
      </c>
      <c r="H128" s="62" t="s">
        <v>24</v>
      </c>
      <c r="I128" s="22" t="str">
        <f>VLOOKUP($H128,'NO TOCAR'!$A$2:$D$160,2,FALSE)</f>
        <v>Ceremonias religiosas</v>
      </c>
      <c r="J128" s="22" t="str">
        <f>VLOOKUP($H128,'NO TOCAR'!$A$2:$D$160,4,FALSE)</f>
        <v>CE</v>
      </c>
      <c r="K128" s="59" t="s">
        <v>354</v>
      </c>
      <c r="L128" s="59">
        <v>25</v>
      </c>
      <c r="M128" s="63">
        <v>29</v>
      </c>
      <c r="N128"/>
      <c r="O128"/>
      <c r="P128"/>
      <c r="Q128"/>
    </row>
    <row r="129" spans="1:17" s="13" customFormat="1" hidden="1" x14ac:dyDescent="0.35">
      <c r="A129" s="13" t="s">
        <v>345</v>
      </c>
      <c r="B129" s="13" t="s">
        <v>346</v>
      </c>
      <c r="D129" s="17">
        <v>44200</v>
      </c>
      <c r="E129" s="17">
        <v>44201</v>
      </c>
      <c r="F129" s="30"/>
      <c r="G129" s="22" t="s">
        <v>154</v>
      </c>
      <c r="H129" s="26" t="s">
        <v>24</v>
      </c>
      <c r="I129" s="22" t="s">
        <v>150</v>
      </c>
      <c r="J129" s="22" t="s">
        <v>151</v>
      </c>
      <c r="K129" s="32" t="s">
        <v>354</v>
      </c>
      <c r="L129" s="24">
        <v>15</v>
      </c>
      <c r="M129" s="14"/>
      <c r="N129" s="14"/>
      <c r="O129" s="14"/>
      <c r="P129" s="14"/>
      <c r="Q129" s="14"/>
    </row>
    <row r="130" spans="1:17" s="13" customFormat="1" hidden="1" x14ac:dyDescent="0.35">
      <c r="A130" s="13" t="s">
        <v>345</v>
      </c>
      <c r="B130" s="13" t="s">
        <v>346</v>
      </c>
      <c r="D130" s="7">
        <v>44123</v>
      </c>
      <c r="E130" s="30">
        <v>44124</v>
      </c>
      <c r="F130" s="30">
        <v>44141</v>
      </c>
      <c r="G130" s="22" t="str">
        <f>VLOOKUP($H130,'NO TOCAR'!$A$2:$D$160,3,)</f>
        <v>Aforo en velatorios, entierros y ceremonias fúnebres en espacios exteriores</v>
      </c>
      <c r="H130" s="26" t="s">
        <v>24</v>
      </c>
      <c r="I130" s="22" t="str">
        <f>VLOOKUP($H130,'NO TOCAR'!$A$2:$D$160,2,FALSE)</f>
        <v>Ceremonias religiosas</v>
      </c>
      <c r="J130" s="22" t="str">
        <f>VLOOKUP($H130,'NO TOCAR'!$A$2:$D$160,4,FALSE)</f>
        <v>CE</v>
      </c>
      <c r="K130" s="32" t="s">
        <v>354</v>
      </c>
      <c r="L130" s="24">
        <v>25</v>
      </c>
      <c r="M130" s="14"/>
      <c r="N130" s="14"/>
      <c r="O130" s="14"/>
      <c r="P130" s="14"/>
      <c r="Q130" s="14"/>
    </row>
    <row r="131" spans="1:17" s="13" customFormat="1" hidden="1" x14ac:dyDescent="0.35">
      <c r="A131" s="13" t="s">
        <v>345</v>
      </c>
      <c r="B131" s="13" t="s">
        <v>346</v>
      </c>
      <c r="D131" s="7">
        <v>44140</v>
      </c>
      <c r="E131" s="30">
        <v>44141</v>
      </c>
      <c r="F131" s="30">
        <v>44201</v>
      </c>
      <c r="G131" s="22" t="str">
        <f>VLOOKUP($H131,'NO TOCAR'!$A$2:$D$160,3,)</f>
        <v>Aforo en velatorios, entierros y ceremonias fúnebres en espacios exteriores</v>
      </c>
      <c r="H131" s="26" t="s">
        <v>24</v>
      </c>
      <c r="I131" s="22" t="str">
        <f>VLOOKUP($H131,'NO TOCAR'!$A$2:$D$160,2,FALSE)</f>
        <v>Ceremonias religiosas</v>
      </c>
      <c r="J131" s="22" t="str">
        <f>VLOOKUP($H131,'NO TOCAR'!$A$2:$D$160,4,FALSE)</f>
        <v>CE</v>
      </c>
      <c r="K131" s="32" t="s">
        <v>354</v>
      </c>
      <c r="L131" s="24">
        <v>15</v>
      </c>
      <c r="M131" s="14"/>
      <c r="N131" s="14"/>
      <c r="O131" s="14"/>
      <c r="P131" s="14"/>
      <c r="Q131" s="14"/>
    </row>
    <row r="132" spans="1:17" s="13" customFormat="1" ht="29" hidden="1" x14ac:dyDescent="0.35">
      <c r="A132" s="13" t="s">
        <v>345</v>
      </c>
      <c r="B132" s="13" t="s">
        <v>346</v>
      </c>
      <c r="D132" s="7">
        <v>44002</v>
      </c>
      <c r="E132" s="30">
        <v>44003</v>
      </c>
      <c r="F132" s="30">
        <v>44124</v>
      </c>
      <c r="G132" s="22" t="str">
        <f>VLOOKUP($H132,'NO TOCAR'!$A$2:$D$160,3,)</f>
        <v>Aforo en zona interiores</v>
      </c>
      <c r="H132" s="26" t="s">
        <v>283</v>
      </c>
      <c r="I132" s="22" t="str">
        <f>VLOOKUP($H132,'NO TOCAR'!$A$2:$D$160,2,FALSE)</f>
        <v>Restauración, hostelería y bares</v>
      </c>
      <c r="J132" s="22" t="str">
        <f>VLOOKUP($H132,'NO TOCAR'!$A$2:$D$160,4,FALSE)</f>
        <v>RH</v>
      </c>
      <c r="K132" s="24" t="s">
        <v>347</v>
      </c>
      <c r="L132" s="24">
        <v>75</v>
      </c>
      <c r="M132" s="12"/>
      <c r="N132" s="14"/>
      <c r="O132" s="14"/>
      <c r="P132" s="14"/>
      <c r="Q132" s="14"/>
    </row>
    <row r="133" spans="1:17" s="13" customFormat="1" ht="29" hidden="1" x14ac:dyDescent="0.35">
      <c r="A133" s="13" t="s">
        <v>355</v>
      </c>
      <c r="B133" s="13" t="s">
        <v>346</v>
      </c>
      <c r="C133" s="13" t="s">
        <v>356</v>
      </c>
      <c r="D133" s="7">
        <v>44004</v>
      </c>
      <c r="E133" s="7">
        <v>44004</v>
      </c>
      <c r="F133" s="7">
        <v>44026</v>
      </c>
      <c r="G133" s="22" t="str">
        <f>VLOOKUP($H133,'NO TOCAR'!$A$2:$D$160,3,)</f>
        <v>Aforo en zona interiores</v>
      </c>
      <c r="H133" s="15" t="s">
        <v>283</v>
      </c>
      <c r="I133" s="22" t="str">
        <f>VLOOKUP($H133,'NO TOCAR'!$A$2:$D$160,2,FALSE)</f>
        <v>Restauración, hostelería y bares</v>
      </c>
      <c r="J133" s="22" t="str">
        <f>VLOOKUP($H133,'NO TOCAR'!$A$2:$D$160,4,FALSE)</f>
        <v>RH</v>
      </c>
      <c r="K133" s="13" t="s">
        <v>347</v>
      </c>
      <c r="L133" s="13">
        <v>50</v>
      </c>
      <c r="M133" s="12">
        <v>29.2</v>
      </c>
      <c r="N133" s="14"/>
      <c r="O133" s="14"/>
      <c r="P133" s="14"/>
      <c r="Q133" s="14"/>
    </row>
    <row r="134" spans="1:17" s="13" customFormat="1" ht="29" hidden="1" x14ac:dyDescent="0.35">
      <c r="A134" s="33" t="s">
        <v>355</v>
      </c>
      <c r="B134" s="33" t="s">
        <v>346</v>
      </c>
      <c r="C134" s="33" t="s">
        <v>356</v>
      </c>
      <c r="D134" s="7">
        <v>44026</v>
      </c>
      <c r="E134" s="7">
        <v>44026</v>
      </c>
      <c r="F134" s="41">
        <v>44036</v>
      </c>
      <c r="G134" s="22" t="str">
        <f>VLOOKUP($H134,'NO TOCAR'!$A$2:$D$160,3,)</f>
        <v>Aforo en zona interiores</v>
      </c>
      <c r="H134" s="35" t="s">
        <v>283</v>
      </c>
      <c r="I134" s="22" t="str">
        <f>VLOOKUP($H134,'NO TOCAR'!$A$2:$D$160,2,FALSE)</f>
        <v>Restauración, hostelería y bares</v>
      </c>
      <c r="J134" s="22" t="str">
        <f>VLOOKUP($H134,'NO TOCAR'!$A$2:$D$160,4,FALSE)</f>
        <v>RH</v>
      </c>
      <c r="K134" s="33" t="s">
        <v>347</v>
      </c>
      <c r="L134" s="33">
        <v>50</v>
      </c>
      <c r="M134" s="12">
        <v>53.3</v>
      </c>
      <c r="N134" s="34"/>
      <c r="O134" s="34"/>
      <c r="P134" s="34"/>
      <c r="Q134" s="34"/>
    </row>
    <row r="135" spans="1:17" s="13" customFormat="1" ht="29" hidden="1" x14ac:dyDescent="0.35">
      <c r="A135" s="36" t="s">
        <v>355</v>
      </c>
      <c r="B135" s="36" t="s">
        <v>346</v>
      </c>
      <c r="C135" s="36" t="s">
        <v>358</v>
      </c>
      <c r="D135" s="37">
        <v>44026</v>
      </c>
      <c r="E135" s="37">
        <v>44026</v>
      </c>
      <c r="F135" s="47">
        <v>44036</v>
      </c>
      <c r="G135" s="22" t="str">
        <f>VLOOKUP($H135,'NO TOCAR'!$A$2:$D$160,3,)</f>
        <v>Aforo en zona interiores</v>
      </c>
      <c r="H135" s="39" t="s">
        <v>283</v>
      </c>
      <c r="I135" s="22" t="str">
        <f>VLOOKUP($H135,'NO TOCAR'!$A$2:$D$160,2,FALSE)</f>
        <v>Restauración, hostelería y bares</v>
      </c>
      <c r="J135" s="22" t="str">
        <f>VLOOKUP($H135,'NO TOCAR'!$A$2:$D$160,4,FALSE)</f>
        <v>RH</v>
      </c>
      <c r="K135" s="36" t="s">
        <v>347</v>
      </c>
      <c r="L135" s="36">
        <v>50</v>
      </c>
      <c r="M135" s="38">
        <v>80.400000000000006</v>
      </c>
      <c r="N135" s="38"/>
      <c r="O135" s="38"/>
      <c r="P135" s="38"/>
      <c r="Q135" s="38"/>
    </row>
    <row r="136" spans="1:17" s="13" customFormat="1" ht="29" hidden="1" x14ac:dyDescent="0.35">
      <c r="A136" s="42" t="s">
        <v>355</v>
      </c>
      <c r="B136" s="42" t="s">
        <v>346</v>
      </c>
      <c r="C136" s="42" t="s">
        <v>356</v>
      </c>
      <c r="D136" s="41">
        <v>44036</v>
      </c>
      <c r="E136" s="41">
        <v>44036</v>
      </c>
      <c r="F136" s="56">
        <v>44078</v>
      </c>
      <c r="G136" s="22" t="str">
        <f>VLOOKUP($H136,'NO TOCAR'!$A$2:$D$160,3,)</f>
        <v>Aforo en zona interiores</v>
      </c>
      <c r="H136" s="43" t="s">
        <v>283</v>
      </c>
      <c r="I136" s="22" t="str">
        <f>VLOOKUP($H136,'NO TOCAR'!$A$2:$D$160,2,FALSE)</f>
        <v>Restauración, hostelería y bares</v>
      </c>
      <c r="J136" s="22" t="str">
        <f>VLOOKUP($H136,'NO TOCAR'!$A$2:$D$160,4,FALSE)</f>
        <v>RH</v>
      </c>
      <c r="K136" s="42" t="s">
        <v>347</v>
      </c>
      <c r="L136" s="42">
        <v>50</v>
      </c>
      <c r="M136" s="44">
        <v>49.9</v>
      </c>
      <c r="N136" s="44"/>
      <c r="O136" s="44"/>
      <c r="P136" s="44"/>
      <c r="Q136" s="44"/>
    </row>
    <row r="137" spans="1:17" s="13" customFormat="1" ht="29" hidden="1" x14ac:dyDescent="0.35">
      <c r="A137" s="46" t="s">
        <v>355</v>
      </c>
      <c r="B137" s="46" t="s">
        <v>346</v>
      </c>
      <c r="C137" s="46" t="s">
        <v>356</v>
      </c>
      <c r="D137" s="47">
        <v>44036</v>
      </c>
      <c r="E137" s="47">
        <v>44036</v>
      </c>
      <c r="F137" s="56">
        <v>44078</v>
      </c>
      <c r="G137" s="22" t="str">
        <f>VLOOKUP($H137,'NO TOCAR'!$A$2:$D$160,3,)</f>
        <v>Aforo en zona interiores</v>
      </c>
      <c r="H137" s="48" t="s">
        <v>283</v>
      </c>
      <c r="I137" s="22" t="str">
        <f>VLOOKUP($H137,'NO TOCAR'!$A$2:$D$160,2,FALSE)</f>
        <v>Restauración, hostelería y bares</v>
      </c>
      <c r="J137" s="22" t="str">
        <f>VLOOKUP($H137,'NO TOCAR'!$A$2:$D$160,4,FALSE)</f>
        <v>RH</v>
      </c>
      <c r="K137" s="46" t="s">
        <v>347</v>
      </c>
      <c r="L137" s="53">
        <v>40</v>
      </c>
      <c r="M137" s="49">
        <v>17.7</v>
      </c>
      <c r="N137" s="49"/>
      <c r="O137" s="49"/>
      <c r="P137" s="49"/>
      <c r="Q137" s="49"/>
    </row>
    <row r="138" spans="1:17" s="13" customFormat="1" ht="29" hidden="1" x14ac:dyDescent="0.35">
      <c r="A138" s="46" t="s">
        <v>355</v>
      </c>
      <c r="B138" s="46" t="s">
        <v>346</v>
      </c>
      <c r="C138" s="36" t="s">
        <v>358</v>
      </c>
      <c r="D138" s="47">
        <v>44036</v>
      </c>
      <c r="E138" s="47">
        <v>44036</v>
      </c>
      <c r="F138" s="56">
        <v>44078</v>
      </c>
      <c r="G138" s="22" t="str">
        <f>VLOOKUP($H138,'NO TOCAR'!$A$2:$D$160,3,)</f>
        <v>Aforo en zona interiores</v>
      </c>
      <c r="H138" s="48" t="s">
        <v>283</v>
      </c>
      <c r="I138" s="22" t="str">
        <f>VLOOKUP($H138,'NO TOCAR'!$A$2:$D$160,2,FALSE)</f>
        <v>Restauración, hostelería y bares</v>
      </c>
      <c r="J138" s="22" t="str">
        <f>VLOOKUP($H138,'NO TOCAR'!$A$2:$D$160,4,FALSE)</f>
        <v>RH</v>
      </c>
      <c r="K138" s="46" t="s">
        <v>347</v>
      </c>
      <c r="L138" s="53">
        <v>40</v>
      </c>
      <c r="M138" s="38">
        <v>80.400000000000006</v>
      </c>
      <c r="N138" s="49"/>
      <c r="O138" s="49"/>
      <c r="P138" s="49"/>
      <c r="Q138" s="49"/>
    </row>
    <row r="139" spans="1:17" s="13" customFormat="1" ht="29" hidden="1" x14ac:dyDescent="0.35">
      <c r="A139" s="66" t="s">
        <v>355</v>
      </c>
      <c r="B139" s="66" t="s">
        <v>346</v>
      </c>
      <c r="C139" s="66" t="s">
        <v>358</v>
      </c>
      <c r="D139" s="7">
        <v>44111</v>
      </c>
      <c r="E139" s="16">
        <v>44112</v>
      </c>
      <c r="F139" s="16">
        <v>44118</v>
      </c>
      <c r="G139" s="22" t="str">
        <f>VLOOKUP($H139,'NO TOCAR'!$A$2:$D$160,3,)</f>
        <v>Aforo en zona interiores</v>
      </c>
      <c r="H139" s="67" t="s">
        <v>283</v>
      </c>
      <c r="I139" s="22" t="str">
        <f>VLOOKUP($H139,'NO TOCAR'!$A$2:$D$160,2,FALSE)</f>
        <v>Restauración, hostelería y bares</v>
      </c>
      <c r="J139" s="22" t="str">
        <f>VLOOKUP($H139,'NO TOCAR'!$A$2:$D$160,4,FALSE)</f>
        <v>RH</v>
      </c>
      <c r="K139" s="66" t="s">
        <v>347</v>
      </c>
      <c r="L139" s="69">
        <v>50</v>
      </c>
      <c r="M139" s="68">
        <v>70</v>
      </c>
      <c r="N139"/>
      <c r="O139"/>
      <c r="P139"/>
      <c r="Q139"/>
    </row>
    <row r="140" spans="1:17" s="13" customFormat="1" ht="29" hidden="1" x14ac:dyDescent="0.35">
      <c r="A140" s="46" t="s">
        <v>355</v>
      </c>
      <c r="B140" s="46" t="s">
        <v>346</v>
      </c>
      <c r="C140" s="46" t="s">
        <v>356</v>
      </c>
      <c r="D140" s="47">
        <v>44111</v>
      </c>
      <c r="E140" s="40">
        <v>44112</v>
      </c>
      <c r="F140" s="40">
        <v>44506</v>
      </c>
      <c r="G140" s="22" t="str">
        <f>VLOOKUP($H140,'NO TOCAR'!$A$2:$D$160,3,)</f>
        <v>Aforo en zona interiores</v>
      </c>
      <c r="H140" s="48" t="s">
        <v>283</v>
      </c>
      <c r="I140" s="22" t="str">
        <f>VLOOKUP($H140,'NO TOCAR'!$A$2:$D$160,2,FALSE)</f>
        <v>Restauración, hostelería y bares</v>
      </c>
      <c r="J140" s="22" t="str">
        <f>VLOOKUP($H140,'NO TOCAR'!$A$2:$D$160,4,FALSE)</f>
        <v>RH</v>
      </c>
      <c r="K140" s="46" t="s">
        <v>347</v>
      </c>
      <c r="L140" s="53">
        <v>50</v>
      </c>
      <c r="M140" s="49">
        <v>24</v>
      </c>
      <c r="N140"/>
      <c r="O140"/>
      <c r="P140"/>
      <c r="Q140"/>
    </row>
    <row r="141" spans="1:17" s="13" customFormat="1" ht="29" hidden="1" x14ac:dyDescent="0.35">
      <c r="A141" s="59" t="s">
        <v>355</v>
      </c>
      <c r="B141" s="59" t="s">
        <v>346</v>
      </c>
      <c r="C141" s="59" t="s">
        <v>361</v>
      </c>
      <c r="D141" s="60">
        <v>44118</v>
      </c>
      <c r="E141" s="60">
        <v>44119</v>
      </c>
      <c r="F141" s="61">
        <v>44506</v>
      </c>
      <c r="G141" s="22" t="str">
        <f>VLOOKUP($H141,'NO TOCAR'!$A$2:$D$160,3,)</f>
        <v>Aforo en zona interiores</v>
      </c>
      <c r="H141" s="62" t="s">
        <v>283</v>
      </c>
      <c r="I141" s="22" t="str">
        <f>VLOOKUP($H141,'NO TOCAR'!$A$2:$D$160,2,FALSE)</f>
        <v>Restauración, hostelería y bares</v>
      </c>
      <c r="J141" s="22" t="str">
        <f>VLOOKUP($H141,'NO TOCAR'!$A$2:$D$160,4,FALSE)</f>
        <v>RH</v>
      </c>
      <c r="K141" s="59" t="s">
        <v>347</v>
      </c>
      <c r="L141" s="64">
        <v>50</v>
      </c>
      <c r="M141" s="63">
        <v>29</v>
      </c>
      <c r="N141"/>
      <c r="O141"/>
      <c r="P141"/>
      <c r="Q141"/>
    </row>
    <row r="142" spans="1:17" s="13" customFormat="1" ht="29" hidden="1" x14ac:dyDescent="0.35">
      <c r="A142" s="13" t="s">
        <v>345</v>
      </c>
      <c r="B142" s="13" t="s">
        <v>346</v>
      </c>
      <c r="D142" s="7">
        <v>44259</v>
      </c>
      <c r="E142" s="30">
        <v>44260</v>
      </c>
      <c r="F142" s="30"/>
      <c r="G142" s="22" t="str">
        <f>VLOOKUP($H142,'NO TOCAR'!$A$2:$D$160,3,)</f>
        <v>Aforo en zona interiores</v>
      </c>
      <c r="H142" s="26" t="s">
        <v>283</v>
      </c>
      <c r="I142" s="22" t="str">
        <f>VLOOKUP($H142,'NO TOCAR'!$A$2:$D$160,2,FALSE)</f>
        <v>Restauración, hostelería y bares</v>
      </c>
      <c r="J142" s="22" t="str">
        <f>VLOOKUP($H142,'NO TOCAR'!$A$2:$D$160,4,FALSE)</f>
        <v>RH</v>
      </c>
      <c r="K142" s="24" t="s">
        <v>347</v>
      </c>
      <c r="L142" s="24">
        <v>50</v>
      </c>
      <c r="M142" s="12"/>
      <c r="N142" s="14"/>
      <c r="O142" s="14"/>
      <c r="P142" s="14"/>
      <c r="Q142" s="14"/>
    </row>
    <row r="143" spans="1:17" s="13" customFormat="1" ht="29" hidden="1" x14ac:dyDescent="0.35">
      <c r="A143" s="13" t="s">
        <v>345</v>
      </c>
      <c r="B143" s="13" t="s">
        <v>346</v>
      </c>
      <c r="D143" s="7">
        <v>44123</v>
      </c>
      <c r="E143" s="30">
        <v>44124</v>
      </c>
      <c r="F143" s="30">
        <v>44141</v>
      </c>
      <c r="G143" s="22" t="str">
        <f>VLOOKUP($H143,'NO TOCAR'!$A$2:$D$160,3,)</f>
        <v>Aforo en zona interiores</v>
      </c>
      <c r="H143" s="26" t="s">
        <v>283</v>
      </c>
      <c r="I143" s="22" t="str">
        <f>VLOOKUP($H143,'NO TOCAR'!$A$2:$D$160,2,FALSE)</f>
        <v>Restauración, hostelería y bares</v>
      </c>
      <c r="J143" s="22" t="str">
        <f>VLOOKUP($H143,'NO TOCAR'!$A$2:$D$160,4,FALSE)</f>
        <v>RH</v>
      </c>
      <c r="K143" s="24" t="s">
        <v>347</v>
      </c>
      <c r="L143" s="24">
        <v>50</v>
      </c>
      <c r="M143" s="12"/>
      <c r="N143" s="14"/>
      <c r="O143" s="14"/>
      <c r="P143" s="14"/>
      <c r="Q143" s="14"/>
    </row>
    <row r="144" spans="1:17" s="13" customFormat="1" ht="29" hidden="1" x14ac:dyDescent="0.35">
      <c r="A144" s="13" t="s">
        <v>345</v>
      </c>
      <c r="B144" s="13" t="s">
        <v>346</v>
      </c>
      <c r="D144" s="7">
        <v>44179</v>
      </c>
      <c r="E144" s="30">
        <v>44180</v>
      </c>
      <c r="F144" s="30">
        <v>44200</v>
      </c>
      <c r="G144" s="22" t="str">
        <f>VLOOKUP($H144,'NO TOCAR'!$A$2:$D$160,3,)</f>
        <v>Aforo en zona interiores</v>
      </c>
      <c r="H144" s="26" t="s">
        <v>283</v>
      </c>
      <c r="I144" s="22" t="str">
        <f>VLOOKUP($H144,'NO TOCAR'!$A$2:$D$160,2,FALSE)</f>
        <v>Restauración, hostelería y bares</v>
      </c>
      <c r="J144" s="22" t="str">
        <f>VLOOKUP($H144,'NO TOCAR'!$A$2:$D$160,4,FALSE)</f>
        <v>RH</v>
      </c>
      <c r="K144" s="24" t="s">
        <v>347</v>
      </c>
      <c r="L144" s="24">
        <v>30</v>
      </c>
      <c r="M144" s="12"/>
      <c r="N144" s="14"/>
      <c r="O144" s="14"/>
      <c r="P144" s="14"/>
      <c r="Q144" s="14"/>
    </row>
    <row r="145" spans="1:17" s="13" customFormat="1" ht="29" hidden="1" x14ac:dyDescent="0.35">
      <c r="A145" s="13" t="s">
        <v>345</v>
      </c>
      <c r="B145" s="13" t="s">
        <v>346</v>
      </c>
      <c r="D145" s="7">
        <v>44200</v>
      </c>
      <c r="E145" s="30">
        <v>44201</v>
      </c>
      <c r="F145" s="30">
        <v>44259</v>
      </c>
      <c r="G145" s="22" t="str">
        <f>VLOOKUP($H145,'NO TOCAR'!$A$2:$D$160,3,)</f>
        <v>Aforo en zona interiores</v>
      </c>
      <c r="H145" s="26" t="s">
        <v>283</v>
      </c>
      <c r="I145" s="22" t="str">
        <f>VLOOKUP($H145,'NO TOCAR'!$A$2:$D$160,2,FALSE)</f>
        <v>Restauración, hostelería y bares</v>
      </c>
      <c r="J145" s="22" t="str">
        <f>VLOOKUP($H145,'NO TOCAR'!$A$2:$D$160,4,FALSE)</f>
        <v>RH</v>
      </c>
      <c r="K145" s="24" t="s">
        <v>347</v>
      </c>
      <c r="L145" s="24">
        <v>30</v>
      </c>
      <c r="M145" s="12"/>
      <c r="N145" s="14"/>
      <c r="O145" s="14"/>
      <c r="P145" s="14"/>
      <c r="Q145" s="14"/>
    </row>
    <row r="146" spans="1:17" s="13" customFormat="1" hidden="1" x14ac:dyDescent="0.35">
      <c r="A146" s="13" t="s">
        <v>355</v>
      </c>
      <c r="B146" s="13" t="s">
        <v>346</v>
      </c>
      <c r="C146" s="13" t="s">
        <v>356</v>
      </c>
      <c r="D146" s="7">
        <v>44004</v>
      </c>
      <c r="E146" s="7">
        <v>44004</v>
      </c>
      <c r="F146" s="7">
        <v>44026</v>
      </c>
      <c r="G146" s="22" t="str">
        <f>VLOOKUP($H146,'NO TOCAR'!$A$2:$D$160,3,)</f>
        <v>Aforo velatorios, entierros y ceremonias fúnebres en espacios interiores</v>
      </c>
      <c r="H146" s="15" t="s">
        <v>23</v>
      </c>
      <c r="I146" s="22" t="str">
        <f>VLOOKUP($H146,'NO TOCAR'!$A$2:$D$160,2,FALSE)</f>
        <v>Ceremonias religiosas</v>
      </c>
      <c r="J146" s="22" t="str">
        <f>VLOOKUP($H146,'NO TOCAR'!$A$2:$D$160,4,FALSE)</f>
        <v>CE</v>
      </c>
      <c r="K146" s="13" t="s">
        <v>354</v>
      </c>
      <c r="L146" s="13">
        <v>15</v>
      </c>
      <c r="M146" s="12">
        <v>29.2</v>
      </c>
      <c r="N146" s="14"/>
      <c r="O146" s="14"/>
      <c r="P146" s="14"/>
      <c r="Q146" s="14"/>
    </row>
    <row r="147" spans="1:17" s="13" customFormat="1" hidden="1" x14ac:dyDescent="0.35">
      <c r="A147" s="33" t="s">
        <v>355</v>
      </c>
      <c r="B147" s="33" t="s">
        <v>346</v>
      </c>
      <c r="C147" s="33" t="s">
        <v>356</v>
      </c>
      <c r="D147" s="7">
        <v>44026</v>
      </c>
      <c r="E147" s="7">
        <v>44026</v>
      </c>
      <c r="F147" s="41">
        <v>44036</v>
      </c>
      <c r="G147" s="22" t="str">
        <f>VLOOKUP($H147,'NO TOCAR'!$A$2:$D$160,3,)</f>
        <v>Aforo velatorios, entierros y ceremonias fúnebres en espacios interiores</v>
      </c>
      <c r="H147" s="35" t="s">
        <v>23</v>
      </c>
      <c r="I147" s="22" t="str">
        <f>VLOOKUP($H147,'NO TOCAR'!$A$2:$D$160,2,FALSE)</f>
        <v>Ceremonias religiosas</v>
      </c>
      <c r="J147" s="22" t="str">
        <f>VLOOKUP($H147,'NO TOCAR'!$A$2:$D$160,4,FALSE)</f>
        <v>CE</v>
      </c>
      <c r="K147" s="33" t="s">
        <v>354</v>
      </c>
      <c r="L147" s="33">
        <v>15</v>
      </c>
      <c r="M147" s="12">
        <v>53.3</v>
      </c>
      <c r="N147" s="34"/>
      <c r="O147" s="34"/>
      <c r="P147" s="34"/>
      <c r="Q147" s="34"/>
    </row>
    <row r="148" spans="1:17" s="13" customFormat="1" hidden="1" x14ac:dyDescent="0.35">
      <c r="A148" s="36" t="s">
        <v>355</v>
      </c>
      <c r="B148" s="36" t="s">
        <v>346</v>
      </c>
      <c r="C148" s="36" t="s">
        <v>358</v>
      </c>
      <c r="D148" s="37">
        <v>44026</v>
      </c>
      <c r="E148" s="37">
        <v>44026</v>
      </c>
      <c r="F148" s="56">
        <v>44078</v>
      </c>
      <c r="G148" s="22" t="str">
        <f>VLOOKUP($H148,'NO TOCAR'!$A$2:$D$160,3,)</f>
        <v>Aforo velatorios, entierros y ceremonias fúnebres en espacios interiores</v>
      </c>
      <c r="H148" s="39" t="s">
        <v>23</v>
      </c>
      <c r="I148" s="22" t="str">
        <f>VLOOKUP($H148,'NO TOCAR'!$A$2:$D$160,2,FALSE)</f>
        <v>Ceremonias religiosas</v>
      </c>
      <c r="J148" s="22" t="str">
        <f>VLOOKUP($H148,'NO TOCAR'!$A$2:$D$160,4,FALSE)</f>
        <v>CE</v>
      </c>
      <c r="K148" s="36" t="s">
        <v>354</v>
      </c>
      <c r="L148" s="36">
        <v>15</v>
      </c>
      <c r="M148" s="38">
        <v>80.400000000000006</v>
      </c>
      <c r="N148" s="38"/>
      <c r="O148" s="38"/>
      <c r="P148" s="38"/>
      <c r="Q148" s="38"/>
    </row>
    <row r="149" spans="1:17" s="13" customFormat="1" hidden="1" x14ac:dyDescent="0.35">
      <c r="A149" s="46" t="s">
        <v>355</v>
      </c>
      <c r="B149" s="46" t="s">
        <v>346</v>
      </c>
      <c r="C149" s="46" t="s">
        <v>356</v>
      </c>
      <c r="D149" s="47">
        <v>44036</v>
      </c>
      <c r="E149" s="47">
        <v>44036</v>
      </c>
      <c r="F149" s="56">
        <v>44078</v>
      </c>
      <c r="G149" s="22" t="str">
        <f>VLOOKUP($H149,'NO TOCAR'!$A$2:$D$160,3,)</f>
        <v>Aforo velatorios, entierros y ceremonias fúnebres en espacios interiores</v>
      </c>
      <c r="H149" s="48" t="s">
        <v>23</v>
      </c>
      <c r="I149" s="22" t="str">
        <f>VLOOKUP($H149,'NO TOCAR'!$A$2:$D$160,2,FALSE)</f>
        <v>Ceremonias religiosas</v>
      </c>
      <c r="J149" s="22" t="str">
        <f>VLOOKUP($H149,'NO TOCAR'!$A$2:$D$160,4,FALSE)</f>
        <v>CE</v>
      </c>
      <c r="K149" s="46" t="s">
        <v>354</v>
      </c>
      <c r="L149" s="46">
        <v>15</v>
      </c>
      <c r="M149" s="49">
        <f>17.7+49.9</f>
        <v>67.599999999999994</v>
      </c>
      <c r="N149" s="49"/>
      <c r="O149" s="49"/>
      <c r="P149" s="49"/>
      <c r="Q149" s="49"/>
    </row>
    <row r="150" spans="1:17" s="13" customFormat="1" hidden="1" x14ac:dyDescent="0.35">
      <c r="A150" s="13" t="s">
        <v>345</v>
      </c>
      <c r="B150" s="13" t="s">
        <v>346</v>
      </c>
      <c r="D150" s="7">
        <v>44083</v>
      </c>
      <c r="E150" s="25">
        <v>44083</v>
      </c>
      <c r="F150" s="30">
        <v>44124</v>
      </c>
      <c r="G150" s="22" t="str">
        <f>VLOOKUP($H150,'NO TOCAR'!$A$2:$D$160,3,)</f>
        <v>Aforo velatorios, entierros y ceremonias fúnebres en espacios interiores</v>
      </c>
      <c r="H150" s="26" t="s">
        <v>23</v>
      </c>
      <c r="I150" s="22" t="str">
        <f>VLOOKUP($H150,'NO TOCAR'!$A$2:$D$160,2,FALSE)</f>
        <v>Ceremonias religiosas</v>
      </c>
      <c r="J150" s="22" t="str">
        <f>VLOOKUP($H150,'NO TOCAR'!$A$2:$D$160,4,FALSE)</f>
        <v>CE</v>
      </c>
      <c r="K150" s="32" t="s">
        <v>354</v>
      </c>
      <c r="L150" s="24">
        <v>50</v>
      </c>
      <c r="M150" s="14"/>
      <c r="N150" s="14"/>
      <c r="O150" s="14"/>
      <c r="P150" s="14"/>
      <c r="Q150" s="14"/>
    </row>
    <row r="151" spans="1:17" s="13" customFormat="1" hidden="1" x14ac:dyDescent="0.35">
      <c r="A151" s="66" t="s">
        <v>355</v>
      </c>
      <c r="B151" s="66" t="s">
        <v>346</v>
      </c>
      <c r="C151" s="66" t="s">
        <v>358</v>
      </c>
      <c r="D151" s="7">
        <v>44111</v>
      </c>
      <c r="E151" s="16">
        <v>44112</v>
      </c>
      <c r="F151" s="16">
        <v>44118</v>
      </c>
      <c r="G151" s="22" t="str">
        <f>VLOOKUP($H151,'NO TOCAR'!$A$2:$D$160,3,)</f>
        <v>Aforo velatorios, entierros y ceremonias fúnebres en espacios interiores</v>
      </c>
      <c r="H151" s="67" t="s">
        <v>23</v>
      </c>
      <c r="I151" s="22" t="str">
        <f>VLOOKUP($H151,'NO TOCAR'!$A$2:$D$160,2,FALSE)</f>
        <v>Ceremonias religiosas</v>
      </c>
      <c r="J151" s="22" t="str">
        <f>VLOOKUP($H151,'NO TOCAR'!$A$2:$D$160,4,FALSE)</f>
        <v>CE</v>
      </c>
      <c r="K151" s="66" t="s">
        <v>354</v>
      </c>
      <c r="L151" s="66">
        <v>15</v>
      </c>
      <c r="M151" s="68">
        <v>70</v>
      </c>
      <c r="N151" s="14"/>
      <c r="O151" s="14"/>
      <c r="P151" s="14"/>
      <c r="Q151" s="14"/>
    </row>
    <row r="152" spans="1:17" s="13" customFormat="1" hidden="1" x14ac:dyDescent="0.35">
      <c r="A152" s="46" t="s">
        <v>355</v>
      </c>
      <c r="B152" s="46" t="s">
        <v>346</v>
      </c>
      <c r="C152" s="46" t="s">
        <v>356</v>
      </c>
      <c r="D152" s="47">
        <v>44111</v>
      </c>
      <c r="E152" s="40">
        <v>44112</v>
      </c>
      <c r="F152" s="40">
        <v>44506</v>
      </c>
      <c r="G152" s="22" t="str">
        <f>VLOOKUP($H152,'NO TOCAR'!$A$2:$D$160,3,)</f>
        <v>Aforo velatorios, entierros y ceremonias fúnebres en espacios interiores</v>
      </c>
      <c r="H152" s="48" t="s">
        <v>23</v>
      </c>
      <c r="I152" s="22" t="str">
        <f>VLOOKUP($H152,'NO TOCAR'!$A$2:$D$160,2,FALSE)</f>
        <v>Ceremonias religiosas</v>
      </c>
      <c r="J152" s="22" t="str">
        <f>VLOOKUP($H152,'NO TOCAR'!$A$2:$D$160,4,FALSE)</f>
        <v>CE</v>
      </c>
      <c r="K152" s="46" t="s">
        <v>354</v>
      </c>
      <c r="L152" s="46">
        <v>15</v>
      </c>
      <c r="M152" s="49">
        <v>24</v>
      </c>
      <c r="N152"/>
      <c r="O152"/>
      <c r="P152"/>
      <c r="Q152"/>
    </row>
    <row r="153" spans="1:17" s="13" customFormat="1" hidden="1" x14ac:dyDescent="0.35">
      <c r="A153" s="59" t="s">
        <v>355</v>
      </c>
      <c r="B153" s="59" t="s">
        <v>346</v>
      </c>
      <c r="C153" s="59" t="s">
        <v>361</v>
      </c>
      <c r="D153" s="60">
        <v>44118</v>
      </c>
      <c r="E153" s="60">
        <v>44119</v>
      </c>
      <c r="F153" s="61">
        <v>44506</v>
      </c>
      <c r="G153" s="22" t="str">
        <f>VLOOKUP($H153,'NO TOCAR'!$A$2:$D$160,3,)</f>
        <v>Aforo velatorios, entierros y ceremonias fúnebres en espacios interiores</v>
      </c>
      <c r="H153" s="62" t="s">
        <v>23</v>
      </c>
      <c r="I153" s="22" t="str">
        <f>VLOOKUP($H153,'NO TOCAR'!$A$2:$D$160,2,FALSE)</f>
        <v>Ceremonias religiosas</v>
      </c>
      <c r="J153" s="22" t="str">
        <f>VLOOKUP($H153,'NO TOCAR'!$A$2:$D$160,4,FALSE)</f>
        <v>CE</v>
      </c>
      <c r="K153" s="59" t="s">
        <v>354</v>
      </c>
      <c r="L153" s="59">
        <v>15</v>
      </c>
      <c r="M153" s="63">
        <v>29</v>
      </c>
      <c r="N153"/>
      <c r="O153"/>
      <c r="P153"/>
      <c r="Q153"/>
    </row>
    <row r="154" spans="1:17" s="13" customFormat="1" hidden="1" x14ac:dyDescent="0.35">
      <c r="A154" s="13" t="s">
        <v>345</v>
      </c>
      <c r="B154" s="13" t="s">
        <v>346</v>
      </c>
      <c r="D154" s="17">
        <v>44200</v>
      </c>
      <c r="E154" s="17">
        <v>44201</v>
      </c>
      <c r="F154" s="30"/>
      <c r="G154" s="22" t="s">
        <v>153</v>
      </c>
      <c r="H154" s="26" t="s">
        <v>23</v>
      </c>
      <c r="I154" s="22" t="s">
        <v>150</v>
      </c>
      <c r="J154" s="22" t="s">
        <v>151</v>
      </c>
      <c r="K154" s="32" t="s">
        <v>354</v>
      </c>
      <c r="L154" s="24">
        <v>10</v>
      </c>
      <c r="M154" s="14"/>
      <c r="N154" s="14"/>
      <c r="O154" s="14"/>
      <c r="P154" s="14"/>
      <c r="Q154" s="14"/>
    </row>
    <row r="155" spans="1:17" s="13" customFormat="1" hidden="1" x14ac:dyDescent="0.35">
      <c r="A155" s="13" t="s">
        <v>345</v>
      </c>
      <c r="B155" s="13" t="s">
        <v>346</v>
      </c>
      <c r="D155" s="7">
        <v>44123</v>
      </c>
      <c r="E155" s="30">
        <v>44124</v>
      </c>
      <c r="F155" s="30">
        <v>44141</v>
      </c>
      <c r="G155" s="22" t="str">
        <f>VLOOKUP($H155,'NO TOCAR'!$A$2:$D$160,3,)</f>
        <v>Aforo velatorios, entierros y ceremonias fúnebres en espacios interiores</v>
      </c>
      <c r="H155" s="26" t="s">
        <v>23</v>
      </c>
      <c r="I155" s="22" t="str">
        <f>VLOOKUP($H155,'NO TOCAR'!$A$2:$D$160,2,FALSE)</f>
        <v>Ceremonias religiosas</v>
      </c>
      <c r="J155" s="22" t="str">
        <f>VLOOKUP($H155,'NO TOCAR'!$A$2:$D$160,4,FALSE)</f>
        <v>CE</v>
      </c>
      <c r="K155" s="32" t="s">
        <v>354</v>
      </c>
      <c r="L155" s="24">
        <v>15</v>
      </c>
      <c r="M155" s="14"/>
      <c r="N155" s="14"/>
      <c r="O155" s="14"/>
      <c r="P155" s="14"/>
      <c r="Q155" s="14"/>
    </row>
    <row r="156" spans="1:17" s="13" customFormat="1" hidden="1" x14ac:dyDescent="0.35">
      <c r="A156" s="13" t="s">
        <v>345</v>
      </c>
      <c r="B156" s="13" t="s">
        <v>346</v>
      </c>
      <c r="D156" s="7">
        <v>44140</v>
      </c>
      <c r="E156" s="30">
        <v>44141</v>
      </c>
      <c r="F156" s="30">
        <v>44201</v>
      </c>
      <c r="G156" s="22" t="str">
        <f>VLOOKUP($H156,'NO TOCAR'!$A$2:$D$160,3,)</f>
        <v>Aforo velatorios, entierros y ceremonias fúnebres en espacios interiores</v>
      </c>
      <c r="H156" s="26" t="s">
        <v>23</v>
      </c>
      <c r="I156" s="22" t="str">
        <f>VLOOKUP($H156,'NO TOCAR'!$A$2:$D$160,2,FALSE)</f>
        <v>Ceremonias religiosas</v>
      </c>
      <c r="J156" s="22" t="str">
        <f>VLOOKUP($H156,'NO TOCAR'!$A$2:$D$160,4,FALSE)</f>
        <v>CE</v>
      </c>
      <c r="K156" s="32" t="s">
        <v>354</v>
      </c>
      <c r="L156" s="24">
        <v>10</v>
      </c>
      <c r="M156" s="14"/>
      <c r="N156" s="14"/>
      <c r="O156" s="14"/>
      <c r="P156" s="14"/>
      <c r="Q156" s="14"/>
    </row>
    <row r="157" spans="1:17" s="13" customFormat="1" x14ac:dyDescent="0.35">
      <c r="A157" s="13" t="s">
        <v>355</v>
      </c>
      <c r="B157" s="13" t="s">
        <v>346</v>
      </c>
      <c r="C157" s="13" t="s">
        <v>356</v>
      </c>
      <c r="D157" s="7">
        <v>44004</v>
      </c>
      <c r="E157" s="7">
        <v>44004</v>
      </c>
      <c r="F157" s="7">
        <v>44026</v>
      </c>
      <c r="G157" s="76" t="str">
        <f>VLOOKUP($H157,'NO TOCAR'!$A$2:$D$160,3,)</f>
        <v xml:space="preserve">Limitación de aforo piscinas de recreo </v>
      </c>
      <c r="H157" s="6" t="s">
        <v>50</v>
      </c>
      <c r="I157" s="22" t="str">
        <f>VLOOKUP($H157,'NO TOCAR'!$A$2:$D$160,2,FALSE)</f>
        <v>Deporte y actividad física</v>
      </c>
      <c r="J157" s="22" t="str">
        <f>VLOOKUP($H157,'NO TOCAR'!$A$2:$D$160,4,FALSE)</f>
        <v>AF</v>
      </c>
      <c r="K157" s="13" t="s">
        <v>347</v>
      </c>
      <c r="L157" s="13">
        <v>75</v>
      </c>
      <c r="M157" s="12">
        <v>29.2</v>
      </c>
      <c r="N157" s="14"/>
      <c r="O157" s="14"/>
      <c r="P157" s="14"/>
      <c r="Q157" s="14"/>
    </row>
    <row r="158" spans="1:17" s="13" customFormat="1" x14ac:dyDescent="0.35">
      <c r="A158" s="13" t="s">
        <v>355</v>
      </c>
      <c r="B158" s="13" t="s">
        <v>346</v>
      </c>
      <c r="C158" s="13" t="s">
        <v>356</v>
      </c>
      <c r="D158" s="7">
        <v>44004</v>
      </c>
      <c r="E158" s="7">
        <v>44004</v>
      </c>
      <c r="F158" s="7">
        <v>44026</v>
      </c>
      <c r="G158" s="76" t="str">
        <f>VLOOKUP($H158,'NO TOCAR'!$A$2:$D$160,3,)</f>
        <v>Limitación de aforo piscinas deportivas</v>
      </c>
      <c r="H158" s="6" t="s">
        <v>80</v>
      </c>
      <c r="I158" s="22" t="str">
        <f>VLOOKUP($H158,'NO TOCAR'!$A$2:$D$160,2,FALSE)</f>
        <v>Deporte y actividad física</v>
      </c>
      <c r="J158" s="22" t="str">
        <f>VLOOKUP($H158,'NO TOCAR'!$A$2:$D$160,4,FALSE)</f>
        <v>AF</v>
      </c>
      <c r="K158" s="13" t="s">
        <v>347</v>
      </c>
      <c r="L158" s="13">
        <v>75</v>
      </c>
      <c r="M158" s="12">
        <v>29.2</v>
      </c>
      <c r="N158" s="14"/>
      <c r="O158" s="14"/>
      <c r="P158" s="14"/>
      <c r="Q158" s="14"/>
    </row>
    <row r="159" spans="1:17" s="13" customFormat="1" ht="29" hidden="1" x14ac:dyDescent="0.35">
      <c r="A159" s="13" t="s">
        <v>345</v>
      </c>
      <c r="B159" s="13" t="s">
        <v>346</v>
      </c>
      <c r="C159" s="24"/>
      <c r="D159" s="25">
        <v>44140</v>
      </c>
      <c r="E159" s="30">
        <v>44141</v>
      </c>
      <c r="F159" s="30">
        <v>44180</v>
      </c>
      <c r="G159" s="22" t="str">
        <f>VLOOKUP($H159,'NO TOCAR'!$A$2:$D$160,3,)</f>
        <v>Cierre de academias, autoescuelas y otros centros de formación no reglada (incluidas actividades promovidas por las administraciones locales)</v>
      </c>
      <c r="H159" s="31" t="s">
        <v>218</v>
      </c>
      <c r="I159" s="22" t="str">
        <f>VLOOKUP($H159,'NO TOCAR'!$A$2:$D$160,2,FALSE)</f>
        <v>Educación</v>
      </c>
      <c r="J159" s="22" t="str">
        <f>VLOOKUP($H159,'NO TOCAR'!$A$2:$D$160,4,FALSE)</f>
        <v>ED</v>
      </c>
      <c r="K159" s="24"/>
      <c r="L159" s="24"/>
      <c r="M159" s="27"/>
      <c r="N159" s="28"/>
      <c r="O159" s="28"/>
      <c r="P159" s="28"/>
      <c r="Q159" s="28"/>
    </row>
    <row r="160" spans="1:17" s="13" customFormat="1" hidden="1" x14ac:dyDescent="0.35">
      <c r="A160" s="13" t="s">
        <v>345</v>
      </c>
      <c r="B160" s="13" t="s">
        <v>346</v>
      </c>
      <c r="D160" s="7"/>
      <c r="E160" s="16">
        <v>44003</v>
      </c>
      <c r="F160" s="16">
        <v>44089</v>
      </c>
      <c r="G160" s="22" t="str">
        <f>VLOOKUP($H160,'NO TOCAR'!$A$2:$D$160,3,)</f>
        <v>Cierre de centros educativos (por restricciones o vacaciones)</v>
      </c>
      <c r="H160" s="15" t="s">
        <v>216</v>
      </c>
      <c r="I160" s="22" t="str">
        <f>VLOOKUP($H160,'NO TOCAR'!$A$2:$D$160,2,FALSE)</f>
        <v>Educación</v>
      </c>
      <c r="J160" s="22" t="str">
        <f>VLOOKUP($H160,'NO TOCAR'!$A$2:$D$160,4,FALSE)</f>
        <v>ED</v>
      </c>
      <c r="M160" s="12"/>
      <c r="N160" s="14" t="s">
        <v>353</v>
      </c>
      <c r="O160" s="14"/>
      <c r="P160" s="14"/>
      <c r="Q160" s="14"/>
    </row>
    <row r="161" spans="1:17" s="13" customFormat="1" hidden="1" x14ac:dyDescent="0.35">
      <c r="A161" s="13" t="s">
        <v>345</v>
      </c>
      <c r="B161" s="13" t="s">
        <v>346</v>
      </c>
      <c r="D161" s="7"/>
      <c r="E161" s="16">
        <v>44003</v>
      </c>
      <c r="F161" s="16">
        <v>44089</v>
      </c>
      <c r="G161" s="22" t="str">
        <f>VLOOKUP($H161,'NO TOCAR'!$A$2:$D$160,3,)</f>
        <v>Cierre de centros educativos (por restricciones o vacaciones)</v>
      </c>
      <c r="H161" s="15" t="s">
        <v>216</v>
      </c>
      <c r="I161" s="22" t="str">
        <f>VLOOKUP($H161,'NO TOCAR'!$A$2:$D$160,2,FALSE)</f>
        <v>Educación</v>
      </c>
      <c r="J161" s="22" t="str">
        <f>VLOOKUP($H161,'NO TOCAR'!$A$2:$D$160,4,FALSE)</f>
        <v>ED</v>
      </c>
      <c r="M161" s="12"/>
      <c r="N161" s="14" t="s">
        <v>352</v>
      </c>
      <c r="O161" s="14"/>
      <c r="P161" s="14"/>
      <c r="Q161" s="14"/>
    </row>
    <row r="162" spans="1:17" s="13" customFormat="1" hidden="1" x14ac:dyDescent="0.35">
      <c r="A162" s="13" t="s">
        <v>345</v>
      </c>
      <c r="B162" s="13" t="s">
        <v>346</v>
      </c>
      <c r="D162" s="7"/>
      <c r="E162" s="16">
        <v>44003</v>
      </c>
      <c r="F162" s="16">
        <v>44089</v>
      </c>
      <c r="G162" s="22" t="str">
        <f>VLOOKUP($H162,'NO TOCAR'!$A$2:$D$160,3,)</f>
        <v>Cierre de centros educativos (por restricciones o vacaciones)</v>
      </c>
      <c r="H162" s="15" t="s">
        <v>216</v>
      </c>
      <c r="I162" s="22" t="str">
        <f>VLOOKUP($H162,'NO TOCAR'!$A$2:$D$160,2,FALSE)</f>
        <v>Educación</v>
      </c>
      <c r="J162" s="22" t="str">
        <f>VLOOKUP($H162,'NO TOCAR'!$A$2:$D$160,4,FALSE)</f>
        <v>ED</v>
      </c>
      <c r="M162" s="12"/>
      <c r="N162" s="14" t="s">
        <v>351</v>
      </c>
      <c r="O162" s="14"/>
      <c r="P162" s="14"/>
      <c r="Q162" s="14"/>
    </row>
    <row r="163" spans="1:17" s="13" customFormat="1" hidden="1" x14ac:dyDescent="0.35">
      <c r="A163" s="13" t="s">
        <v>345</v>
      </c>
      <c r="B163" s="13" t="s">
        <v>346</v>
      </c>
      <c r="D163" s="7"/>
      <c r="E163" s="16">
        <v>44003</v>
      </c>
      <c r="F163" s="16">
        <v>44089</v>
      </c>
      <c r="G163" s="22" t="str">
        <f>VLOOKUP($H163,'NO TOCAR'!$A$2:$D$160,3,)</f>
        <v>Cierre de centros educativos (por restricciones o vacaciones)</v>
      </c>
      <c r="H163" s="15" t="s">
        <v>216</v>
      </c>
      <c r="I163" s="22" t="str">
        <f>VLOOKUP($H163,'NO TOCAR'!$A$2:$D$160,2,FALSE)</f>
        <v>Educación</v>
      </c>
      <c r="J163" s="22" t="str">
        <f>VLOOKUP($H163,'NO TOCAR'!$A$2:$D$160,4,FALSE)</f>
        <v>ED</v>
      </c>
      <c r="M163" s="12"/>
      <c r="N163" s="14" t="s">
        <v>350</v>
      </c>
      <c r="O163" s="14"/>
      <c r="P163" s="14"/>
      <c r="Q163" s="14"/>
    </row>
    <row r="164" spans="1:17" s="13" customFormat="1" hidden="1" x14ac:dyDescent="0.35">
      <c r="A164" s="13" t="s">
        <v>345</v>
      </c>
      <c r="B164" s="13" t="s">
        <v>346</v>
      </c>
      <c r="D164" s="7"/>
      <c r="E164" s="16">
        <v>44003</v>
      </c>
      <c r="F164" s="16">
        <v>44089</v>
      </c>
      <c r="G164" s="22" t="str">
        <f>VLOOKUP($H164,'NO TOCAR'!$A$2:$D$160,3,)</f>
        <v>Cierre de centros educativos (por restricciones o vacaciones)</v>
      </c>
      <c r="H164" s="15" t="s">
        <v>216</v>
      </c>
      <c r="I164" s="22" t="str">
        <f>VLOOKUP($H164,'NO TOCAR'!$A$2:$D$160,2,FALSE)</f>
        <v>Educación</v>
      </c>
      <c r="J164" s="22" t="str">
        <f>VLOOKUP($H164,'NO TOCAR'!$A$2:$D$160,4,FALSE)</f>
        <v>ED</v>
      </c>
      <c r="M164" s="12"/>
      <c r="N164" s="14" t="s">
        <v>349</v>
      </c>
      <c r="O164" s="14"/>
      <c r="P164" s="14"/>
      <c r="Q164" s="14"/>
    </row>
    <row r="165" spans="1:17" s="13" customFormat="1" hidden="1" x14ac:dyDescent="0.35">
      <c r="A165" s="13" t="s">
        <v>345</v>
      </c>
      <c r="B165" s="13" t="s">
        <v>346</v>
      </c>
      <c r="D165" s="7"/>
      <c r="E165" s="16">
        <v>44003</v>
      </c>
      <c r="F165" s="16">
        <v>44089</v>
      </c>
      <c r="G165" s="22" t="str">
        <f>VLOOKUP($H165,'NO TOCAR'!$A$2:$D$160,3,)</f>
        <v>Cierre de centros educativos (por restricciones o vacaciones)</v>
      </c>
      <c r="H165" s="15" t="s">
        <v>216</v>
      </c>
      <c r="I165" s="22" t="str">
        <f>VLOOKUP($H165,'NO TOCAR'!$A$2:$D$160,2,FALSE)</f>
        <v>Educación</v>
      </c>
      <c r="J165" s="22" t="str">
        <f>VLOOKUP($H165,'NO TOCAR'!$A$2:$D$160,4,FALSE)</f>
        <v>ED</v>
      </c>
      <c r="M165" s="12"/>
      <c r="N165" s="14" t="s">
        <v>348</v>
      </c>
      <c r="O165" s="14"/>
      <c r="P165" s="14"/>
      <c r="Q165" s="14"/>
    </row>
    <row r="166" spans="1:17" s="13" customFormat="1" hidden="1" x14ac:dyDescent="0.35">
      <c r="A166" s="46" t="s">
        <v>355</v>
      </c>
      <c r="B166" s="46" t="s">
        <v>346</v>
      </c>
      <c r="C166" s="46" t="s">
        <v>356</v>
      </c>
      <c r="D166" s="47">
        <v>44037</v>
      </c>
      <c r="E166" s="47">
        <v>44044</v>
      </c>
      <c r="F166" s="56">
        <v>44078</v>
      </c>
      <c r="G166" s="22" t="str">
        <f>VLOOKUP($H166,'NO TOCAR'!$A$2:$D$160,3,)</f>
        <v>Cierre de centros recreativos de jóvenes (ludotecas, centros de ocio juvenil…)</v>
      </c>
      <c r="H166" s="55" t="s">
        <v>190</v>
      </c>
      <c r="I166" s="22" t="str">
        <f>VLOOKUP($H166,'NO TOCAR'!$A$2:$D$160,2,FALSE)</f>
        <v>Centros recreativos</v>
      </c>
      <c r="J166" s="22" t="str">
        <f>VLOOKUP($H166,'NO TOCAR'!$A$2:$D$160,4,FALSE)</f>
        <v>CR</v>
      </c>
      <c r="K166" s="46"/>
      <c r="L166" s="46"/>
      <c r="M166" s="49">
        <v>17.7</v>
      </c>
      <c r="N166" s="49"/>
      <c r="O166" s="49"/>
      <c r="P166" s="49"/>
      <c r="Q166" s="49"/>
    </row>
    <row r="167" spans="1:17" s="13" customFormat="1" hidden="1" x14ac:dyDescent="0.35">
      <c r="A167" s="46" t="s">
        <v>355</v>
      </c>
      <c r="B167" s="46" t="s">
        <v>346</v>
      </c>
      <c r="C167" s="36" t="s">
        <v>358</v>
      </c>
      <c r="D167" s="47">
        <v>44037</v>
      </c>
      <c r="E167" s="47">
        <v>44044</v>
      </c>
      <c r="F167" s="56">
        <v>44078</v>
      </c>
      <c r="G167" s="22" t="str">
        <f>VLOOKUP($H167,'NO TOCAR'!$A$2:$D$160,3,)</f>
        <v>Cierre de centros recreativos de jóvenes (ludotecas, centros de ocio juvenil…)</v>
      </c>
      <c r="H167" s="55" t="s">
        <v>190</v>
      </c>
      <c r="I167" s="22" t="str">
        <f>VLOOKUP($H167,'NO TOCAR'!$A$2:$D$160,2,FALSE)</f>
        <v>Centros recreativos</v>
      </c>
      <c r="J167" s="22" t="str">
        <f>VLOOKUP($H167,'NO TOCAR'!$A$2:$D$160,4,FALSE)</f>
        <v>CR</v>
      </c>
      <c r="K167" s="46"/>
      <c r="L167" s="46"/>
      <c r="M167" s="38">
        <v>80.400000000000006</v>
      </c>
      <c r="N167" s="49"/>
      <c r="O167" s="49"/>
      <c r="P167" s="49"/>
      <c r="Q167" s="49"/>
    </row>
    <row r="168" spans="1:17" s="24" customFormat="1" hidden="1" x14ac:dyDescent="0.35">
      <c r="A168" s="13" t="s">
        <v>345</v>
      </c>
      <c r="B168" s="13" t="s">
        <v>346</v>
      </c>
      <c r="D168" s="7">
        <v>44140</v>
      </c>
      <c r="E168" s="16">
        <v>44141</v>
      </c>
      <c r="F168" s="16">
        <v>44274</v>
      </c>
      <c r="G168" s="22" t="str">
        <f>VLOOKUP($H168,'NO TOCAR'!$A$2:$D$160,3,)</f>
        <v>Cierre de centros recreativos de jóvenes (ludotecas, centros de ocio juvenil…)</v>
      </c>
      <c r="H168" s="26" t="s">
        <v>190</v>
      </c>
      <c r="I168" s="22" t="str">
        <f>VLOOKUP($H168,'NO TOCAR'!$A$2:$D$160,2,FALSE)</f>
        <v>Centros recreativos</v>
      </c>
      <c r="J168" s="22" t="str">
        <f>VLOOKUP($H168,'NO TOCAR'!$A$2:$D$160,4,FALSE)</f>
        <v>CR</v>
      </c>
      <c r="K168" s="32"/>
      <c r="M168" s="27"/>
      <c r="N168" s="28"/>
      <c r="O168" s="28"/>
      <c r="P168" s="28"/>
      <c r="Q168" s="28"/>
    </row>
    <row r="169" spans="1:17" s="24" customFormat="1" hidden="1" x14ac:dyDescent="0.35">
      <c r="A169" s="13" t="s">
        <v>345</v>
      </c>
      <c r="B169" s="13" t="s">
        <v>346</v>
      </c>
      <c r="D169" s="7">
        <v>44140</v>
      </c>
      <c r="E169" s="16">
        <v>44141</v>
      </c>
      <c r="F169" s="16"/>
      <c r="G169" s="22" t="str">
        <f>VLOOKUP($H169,'NO TOCAR'!$A$2:$D$160,3,)</f>
        <v xml:space="preserve">Cierre de centros recreativos de mayores (hogares del jubilado) </v>
      </c>
      <c r="H169" s="26" t="s">
        <v>186</v>
      </c>
      <c r="I169" s="22" t="str">
        <f>VLOOKUP($H169,'NO TOCAR'!$A$2:$D$160,2,FALSE)</f>
        <v>Centros recreativos</v>
      </c>
      <c r="J169" s="22" t="str">
        <f>VLOOKUP($H169,'NO TOCAR'!$A$2:$D$160,4,FALSE)</f>
        <v>CR</v>
      </c>
      <c r="K169" s="32"/>
      <c r="M169" s="27"/>
      <c r="N169" s="28"/>
      <c r="O169" s="28"/>
      <c r="P169" s="28"/>
      <c r="Q169" s="28"/>
    </row>
    <row r="170" spans="1:17" s="24" customFormat="1" hidden="1" x14ac:dyDescent="0.35">
      <c r="A170" s="46" t="s">
        <v>355</v>
      </c>
      <c r="B170" s="46" t="s">
        <v>346</v>
      </c>
      <c r="C170" s="46" t="s">
        <v>356</v>
      </c>
      <c r="D170" s="47">
        <v>44036</v>
      </c>
      <c r="E170" s="47">
        <v>44036</v>
      </c>
      <c r="F170" s="56">
        <v>44078</v>
      </c>
      <c r="G170" s="22" t="str">
        <f>VLOOKUP($H170,'NO TOCAR'!$A$2:$D$160,3,)</f>
        <v>Cierre de espacios comerciales según tamaño (p.e. de más de 400 m2)</v>
      </c>
      <c r="H170" s="48" t="s">
        <v>166</v>
      </c>
      <c r="I170" s="22" t="str">
        <f>VLOOKUP($H170,'NO TOCAR'!$A$2:$D$160,2,FALSE)</f>
        <v>Comercio</v>
      </c>
      <c r="J170" s="22" t="str">
        <f>VLOOKUP($H170,'NO TOCAR'!$A$2:$D$160,4,FALSE)</f>
        <v>CO</v>
      </c>
      <c r="K170" s="46" t="s">
        <v>357</v>
      </c>
      <c r="L170" s="53">
        <v>400</v>
      </c>
      <c r="M170" s="49">
        <v>17.7</v>
      </c>
      <c r="N170" s="49"/>
      <c r="O170" s="49"/>
      <c r="P170" s="49"/>
      <c r="Q170" s="49"/>
    </row>
    <row r="171" spans="1:17" s="24" customFormat="1" x14ac:dyDescent="0.35">
      <c r="A171" s="33" t="s">
        <v>355</v>
      </c>
      <c r="B171" s="33" t="s">
        <v>346</v>
      </c>
      <c r="C171" s="33" t="s">
        <v>356</v>
      </c>
      <c r="D171" s="7">
        <v>44026</v>
      </c>
      <c r="E171" s="7">
        <v>44026</v>
      </c>
      <c r="F171" s="41">
        <v>44036</v>
      </c>
      <c r="G171" s="76" t="str">
        <f>VLOOKUP($H171,'NO TOCAR'!$A$2:$D$160,3,)</f>
        <v xml:space="preserve">Limitación de aforo piscinas de recreo </v>
      </c>
      <c r="H171" s="35" t="s">
        <v>50</v>
      </c>
      <c r="I171" s="22" t="str">
        <f>VLOOKUP($H171,'NO TOCAR'!$A$2:$D$160,2,FALSE)</f>
        <v>Deporte y actividad física</v>
      </c>
      <c r="J171" s="22" t="str">
        <f>VLOOKUP($H171,'NO TOCAR'!$A$2:$D$160,4,FALSE)</f>
        <v>AF</v>
      </c>
      <c r="K171" s="33" t="s">
        <v>347</v>
      </c>
      <c r="L171" s="33">
        <v>75</v>
      </c>
      <c r="M171" s="12">
        <v>53.3</v>
      </c>
      <c r="N171" s="34"/>
      <c r="O171" s="34"/>
      <c r="P171" s="34"/>
      <c r="Q171" s="34"/>
    </row>
    <row r="172" spans="1:17" s="13" customFormat="1" x14ac:dyDescent="0.35">
      <c r="A172" s="33" t="s">
        <v>355</v>
      </c>
      <c r="B172" s="33" t="s">
        <v>346</v>
      </c>
      <c r="C172" s="33" t="s">
        <v>356</v>
      </c>
      <c r="D172" s="7">
        <v>44026</v>
      </c>
      <c r="E172" s="7">
        <v>44026</v>
      </c>
      <c r="F172" s="41">
        <v>44036</v>
      </c>
      <c r="G172" s="76" t="str">
        <f>VLOOKUP($H172,'NO TOCAR'!$A$2:$D$160,3,)</f>
        <v>Limitación de aforo piscinas deportivas</v>
      </c>
      <c r="H172" s="35" t="s">
        <v>80</v>
      </c>
      <c r="I172" s="22" t="str">
        <f>VLOOKUP($H172,'NO TOCAR'!$A$2:$D$160,2,FALSE)</f>
        <v>Deporte y actividad física</v>
      </c>
      <c r="J172" s="22" t="str">
        <f>VLOOKUP($H172,'NO TOCAR'!$A$2:$D$160,4,FALSE)</f>
        <v>AF</v>
      </c>
      <c r="K172" s="33" t="s">
        <v>347</v>
      </c>
      <c r="L172" s="33">
        <v>75</v>
      </c>
      <c r="M172" s="12">
        <v>53.3</v>
      </c>
      <c r="N172" s="34"/>
      <c r="O172" s="34"/>
      <c r="P172" s="34"/>
      <c r="Q172" s="34"/>
    </row>
    <row r="173" spans="1:17" s="13" customFormat="1" hidden="1" x14ac:dyDescent="0.35">
      <c r="A173" s="13" t="s">
        <v>345</v>
      </c>
      <c r="B173" s="13" t="s">
        <v>346</v>
      </c>
      <c r="C173"/>
      <c r="D173" s="17">
        <v>44200</v>
      </c>
      <c r="E173" s="17">
        <v>44201</v>
      </c>
      <c r="F173" s="17"/>
      <c r="G173" s="22" t="str">
        <f>VLOOKUP($H173,'NO TOCAR'!$A$2:$D$160,3,)</f>
        <v>Cierre de zonas comunes dentro de los centros comerciales</v>
      </c>
      <c r="H173" s="26" t="s">
        <v>172</v>
      </c>
      <c r="I173" s="22" t="str">
        <f>VLOOKUP($H173,'NO TOCAR'!$A$2:$D$160,2,FALSE)</f>
        <v>Comercio</v>
      </c>
      <c r="J173" s="22" t="str">
        <f>VLOOKUP($H173,'NO TOCAR'!$A$2:$D$160,4,FALSE)</f>
        <v>CO</v>
      </c>
      <c r="K173" s="24" t="s">
        <v>347</v>
      </c>
      <c r="L173" s="24">
        <v>25</v>
      </c>
      <c r="M173"/>
      <c r="N173"/>
      <c r="O173"/>
      <c r="P173"/>
      <c r="Q173"/>
    </row>
    <row r="174" spans="1:17" s="13" customFormat="1" hidden="1" x14ac:dyDescent="0.35">
      <c r="A174" s="13" t="s">
        <v>345</v>
      </c>
      <c r="B174" s="13" t="s">
        <v>346</v>
      </c>
      <c r="D174" s="7">
        <v>44140</v>
      </c>
      <c r="E174" s="30">
        <v>44141</v>
      </c>
      <c r="F174" s="30">
        <v>44200</v>
      </c>
      <c r="G174" s="22" t="str">
        <f>VLOOKUP($H174,'NO TOCAR'!$A$2:$D$160,3,)</f>
        <v>Cierre de zonas comunes dentro de los centros comerciales</v>
      </c>
      <c r="H174" s="26" t="s">
        <v>172</v>
      </c>
      <c r="I174" s="22" t="str">
        <f>VLOOKUP($H174,'NO TOCAR'!$A$2:$D$160,2,FALSE)</f>
        <v>Comercio</v>
      </c>
      <c r="J174" s="22" t="str">
        <f>VLOOKUP($H174,'NO TOCAR'!$A$2:$D$160,4,FALSE)</f>
        <v>CO</v>
      </c>
      <c r="K174" s="24"/>
      <c r="L174" s="24"/>
      <c r="M174" s="12"/>
      <c r="N174" s="14"/>
      <c r="O174" s="14"/>
      <c r="P174" s="14"/>
      <c r="Q174" s="14"/>
    </row>
    <row r="175" spans="1:17" s="13" customFormat="1" hidden="1" x14ac:dyDescent="0.35">
      <c r="A175" s="13" t="s">
        <v>355</v>
      </c>
      <c r="B175" s="13" t="s">
        <v>346</v>
      </c>
      <c r="C175" s="13" t="s">
        <v>356</v>
      </c>
      <c r="D175" s="7">
        <v>44004</v>
      </c>
      <c r="E175" s="7">
        <v>44004</v>
      </c>
      <c r="F175" s="7">
        <v>44026</v>
      </c>
      <c r="G175" s="22" t="str">
        <f>VLOOKUP($H175,'NO TOCAR'!$A$2:$D$160,3,)</f>
        <v>Cierre perimetral de entrada y/o salida</v>
      </c>
      <c r="H175" s="15" t="s">
        <v>243</v>
      </c>
      <c r="I175" s="22" t="str">
        <f>VLOOKUP($H175,'NO TOCAR'!$A$2:$D$160,2,FALSE)</f>
        <v>Movilidad</v>
      </c>
      <c r="J175" s="22" t="str">
        <f>VLOOKUP($H175,'NO TOCAR'!$A$2:$D$160,4,FALSE)</f>
        <v>MV</v>
      </c>
      <c r="M175" s="12">
        <v>29.2</v>
      </c>
      <c r="N175" s="14"/>
      <c r="O175"/>
      <c r="P175"/>
      <c r="Q175"/>
    </row>
    <row r="176" spans="1:17" s="13" customFormat="1" hidden="1" x14ac:dyDescent="0.35">
      <c r="A176" s="33" t="s">
        <v>355</v>
      </c>
      <c r="B176" s="33" t="s">
        <v>346</v>
      </c>
      <c r="C176" s="33" t="s">
        <v>356</v>
      </c>
      <c r="D176" s="7">
        <v>44026</v>
      </c>
      <c r="E176" s="7">
        <v>44026</v>
      </c>
      <c r="F176" s="41">
        <v>44036</v>
      </c>
      <c r="G176" s="22" t="str">
        <f>VLOOKUP($H176,'NO TOCAR'!$A$2:$D$160,3,)</f>
        <v>Cierre perimetral de entrada y/o salida</v>
      </c>
      <c r="H176" s="35" t="s">
        <v>243</v>
      </c>
      <c r="I176" s="22" t="str">
        <f>VLOOKUP($H176,'NO TOCAR'!$A$2:$D$160,2,FALSE)</f>
        <v>Movilidad</v>
      </c>
      <c r="J176" s="22" t="str">
        <f>VLOOKUP($H176,'NO TOCAR'!$A$2:$D$160,4,FALSE)</f>
        <v>MV</v>
      </c>
      <c r="K176" s="33"/>
      <c r="L176" s="33"/>
      <c r="M176" s="12">
        <v>53.3</v>
      </c>
      <c r="N176" s="34"/>
      <c r="O176"/>
      <c r="P176"/>
      <c r="Q176"/>
    </row>
    <row r="177" spans="1:17" s="13" customFormat="1" hidden="1" x14ac:dyDescent="0.35">
      <c r="A177" s="36" t="s">
        <v>355</v>
      </c>
      <c r="B177" s="36" t="s">
        <v>346</v>
      </c>
      <c r="C177" s="36" t="s">
        <v>358</v>
      </c>
      <c r="D177" s="37">
        <v>44026</v>
      </c>
      <c r="E177" s="37">
        <v>44026</v>
      </c>
      <c r="F177" s="56">
        <v>44078</v>
      </c>
      <c r="G177" s="22" t="str">
        <f>VLOOKUP($H177,'NO TOCAR'!$A$2:$D$160,3,)</f>
        <v>Cierre perimetral de entrada y/o salida</v>
      </c>
      <c r="H177" s="39" t="s">
        <v>243</v>
      </c>
      <c r="I177" s="22" t="str">
        <f>VLOOKUP($H177,'NO TOCAR'!$A$2:$D$160,2,FALSE)</f>
        <v>Movilidad</v>
      </c>
      <c r="J177" s="22" t="str">
        <f>VLOOKUP($H177,'NO TOCAR'!$A$2:$D$160,4,FALSE)</f>
        <v>MV</v>
      </c>
      <c r="K177" s="36"/>
      <c r="L177" s="36"/>
      <c r="M177" s="38">
        <v>80.400000000000006</v>
      </c>
      <c r="N177" s="38"/>
      <c r="O177"/>
      <c r="P177"/>
      <c r="Q177"/>
    </row>
    <row r="178" spans="1:17" s="46" customFormat="1" hidden="1" x14ac:dyDescent="0.35">
      <c r="A178" s="46" t="s">
        <v>355</v>
      </c>
      <c r="B178" s="46" t="s">
        <v>346</v>
      </c>
      <c r="C178" s="46" t="s">
        <v>356</v>
      </c>
      <c r="D178" s="47">
        <v>44036</v>
      </c>
      <c r="E178" s="47">
        <v>44036</v>
      </c>
      <c r="F178" s="56">
        <v>44078</v>
      </c>
      <c r="G178" s="22" t="str">
        <f>VLOOKUP($H178,'NO TOCAR'!$A$2:$D$160,3,)</f>
        <v>Cierre perimetral de entrada y/o salida</v>
      </c>
      <c r="H178" s="48" t="s">
        <v>243</v>
      </c>
      <c r="I178" s="22" t="str">
        <f>VLOOKUP($H178,'NO TOCAR'!$A$2:$D$160,2,FALSE)</f>
        <v>Movilidad</v>
      </c>
      <c r="J178" s="22" t="str">
        <f>VLOOKUP($H178,'NO TOCAR'!$A$2:$D$160,4,FALSE)</f>
        <v>MV</v>
      </c>
      <c r="M178" s="49">
        <f>17.7+49.9</f>
        <v>67.599999999999994</v>
      </c>
      <c r="N178" s="49"/>
      <c r="O178"/>
      <c r="P178"/>
      <c r="Q178"/>
    </row>
    <row r="179" spans="1:17" s="46" customFormat="1" hidden="1" x14ac:dyDescent="0.35">
      <c r="A179" s="66" t="s">
        <v>355</v>
      </c>
      <c r="B179" s="66" t="s">
        <v>346</v>
      </c>
      <c r="C179" s="66" t="s">
        <v>358</v>
      </c>
      <c r="D179" s="7">
        <v>44125</v>
      </c>
      <c r="E179" s="7">
        <v>44126</v>
      </c>
      <c r="F179" s="16">
        <v>44165</v>
      </c>
      <c r="G179" s="22" t="str">
        <f>VLOOKUP($H179,'NO TOCAR'!$A$2:$D$160,3,)</f>
        <v>Cierre perimetral de entrada y/o salida</v>
      </c>
      <c r="H179" s="67" t="s">
        <v>243</v>
      </c>
      <c r="I179" s="22" t="str">
        <f>VLOOKUP($H179,'NO TOCAR'!$A$2:$D$160,2,FALSE)</f>
        <v>Movilidad</v>
      </c>
      <c r="J179" s="22" t="str">
        <f>VLOOKUP($H179,'NO TOCAR'!$A$2:$D$160,4,FALSE)</f>
        <v>MV</v>
      </c>
      <c r="K179" s="13"/>
      <c r="L179" s="13"/>
      <c r="M179" s="14">
        <v>70</v>
      </c>
      <c r="N179" s="14"/>
      <c r="O179"/>
      <c r="P179"/>
      <c r="Q179"/>
    </row>
    <row r="180" spans="1:17" s="46" customFormat="1" hidden="1" x14ac:dyDescent="0.35">
      <c r="A180" s="46" t="s">
        <v>355</v>
      </c>
      <c r="B180" s="46" t="s">
        <v>346</v>
      </c>
      <c r="C180" s="46" t="s">
        <v>356</v>
      </c>
      <c r="D180" s="7">
        <v>44125</v>
      </c>
      <c r="E180" s="7">
        <v>44126</v>
      </c>
      <c r="F180" s="16">
        <v>44165</v>
      </c>
      <c r="G180" s="22" t="str">
        <f>VLOOKUP($H180,'NO TOCAR'!$A$2:$D$160,3,)</f>
        <v>Cierre perimetral de entrada y/o salida</v>
      </c>
      <c r="H180" s="67" t="s">
        <v>243</v>
      </c>
      <c r="I180" s="22" t="str">
        <f>VLOOKUP($H180,'NO TOCAR'!$A$2:$D$160,2,FALSE)</f>
        <v>Movilidad</v>
      </c>
      <c r="J180" s="22" t="str">
        <f>VLOOKUP($H180,'NO TOCAR'!$A$2:$D$160,4,FALSE)</f>
        <v>MV</v>
      </c>
      <c r="K180" s="13"/>
      <c r="L180" s="13"/>
      <c r="M180" s="14">
        <v>24</v>
      </c>
      <c r="N180" s="14"/>
      <c r="O180"/>
      <c r="P180"/>
      <c r="Q180"/>
    </row>
    <row r="181" spans="1:17" s="46" customFormat="1" hidden="1" x14ac:dyDescent="0.35">
      <c r="A181" s="59" t="s">
        <v>355</v>
      </c>
      <c r="B181" s="59" t="s">
        <v>346</v>
      </c>
      <c r="C181" s="59" t="s">
        <v>361</v>
      </c>
      <c r="D181" s="7">
        <v>44125</v>
      </c>
      <c r="E181" s="7">
        <v>44126</v>
      </c>
      <c r="F181" s="16">
        <v>44165</v>
      </c>
      <c r="G181" s="22" t="str">
        <f>VLOOKUP($H181,'NO TOCAR'!$A$2:$D$160,3,)</f>
        <v>Cierre perimetral de entrada y/o salida</v>
      </c>
      <c r="H181" s="67" t="s">
        <v>243</v>
      </c>
      <c r="I181" s="22" t="str">
        <f>VLOOKUP($H181,'NO TOCAR'!$A$2:$D$160,2,FALSE)</f>
        <v>Movilidad</v>
      </c>
      <c r="J181" s="22" t="str">
        <f>VLOOKUP($H181,'NO TOCAR'!$A$2:$D$160,4,FALSE)</f>
        <v>MV</v>
      </c>
      <c r="K181" s="13"/>
      <c r="L181" s="13"/>
      <c r="M181" s="14">
        <v>26.8</v>
      </c>
      <c r="N181" s="14"/>
      <c r="O181"/>
      <c r="P181"/>
      <c r="Q181"/>
    </row>
    <row r="182" spans="1:17" s="13" customFormat="1" hidden="1" x14ac:dyDescent="0.35">
      <c r="A182" s="13" t="s">
        <v>345</v>
      </c>
      <c r="B182" s="13" t="s">
        <v>346</v>
      </c>
      <c r="C182" s="59"/>
      <c r="D182" s="7">
        <v>44130</v>
      </c>
      <c r="E182" s="7">
        <v>44131</v>
      </c>
      <c r="F182" s="71">
        <v>43842</v>
      </c>
      <c r="G182" s="22" t="str">
        <f>VLOOKUP($H182,'NO TOCAR'!$A$2:$D$160,3,)</f>
        <v>Cierre perimetral de entrada y/o salida</v>
      </c>
      <c r="H182" s="15" t="s">
        <v>243</v>
      </c>
      <c r="I182" s="22" t="str">
        <f>VLOOKUP($H182,'NO TOCAR'!$A$2:$D$160,2,FALSE)</f>
        <v>Movilidad</v>
      </c>
      <c r="J182" s="22" t="str">
        <f>VLOOKUP($H182,'NO TOCAR'!$A$2:$D$160,4,FALSE)</f>
        <v>MV</v>
      </c>
      <c r="M182" s="14"/>
      <c r="N182" s="14"/>
      <c r="O182"/>
      <c r="P182"/>
      <c r="Q182"/>
    </row>
    <row r="183" spans="1:17" s="13" customFormat="1" hidden="1" x14ac:dyDescent="0.35">
      <c r="A183" s="13" t="s">
        <v>362</v>
      </c>
      <c r="B183" s="13" t="s">
        <v>346</v>
      </c>
      <c r="C183" s="13" t="s">
        <v>358</v>
      </c>
      <c r="D183" s="7">
        <v>44139</v>
      </c>
      <c r="E183" s="7">
        <v>44141</v>
      </c>
      <c r="F183" s="71">
        <v>44208</v>
      </c>
      <c r="G183" s="22" t="str">
        <f>VLOOKUP($H183,'NO TOCAR'!$A$2:$D$160,3,)</f>
        <v>Cierre perimetral de entrada y/o salida</v>
      </c>
      <c r="H183" s="15" t="s">
        <v>243</v>
      </c>
      <c r="I183" s="22" t="str">
        <f>VLOOKUP($H183,'NO TOCAR'!$A$2:$D$160,2,FALSE)</f>
        <v>Movilidad</v>
      </c>
      <c r="J183" s="22" t="str">
        <f>VLOOKUP($H183,'NO TOCAR'!$A$2:$D$160,4,FALSE)</f>
        <v>MV</v>
      </c>
      <c r="M183" s="14"/>
      <c r="N183" s="14"/>
      <c r="O183"/>
      <c r="P183"/>
      <c r="Q183"/>
    </row>
    <row r="184" spans="1:17" s="13" customFormat="1" hidden="1" x14ac:dyDescent="0.35">
      <c r="A184" s="13" t="s">
        <v>362</v>
      </c>
      <c r="B184" s="13" t="s">
        <v>346</v>
      </c>
      <c r="C184" s="13" t="s">
        <v>356</v>
      </c>
      <c r="D184" s="7">
        <v>44139</v>
      </c>
      <c r="E184" s="7">
        <v>44141</v>
      </c>
      <c r="F184" s="71">
        <v>44208</v>
      </c>
      <c r="G184" s="22" t="str">
        <f>VLOOKUP($H184,'NO TOCAR'!$A$2:$D$160,3,)</f>
        <v>Cierre perimetral de entrada y/o salida</v>
      </c>
      <c r="H184" s="15" t="s">
        <v>243</v>
      </c>
      <c r="I184" s="22" t="str">
        <f>VLOOKUP($H184,'NO TOCAR'!$A$2:$D$160,2,FALSE)</f>
        <v>Movilidad</v>
      </c>
      <c r="J184" s="22" t="str">
        <f>VLOOKUP($H184,'NO TOCAR'!$A$2:$D$160,4,FALSE)</f>
        <v>MV</v>
      </c>
      <c r="M184" s="14"/>
      <c r="N184" s="14"/>
      <c r="O184" s="73"/>
      <c r="P184"/>
      <c r="Q184"/>
    </row>
    <row r="185" spans="1:17" s="13" customFormat="1" hidden="1" x14ac:dyDescent="0.35">
      <c r="A185" s="13" t="s">
        <v>362</v>
      </c>
      <c r="B185" s="13" t="s">
        <v>346</v>
      </c>
      <c r="C185" s="13" t="s">
        <v>361</v>
      </c>
      <c r="D185" s="7">
        <v>44139</v>
      </c>
      <c r="E185" s="7">
        <v>44141</v>
      </c>
      <c r="F185" s="71">
        <v>44208</v>
      </c>
      <c r="G185" s="22" t="str">
        <f>VLOOKUP($H185,'NO TOCAR'!$A$2:$D$160,3,)</f>
        <v>Cierre perimetral de entrada y/o salida</v>
      </c>
      <c r="H185" s="15" t="s">
        <v>243</v>
      </c>
      <c r="I185" s="22" t="str">
        <f>VLOOKUP($H185,'NO TOCAR'!$A$2:$D$160,2,FALSE)</f>
        <v>Movilidad</v>
      </c>
      <c r="J185" s="22" t="str">
        <f>VLOOKUP($H185,'NO TOCAR'!$A$2:$D$160,4,FALSE)</f>
        <v>MV</v>
      </c>
      <c r="M185" s="14"/>
      <c r="N185" s="14"/>
      <c r="O185"/>
      <c r="P185"/>
      <c r="Q185"/>
    </row>
    <row r="186" spans="1:17" s="13" customFormat="1" hidden="1" x14ac:dyDescent="0.35">
      <c r="A186" s="13" t="s">
        <v>345</v>
      </c>
      <c r="B186" s="13" t="s">
        <v>346</v>
      </c>
      <c r="C186"/>
      <c r="D186" s="17">
        <v>44200</v>
      </c>
      <c r="E186" s="17">
        <v>44200</v>
      </c>
      <c r="F186" s="17">
        <v>44227</v>
      </c>
      <c r="G186" s="22" t="str">
        <f>VLOOKUP($H186,'NO TOCAR'!$A$2:$D$160,3,)</f>
        <v>Cierre perimetral de entrada y/o salida</v>
      </c>
      <c r="H186" s="15" t="s">
        <v>243</v>
      </c>
      <c r="I186" s="22" t="str">
        <f>VLOOKUP($H186,'NO TOCAR'!$A$2:$D$160,2,FALSE)</f>
        <v>Movilidad</v>
      </c>
      <c r="J186" s="22" t="str">
        <f>VLOOKUP($H186,'NO TOCAR'!$A$2:$D$160,4,FALSE)</f>
        <v>MV</v>
      </c>
      <c r="K186"/>
      <c r="L186"/>
      <c r="M186"/>
      <c r="N186"/>
      <c r="O186"/>
      <c r="P186"/>
      <c r="Q186"/>
    </row>
    <row r="187" spans="1:17" s="13" customFormat="1" hidden="1" x14ac:dyDescent="0.35">
      <c r="A187" s="13" t="s">
        <v>362</v>
      </c>
      <c r="B187" s="13" t="s">
        <v>346</v>
      </c>
      <c r="C187" s="13" t="s">
        <v>358</v>
      </c>
      <c r="D187" s="17">
        <v>44200</v>
      </c>
      <c r="E187" s="17">
        <v>44200</v>
      </c>
      <c r="F187" s="17">
        <v>44227</v>
      </c>
      <c r="G187" s="22" t="str">
        <f>VLOOKUP($H187,'NO TOCAR'!$A$2:$D$160,3,)</f>
        <v>Cierre perimetral de entrada y/o salida</v>
      </c>
      <c r="H187" s="15" t="s">
        <v>243</v>
      </c>
      <c r="I187" s="22" t="str">
        <f>VLOOKUP($H187,'NO TOCAR'!$A$2:$D$160,2,FALSE)</f>
        <v>Movilidad</v>
      </c>
      <c r="J187" s="22" t="str">
        <f>VLOOKUP($H187,'NO TOCAR'!$A$2:$D$160,4,FALSE)</f>
        <v>MV</v>
      </c>
      <c r="K187"/>
      <c r="L187"/>
      <c r="M187"/>
      <c r="N187"/>
      <c r="O187"/>
      <c r="P187"/>
      <c r="Q187"/>
    </row>
    <row r="188" spans="1:17" s="13" customFormat="1" hidden="1" x14ac:dyDescent="0.35">
      <c r="A188" s="13" t="s">
        <v>362</v>
      </c>
      <c r="B188" s="13" t="s">
        <v>346</v>
      </c>
      <c r="C188" s="13" t="s">
        <v>356</v>
      </c>
      <c r="D188" s="17">
        <v>44200</v>
      </c>
      <c r="E188" s="17">
        <v>44200</v>
      </c>
      <c r="F188" s="17">
        <v>44227</v>
      </c>
      <c r="G188" s="22" t="str">
        <f>VLOOKUP($H188,'NO TOCAR'!$A$2:$D$160,3,)</f>
        <v>Cierre perimetral de entrada y/o salida</v>
      </c>
      <c r="H188" s="15" t="s">
        <v>243</v>
      </c>
      <c r="I188" s="22" t="str">
        <f>VLOOKUP($H188,'NO TOCAR'!$A$2:$D$160,2,FALSE)</f>
        <v>Movilidad</v>
      </c>
      <c r="J188" s="22" t="str">
        <f>VLOOKUP($H188,'NO TOCAR'!$A$2:$D$160,4,FALSE)</f>
        <v>MV</v>
      </c>
      <c r="K188"/>
      <c r="L188"/>
      <c r="M188"/>
      <c r="N188"/>
      <c r="O188" s="14"/>
      <c r="P188" s="14"/>
      <c r="Q188" s="14"/>
    </row>
    <row r="189" spans="1:17" s="24" customFormat="1" hidden="1" x14ac:dyDescent="0.35">
      <c r="A189" s="13" t="s">
        <v>362</v>
      </c>
      <c r="B189" s="13" t="s">
        <v>346</v>
      </c>
      <c r="C189" s="13" t="s">
        <v>361</v>
      </c>
      <c r="D189" s="17">
        <v>44200</v>
      </c>
      <c r="E189" s="17">
        <v>44200</v>
      </c>
      <c r="F189" s="17">
        <v>44227</v>
      </c>
      <c r="G189" s="22" t="str">
        <f>VLOOKUP($H189,'NO TOCAR'!$A$2:$D$160,3,)</f>
        <v>Cierre perimetral de entrada y/o salida</v>
      </c>
      <c r="H189" s="15" t="s">
        <v>243</v>
      </c>
      <c r="I189" s="22" t="str">
        <f>VLOOKUP($H189,'NO TOCAR'!$A$2:$D$160,2,FALSE)</f>
        <v>Movilidad</v>
      </c>
      <c r="J189" s="22" t="str">
        <f>VLOOKUP($H189,'NO TOCAR'!$A$2:$D$160,4,FALSE)</f>
        <v>MV</v>
      </c>
      <c r="K189"/>
      <c r="L189"/>
      <c r="M189"/>
      <c r="N189"/>
      <c r="O189" s="34"/>
      <c r="P189" s="34"/>
      <c r="Q189" s="34"/>
    </row>
    <row r="190" spans="1:17" s="1" customFormat="1" hidden="1" x14ac:dyDescent="0.35">
      <c r="A190" s="13" t="s">
        <v>345</v>
      </c>
      <c r="B190" s="13" t="s">
        <v>346</v>
      </c>
      <c r="C190"/>
      <c r="D190" s="74">
        <v>44236</v>
      </c>
      <c r="E190" s="17">
        <v>44224</v>
      </c>
      <c r="F190" s="74">
        <v>44259</v>
      </c>
      <c r="G190" s="22" t="str">
        <f>VLOOKUP($H190,'NO TOCAR'!$A$2:$D$160,3,)</f>
        <v>Cierre perimetral de entrada y/o salida</v>
      </c>
      <c r="H190" s="15" t="s">
        <v>243</v>
      </c>
      <c r="I190" s="22" t="str">
        <f>VLOOKUP($H190,'NO TOCAR'!$A$2:$D$160,2,FALSE)</f>
        <v>Movilidad</v>
      </c>
      <c r="J190" s="22" t="str">
        <f>VLOOKUP($H190,'NO TOCAR'!$A$2:$D$160,4,FALSE)</f>
        <v>MV</v>
      </c>
      <c r="K190" s="73" t="s">
        <v>369</v>
      </c>
      <c r="L190" s="73"/>
      <c r="M190" s="73"/>
      <c r="N190" s="73"/>
      <c r="O190" s="14"/>
      <c r="P190" s="72" t="s">
        <v>364</v>
      </c>
      <c r="Q190" s="14"/>
    </row>
    <row r="191" spans="1:17" s="1" customFormat="1" hidden="1" x14ac:dyDescent="0.35">
      <c r="A191" s="13" t="s">
        <v>362</v>
      </c>
      <c r="B191" s="13" t="s">
        <v>346</v>
      </c>
      <c r="C191" s="13" t="s">
        <v>358</v>
      </c>
      <c r="D191" s="7">
        <v>44211</v>
      </c>
      <c r="E191" s="7">
        <v>44212</v>
      </c>
      <c r="F191" s="30">
        <v>44259</v>
      </c>
      <c r="G191" s="22" t="str">
        <f>VLOOKUP($H191,'NO TOCAR'!$A$2:$D$160,3,)</f>
        <v>Cierre perimetral de entrada y/o salida</v>
      </c>
      <c r="H191" s="15" t="s">
        <v>243</v>
      </c>
      <c r="I191" s="22" t="str">
        <f>VLOOKUP($H191,'NO TOCAR'!$A$2:$D$160,2,FALSE)</f>
        <v>Movilidad</v>
      </c>
      <c r="J191" s="22" t="str">
        <f>VLOOKUP($H191,'NO TOCAR'!$A$2:$D$160,4,FALSE)</f>
        <v>MV</v>
      </c>
      <c r="K191" s="24"/>
      <c r="L191" s="24"/>
      <c r="M191"/>
      <c r="N191"/>
      <c r="O191" s="14"/>
      <c r="P191" s="14"/>
      <c r="Q191" s="14"/>
    </row>
    <row r="192" spans="1:17" s="13" customFormat="1" hidden="1" x14ac:dyDescent="0.35">
      <c r="A192" s="13" t="s">
        <v>362</v>
      </c>
      <c r="B192" s="13" t="s">
        <v>346</v>
      </c>
      <c r="C192" s="13" t="s">
        <v>356</v>
      </c>
      <c r="D192" s="7">
        <v>44211</v>
      </c>
      <c r="E192" s="7">
        <v>44212</v>
      </c>
      <c r="F192" s="30">
        <v>44259</v>
      </c>
      <c r="G192" s="22" t="str">
        <f>VLOOKUP($H192,'NO TOCAR'!$A$2:$D$160,3,)</f>
        <v>Cierre perimetral de entrada y/o salida</v>
      </c>
      <c r="H192" s="15" t="s">
        <v>243</v>
      </c>
      <c r="I192" s="22" t="str">
        <f>VLOOKUP($H192,'NO TOCAR'!$A$2:$D$160,2,FALSE)</f>
        <v>Movilidad</v>
      </c>
      <c r="J192" s="22" t="str">
        <f>VLOOKUP($H192,'NO TOCAR'!$A$2:$D$160,4,FALSE)</f>
        <v>MV</v>
      </c>
      <c r="K192"/>
      <c r="L192"/>
      <c r="M192"/>
      <c r="N192"/>
      <c r="O192" s="14"/>
      <c r="P192" s="14"/>
      <c r="Q192" s="14"/>
    </row>
    <row r="193" spans="1:17" s="13" customFormat="1" hidden="1" x14ac:dyDescent="0.35">
      <c r="A193" s="13" t="s">
        <v>362</v>
      </c>
      <c r="B193" s="13" t="s">
        <v>346</v>
      </c>
      <c r="C193" s="13" t="s">
        <v>361</v>
      </c>
      <c r="D193" s="7">
        <v>44211</v>
      </c>
      <c r="E193" s="7">
        <v>44212</v>
      </c>
      <c r="F193" s="30">
        <v>44259</v>
      </c>
      <c r="G193" s="22" t="str">
        <f>VLOOKUP($H193,'NO TOCAR'!$A$2:$D$160,3,)</f>
        <v>Cierre perimetral de entrada y/o salida</v>
      </c>
      <c r="H193" s="15" t="s">
        <v>243</v>
      </c>
      <c r="I193" s="22" t="str">
        <f>VLOOKUP($H193,'NO TOCAR'!$A$2:$D$160,2,FALSE)</f>
        <v>Movilidad</v>
      </c>
      <c r="J193" s="22" t="str">
        <f>VLOOKUP($H193,'NO TOCAR'!$A$2:$D$160,4,FALSE)</f>
        <v>MV</v>
      </c>
      <c r="K193"/>
      <c r="L193"/>
      <c r="M193"/>
      <c r="N193"/>
      <c r="O193" s="14"/>
      <c r="P193" s="14"/>
      <c r="Q193" s="14"/>
    </row>
    <row r="194" spans="1:17" s="13" customFormat="1" hidden="1" x14ac:dyDescent="0.35">
      <c r="A194" s="13" t="s">
        <v>345</v>
      </c>
      <c r="B194" s="13" t="s">
        <v>346</v>
      </c>
      <c r="C194"/>
      <c r="D194" s="7">
        <v>44211</v>
      </c>
      <c r="E194" s="7">
        <v>44212</v>
      </c>
      <c r="F194" s="30">
        <v>44259</v>
      </c>
      <c r="G194" s="22" t="str">
        <f>VLOOKUP($H194,'NO TOCAR'!$A$2:$D$160,3,)</f>
        <v>Cierre perimetral de entrada y/o salida</v>
      </c>
      <c r="H194" s="15" t="s">
        <v>243</v>
      </c>
      <c r="I194" s="22" t="str">
        <f>VLOOKUP($H194,'NO TOCAR'!$A$2:$D$160,2,FALSE)</f>
        <v>Movilidad</v>
      </c>
      <c r="J194" s="22" t="str">
        <f>VLOOKUP($H194,'NO TOCAR'!$A$2:$D$160,4,FALSE)</f>
        <v>MV</v>
      </c>
      <c r="K194" s="73" t="s">
        <v>369</v>
      </c>
      <c r="L194" s="73"/>
      <c r="M194" s="73"/>
      <c r="N194" s="73"/>
      <c r="O194" s="14"/>
      <c r="P194" s="72" t="s">
        <v>364</v>
      </c>
      <c r="Q194" s="14"/>
    </row>
    <row r="195" spans="1:17" s="13" customFormat="1" hidden="1" x14ac:dyDescent="0.35">
      <c r="A195" s="13" t="s">
        <v>355</v>
      </c>
      <c r="B195" s="13" t="s">
        <v>346</v>
      </c>
      <c r="C195" s="13" t="s">
        <v>358</v>
      </c>
      <c r="D195" s="7">
        <v>44211</v>
      </c>
      <c r="E195" s="7">
        <v>44212</v>
      </c>
      <c r="F195" s="30">
        <v>44231</v>
      </c>
      <c r="G195" s="22" t="str">
        <f>VLOOKUP($H195,'NO TOCAR'!$A$2:$D$160,3,)</f>
        <v>Cierre perimetral de entrada y/o salida</v>
      </c>
      <c r="H195" s="15" t="s">
        <v>243</v>
      </c>
      <c r="I195" s="22" t="str">
        <f>VLOOKUP($H195,'NO TOCAR'!$A$2:$D$160,2,FALSE)</f>
        <v>Movilidad</v>
      </c>
      <c r="J195" s="22" t="str">
        <f>VLOOKUP($H195,'NO TOCAR'!$A$2:$D$160,4,FALSE)</f>
        <v>MV</v>
      </c>
      <c r="K195"/>
      <c r="L195"/>
      <c r="M195">
        <v>78.099999999999994</v>
      </c>
      <c r="N195"/>
      <c r="O195"/>
      <c r="P195"/>
      <c r="Q195"/>
    </row>
    <row r="196" spans="1:17" s="1" customFormat="1" hidden="1" x14ac:dyDescent="0.35">
      <c r="A196" s="13" t="s">
        <v>355</v>
      </c>
      <c r="B196" s="13" t="s">
        <v>346</v>
      </c>
      <c r="C196" s="13" t="s">
        <v>356</v>
      </c>
      <c r="D196" s="7">
        <v>44211</v>
      </c>
      <c r="E196" s="7">
        <v>44212</v>
      </c>
      <c r="F196" s="30">
        <v>44223</v>
      </c>
      <c r="G196" s="22" t="str">
        <f>VLOOKUP($H196,'NO TOCAR'!$A$2:$D$160,3,)</f>
        <v>Cierre perimetral de entrada y/o salida</v>
      </c>
      <c r="H196" s="15" t="s">
        <v>243</v>
      </c>
      <c r="I196" s="22" t="str">
        <f>VLOOKUP($H196,'NO TOCAR'!$A$2:$D$160,2,FALSE)</f>
        <v>Movilidad</v>
      </c>
      <c r="J196" s="22" t="str">
        <f>VLOOKUP($H196,'NO TOCAR'!$A$2:$D$160,4,FALSE)</f>
        <v>MV</v>
      </c>
      <c r="K196"/>
      <c r="L196"/>
      <c r="M196">
        <v>24.1</v>
      </c>
      <c r="N196"/>
      <c r="O196"/>
      <c r="P196"/>
      <c r="Q196"/>
    </row>
    <row r="197" spans="1:17" s="1" customFormat="1" hidden="1" x14ac:dyDescent="0.35">
      <c r="A197" s="13" t="s">
        <v>355</v>
      </c>
      <c r="B197" s="13" t="s">
        <v>346</v>
      </c>
      <c r="C197" s="13" t="s">
        <v>361</v>
      </c>
      <c r="D197" s="7">
        <v>44211</v>
      </c>
      <c r="E197" s="7">
        <v>44212</v>
      </c>
      <c r="F197" s="30">
        <v>44256</v>
      </c>
      <c r="G197" s="22" t="str">
        <f>VLOOKUP($H197,'NO TOCAR'!$A$2:$D$160,3,)</f>
        <v>Cierre perimetral de entrada y/o salida</v>
      </c>
      <c r="H197" s="15" t="s">
        <v>243</v>
      </c>
      <c r="I197" s="22" t="str">
        <f>VLOOKUP($H197,'NO TOCAR'!$A$2:$D$160,2,FALSE)</f>
        <v>Movilidad</v>
      </c>
      <c r="J197" s="22" t="str">
        <f>VLOOKUP($H197,'NO TOCAR'!$A$2:$D$160,4,FALSE)</f>
        <v>MV</v>
      </c>
      <c r="K197"/>
      <c r="L197"/>
      <c r="M197">
        <v>38.6</v>
      </c>
      <c r="N197"/>
      <c r="O197"/>
      <c r="P197"/>
      <c r="Q197"/>
    </row>
    <row r="198" spans="1:17" s="13" customFormat="1" hidden="1" x14ac:dyDescent="0.35">
      <c r="A198" s="13" t="s">
        <v>355</v>
      </c>
      <c r="B198" s="13" t="s">
        <v>346</v>
      </c>
      <c r="C198" s="13" t="s">
        <v>358</v>
      </c>
      <c r="D198" s="7">
        <v>44231</v>
      </c>
      <c r="E198" s="7">
        <v>44232</v>
      </c>
      <c r="F198" s="30">
        <v>44236</v>
      </c>
      <c r="G198" s="22" t="str">
        <f>VLOOKUP($H198,'NO TOCAR'!$A$2:$D$160,3,)</f>
        <v>Cierre perimetral de entrada y/o salida</v>
      </c>
      <c r="H198" s="15" t="s">
        <v>243</v>
      </c>
      <c r="I198" s="22" t="str">
        <f>VLOOKUP($H198,'NO TOCAR'!$A$2:$D$160,2,FALSE)</f>
        <v>Movilidad</v>
      </c>
      <c r="J198" s="22" t="str">
        <f>VLOOKUP($H198,'NO TOCAR'!$A$2:$D$160,4,FALSE)</f>
        <v>MV</v>
      </c>
      <c r="K198"/>
      <c r="L198"/>
      <c r="M198">
        <v>77.099999999999994</v>
      </c>
      <c r="N198"/>
      <c r="O198"/>
      <c r="P198"/>
      <c r="Q198"/>
    </row>
    <row r="199" spans="1:17" s="13" customFormat="1" hidden="1" x14ac:dyDescent="0.35">
      <c r="A199" s="13" t="s">
        <v>355</v>
      </c>
      <c r="B199" s="13" t="s">
        <v>346</v>
      </c>
      <c r="C199" s="13" t="s">
        <v>358</v>
      </c>
      <c r="D199" s="7">
        <v>44236</v>
      </c>
      <c r="E199" s="7">
        <v>44237</v>
      </c>
      <c r="F199" s="30">
        <v>44245</v>
      </c>
      <c r="G199" s="22" t="str">
        <f>VLOOKUP($H199,'NO TOCAR'!$A$2:$D$160,3,)</f>
        <v>Cierre perimetral de entrada y/o salida</v>
      </c>
      <c r="H199" s="15" t="s">
        <v>243</v>
      </c>
      <c r="I199" s="22" t="str">
        <f>VLOOKUP($H199,'NO TOCAR'!$A$2:$D$160,2,FALSE)</f>
        <v>Movilidad</v>
      </c>
      <c r="J199" s="22" t="str">
        <f>VLOOKUP($H199,'NO TOCAR'!$A$2:$D$160,4,FALSE)</f>
        <v>MV</v>
      </c>
      <c r="K199"/>
      <c r="L199"/>
      <c r="M199">
        <v>72.099999999999994</v>
      </c>
      <c r="N199"/>
      <c r="O199"/>
      <c r="P199"/>
      <c r="Q199"/>
    </row>
    <row r="200" spans="1:17" s="13" customFormat="1" ht="29" hidden="1" x14ac:dyDescent="0.35">
      <c r="A200" s="13" t="s">
        <v>345</v>
      </c>
      <c r="B200" s="13" t="s">
        <v>346</v>
      </c>
      <c r="D200" s="7">
        <v>44140</v>
      </c>
      <c r="E200" s="30">
        <v>44141</v>
      </c>
      <c r="F200" s="30">
        <v>44544</v>
      </c>
      <c r="G200" s="22" t="str">
        <f>VLOOKUP($H200,'NO TOCAR'!$A$2:$D$160,3,)</f>
        <v>Cierre total de alojamientos turísticos</v>
      </c>
      <c r="H200" s="26" t="s">
        <v>107</v>
      </c>
      <c r="I200" s="22" t="str">
        <f>VLOOKUP($H200,'NO TOCAR'!$A$2:$D$160,2,FALSE)</f>
        <v>Alojamientos (hoteles, albergues)</v>
      </c>
      <c r="J200" s="22" t="str">
        <f>VLOOKUP($H200,'NO TOCAR'!$A$2:$D$160,4,FALSE)</f>
        <v>AL</v>
      </c>
      <c r="K200" s="24"/>
      <c r="L200" s="24"/>
      <c r="M200" s="12"/>
      <c r="N200" s="14"/>
      <c r="O200" s="14"/>
      <c r="P200" s="14"/>
      <c r="Q200" s="14"/>
    </row>
    <row r="201" spans="1:17" s="13" customFormat="1" hidden="1" x14ac:dyDescent="0.35">
      <c r="A201" s="46" t="s">
        <v>355</v>
      </c>
      <c r="B201" s="46" t="s">
        <v>346</v>
      </c>
      <c r="C201" s="46" t="s">
        <v>356</v>
      </c>
      <c r="D201" s="47">
        <v>44036</v>
      </c>
      <c r="E201" s="47">
        <v>44036</v>
      </c>
      <c r="F201" s="7">
        <v>44060</v>
      </c>
      <c r="G201" s="22" t="str">
        <f>VLOOKUP($H201,'NO TOCAR'!$A$2:$D$160,3,)</f>
        <v>Cierre total del ocio nocturno</v>
      </c>
      <c r="H201" s="55" t="s">
        <v>251</v>
      </c>
      <c r="I201" s="22" t="str">
        <f>VLOOKUP($H201,'NO TOCAR'!$A$2:$D$160,2,FALSE)</f>
        <v>Ocio nocturno</v>
      </c>
      <c r="J201" s="22" t="str">
        <f>VLOOKUP($H201,'NO TOCAR'!$A$2:$D$160,4,FALSE)</f>
        <v>ON</v>
      </c>
      <c r="K201" s="46"/>
      <c r="L201" s="46"/>
      <c r="M201" s="49">
        <v>17.7</v>
      </c>
      <c r="N201" s="49"/>
      <c r="O201" s="49"/>
      <c r="P201" s="49"/>
      <c r="Q201" s="49"/>
    </row>
    <row r="202" spans="1:17" s="13" customFormat="1" hidden="1" x14ac:dyDescent="0.35">
      <c r="A202" s="13" t="s">
        <v>345</v>
      </c>
      <c r="B202" s="13" t="s">
        <v>346</v>
      </c>
      <c r="D202" s="7">
        <v>44060</v>
      </c>
      <c r="E202" s="7">
        <v>44060</v>
      </c>
      <c r="F202" s="28"/>
      <c r="G202" s="22" t="str">
        <f>VLOOKUP($H202,'NO TOCAR'!$A$2:$D$160,3,)</f>
        <v>Cierre total del ocio nocturno</v>
      </c>
      <c r="H202" s="15" t="s">
        <v>251</v>
      </c>
      <c r="I202" s="22" t="str">
        <f>VLOOKUP($H202,'NO TOCAR'!$A$2:$D$160,2,FALSE)</f>
        <v>Ocio nocturno</v>
      </c>
      <c r="J202" s="22" t="str">
        <f>VLOOKUP($H202,'NO TOCAR'!$A$2:$D$160,4,FALSE)</f>
        <v>ON</v>
      </c>
      <c r="M202" s="12"/>
      <c r="N202" s="14"/>
      <c r="O202" s="14"/>
      <c r="P202" s="14"/>
      <c r="Q202" s="14"/>
    </row>
    <row r="203" spans="1:17" s="13" customFormat="1" hidden="1" x14ac:dyDescent="0.35">
      <c r="A203" s="13" t="s">
        <v>345</v>
      </c>
      <c r="B203" s="13" t="s">
        <v>346</v>
      </c>
      <c r="C203" s="46"/>
      <c r="D203" s="25">
        <v>44140</v>
      </c>
      <c r="E203" s="30">
        <v>44141</v>
      </c>
      <c r="F203" s="30">
        <v>44180</v>
      </c>
      <c r="G203" s="22" t="str">
        <f>VLOOKUP($H203,'NO TOCAR'!$A$2:$D$160,3,)</f>
        <v>Cierre total delocales de apuestas, bingos etc.</v>
      </c>
      <c r="H203" s="26" t="s">
        <v>225</v>
      </c>
      <c r="I203" s="22" t="str">
        <f>VLOOKUP($H203,'NO TOCAR'!$A$2:$D$160,2,FALSE)</f>
        <v>Locales de apuestas</v>
      </c>
      <c r="J203" s="22" t="str">
        <f>VLOOKUP($H203,'NO TOCAR'!$A$2:$D$160,4,FALSE)</f>
        <v>LA</v>
      </c>
      <c r="K203" s="24"/>
      <c r="L203" s="29"/>
      <c r="M203" s="49"/>
      <c r="N203" s="49"/>
      <c r="O203" s="49"/>
      <c r="P203" s="49"/>
      <c r="Q203" s="49"/>
    </row>
    <row r="204" spans="1:17" s="13" customFormat="1" hidden="1" x14ac:dyDescent="0.35">
      <c r="A204" s="13" t="s">
        <v>355</v>
      </c>
      <c r="B204" s="13" t="s">
        <v>346</v>
      </c>
      <c r="C204" s="13" t="s">
        <v>361</v>
      </c>
      <c r="D204" s="17">
        <v>44223</v>
      </c>
      <c r="E204" s="17">
        <v>44224</v>
      </c>
      <c r="F204" s="30">
        <v>44252</v>
      </c>
      <c r="G204" s="22" t="str">
        <f>VLOOKUP($H204,'NO TOCAR'!$A$2:$D$160,3,)</f>
        <v>Cierre total delocales de apuestas, bingos etc.</v>
      </c>
      <c r="H204" s="26" t="s">
        <v>225</v>
      </c>
      <c r="I204" s="22" t="str">
        <f>VLOOKUP($H204,'NO TOCAR'!$A$2:$D$160,2,FALSE)</f>
        <v>Locales de apuestas</v>
      </c>
      <c r="J204" s="22" t="str">
        <f>VLOOKUP($H204,'NO TOCAR'!$A$2:$D$160,4,FALSE)</f>
        <v>LA</v>
      </c>
      <c r="K204" s="24"/>
      <c r="L204" s="24"/>
      <c r="M204" s="49">
        <v>26.7</v>
      </c>
      <c r="N204" s="49"/>
      <c r="O204" s="49"/>
      <c r="P204" s="49"/>
      <c r="Q204" s="49"/>
    </row>
    <row r="205" spans="1:17" s="13" customFormat="1" ht="29" hidden="1" x14ac:dyDescent="0.35">
      <c r="A205" s="13" t="s">
        <v>345</v>
      </c>
      <c r="B205" s="13" t="s">
        <v>346</v>
      </c>
      <c r="D205" s="7">
        <v>44140</v>
      </c>
      <c r="E205" s="30">
        <v>44141</v>
      </c>
      <c r="F205" s="30">
        <v>44180</v>
      </c>
      <c r="G205" s="22" t="str">
        <f>VLOOKUP($H205,'NO TOCAR'!$A$2:$D$160,3,)</f>
        <v xml:space="preserve">Cierre únicamente de zonas interiores de restaurantes y bares </v>
      </c>
      <c r="H205" s="26" t="s">
        <v>276</v>
      </c>
      <c r="I205" s="22" t="str">
        <f>VLOOKUP($H205,'NO TOCAR'!$A$2:$D$160,2,FALSE)</f>
        <v>Restauración, hostelería y bares</v>
      </c>
      <c r="J205" s="22" t="str">
        <f>VLOOKUP($H205,'NO TOCAR'!$A$2:$D$160,4,FALSE)</f>
        <v>RH</v>
      </c>
      <c r="K205" s="24"/>
      <c r="L205" s="24"/>
      <c r="M205" s="12"/>
      <c r="N205" s="14"/>
      <c r="O205" s="14"/>
      <c r="P205" s="14"/>
      <c r="Q205" s="14"/>
    </row>
    <row r="206" spans="1:17" s="13" customFormat="1" ht="29" hidden="1" x14ac:dyDescent="0.35">
      <c r="A206" s="13" t="s">
        <v>355</v>
      </c>
      <c r="B206" s="13" t="s">
        <v>346</v>
      </c>
      <c r="C206" s="13" t="s">
        <v>361</v>
      </c>
      <c r="D206" s="7">
        <v>44223</v>
      </c>
      <c r="E206" s="30">
        <v>44224</v>
      </c>
      <c r="F206" s="30">
        <v>44252</v>
      </c>
      <c r="G206" s="22" t="str">
        <f>VLOOKUP($H206,'NO TOCAR'!$A$2:$D$160,3,)</f>
        <v xml:space="preserve">Cierre únicamente de zonas interiores de restaurantes y bares </v>
      </c>
      <c r="H206" s="26" t="s">
        <v>276</v>
      </c>
      <c r="I206" s="22" t="str">
        <f>VLOOKUP($H206,'NO TOCAR'!$A$2:$D$160,2,FALSE)</f>
        <v>Restauración, hostelería y bares</v>
      </c>
      <c r="J206" s="22" t="str">
        <f>VLOOKUP($H206,'NO TOCAR'!$A$2:$D$160,4,FALSE)</f>
        <v>RH</v>
      </c>
      <c r="K206" s="24"/>
      <c r="L206" s="24"/>
      <c r="M206" s="12">
        <v>26.7</v>
      </c>
      <c r="N206" s="14"/>
      <c r="O206" s="14"/>
      <c r="P206" s="14"/>
      <c r="Q206" s="14"/>
    </row>
    <row r="207" spans="1:17" s="13" customFormat="1" hidden="1" x14ac:dyDescent="0.35">
      <c r="A207" s="13" t="s">
        <v>345</v>
      </c>
      <c r="B207" s="13" t="s">
        <v>346</v>
      </c>
      <c r="C207" s="24"/>
      <c r="D207" s="25">
        <v>44060</v>
      </c>
      <c r="E207" s="25">
        <v>44060</v>
      </c>
      <c r="F207" s="28"/>
      <c r="G207" s="22" t="str">
        <f>VLOOKUP($H207,'NO TOCAR'!$A$2:$D$160,3,)</f>
        <v>Cribado de nuevos ingresos de residentes</v>
      </c>
      <c r="H207" s="26" t="s">
        <v>206</v>
      </c>
      <c r="I207" s="22" t="str">
        <f>VLOOKUP($H207,'NO TOCAR'!$A$2:$D$160,2,FALSE)</f>
        <v>Centros sociosanitarios</v>
      </c>
      <c r="J207" s="22" t="str">
        <f>VLOOKUP($H207,'NO TOCAR'!$A$2:$D$160,4,FALSE)</f>
        <v>CS</v>
      </c>
      <c r="K207" s="24"/>
      <c r="L207" s="24"/>
      <c r="M207" s="27"/>
      <c r="N207" s="28"/>
      <c r="O207" s="28"/>
      <c r="P207" s="28"/>
      <c r="Q207" s="28"/>
    </row>
    <row r="208" spans="1:17" s="13" customFormat="1" hidden="1" x14ac:dyDescent="0.35">
      <c r="A208" s="13" t="s">
        <v>345</v>
      </c>
      <c r="B208" s="13" t="s">
        <v>346</v>
      </c>
      <c r="C208" s="24"/>
      <c r="D208" s="25">
        <v>44060</v>
      </c>
      <c r="E208" s="25">
        <v>44060</v>
      </c>
      <c r="F208" s="28"/>
      <c r="G208" s="22" t="str">
        <f>VLOOKUP($H208,'NO TOCAR'!$A$2:$D$160,3,)</f>
        <v>Cribado de trabajadores nuevos o a la vuelta de permisos o vacaciones</v>
      </c>
      <c r="H208" s="26" t="s">
        <v>208</v>
      </c>
      <c r="I208" s="22" t="str">
        <f>VLOOKUP($H208,'NO TOCAR'!$A$2:$D$160,2,FALSE)</f>
        <v>Centros sociosanitarios</v>
      </c>
      <c r="J208" s="22" t="str">
        <f>VLOOKUP($H208,'NO TOCAR'!$A$2:$D$160,4,FALSE)</f>
        <v>CS</v>
      </c>
      <c r="K208" s="24"/>
      <c r="L208" s="24"/>
      <c r="M208" s="27"/>
      <c r="N208" s="28"/>
      <c r="O208" s="28"/>
      <c r="P208" s="28"/>
      <c r="Q208" s="28"/>
    </row>
    <row r="209" spans="1:17" s="13" customFormat="1" ht="29" hidden="1" x14ac:dyDescent="0.35">
      <c r="A209" s="13" t="s">
        <v>345</v>
      </c>
      <c r="B209" s="13" t="s">
        <v>346</v>
      </c>
      <c r="D209" s="7">
        <v>44274</v>
      </c>
      <c r="E209" s="16">
        <v>44275</v>
      </c>
      <c r="F209" s="16">
        <v>44274</v>
      </c>
      <c r="G209" s="22" t="str">
        <f>VLOOKUP($H209,'NO TOCAR'!$A$2:$D$160,3,)</f>
        <v>Limitación al número de personas en reuniones solo en lugares públicos (tanto interiores como exteriores)</v>
      </c>
      <c r="H209" s="15" t="s">
        <v>295</v>
      </c>
      <c r="I209" s="22" t="s">
        <v>291</v>
      </c>
      <c r="J209" s="22" t="s">
        <v>293</v>
      </c>
      <c r="K209" t="s">
        <v>354</v>
      </c>
      <c r="L209" s="13">
        <v>6</v>
      </c>
      <c r="M209" s="12"/>
      <c r="N209" s="14"/>
      <c r="O209" s="14"/>
      <c r="P209" s="14"/>
      <c r="Q209" s="14"/>
    </row>
    <row r="210" spans="1:17" s="13" customFormat="1" ht="29" hidden="1" x14ac:dyDescent="0.35">
      <c r="A210" s="13" t="s">
        <v>345</v>
      </c>
      <c r="B210" s="13" t="s">
        <v>346</v>
      </c>
      <c r="D210" s="7">
        <v>44274</v>
      </c>
      <c r="E210" s="16">
        <v>44275</v>
      </c>
      <c r="F210" s="16"/>
      <c r="G210" s="22" t="str">
        <f>VLOOKUP($H210,'NO TOCAR'!$A$2:$D$160,3,)</f>
        <v>Limitación al número de personas en reuniones solo en lugares públicos interiores</v>
      </c>
      <c r="H210" s="15" t="s">
        <v>297</v>
      </c>
      <c r="I210" s="22" t="s">
        <v>291</v>
      </c>
      <c r="J210" s="22" t="s">
        <v>293</v>
      </c>
      <c r="K210" t="s">
        <v>354</v>
      </c>
      <c r="L210" s="13">
        <v>4</v>
      </c>
      <c r="M210" s="12"/>
      <c r="N210" s="14"/>
      <c r="O210" s="14"/>
      <c r="P210" s="14"/>
      <c r="Q210" s="14"/>
    </row>
    <row r="211" spans="1:17" s="13" customFormat="1" ht="43.5" hidden="1" x14ac:dyDescent="0.35">
      <c r="A211" s="13" t="s">
        <v>355</v>
      </c>
      <c r="B211" s="13" t="s">
        <v>346</v>
      </c>
      <c r="C211" s="13" t="s">
        <v>356</v>
      </c>
      <c r="D211" s="7">
        <v>44004</v>
      </c>
      <c r="E211" s="7">
        <v>44004</v>
      </c>
      <c r="F211" s="7">
        <v>44026</v>
      </c>
      <c r="G211" s="22" t="str">
        <f>VLOOKUP($H211,'NO TOCAR'!$A$2:$D$160,3,)</f>
        <v>Limitación al número de personas que se pueden reunir en cualquier circunstancia (con excepciones como convivientes, transporte público, contexto laboral o similares)</v>
      </c>
      <c r="H211" s="15" t="s">
        <v>59</v>
      </c>
      <c r="I211" s="22" t="str">
        <f>VLOOKUP($H211,'NO TOCAR'!$A$2:$D$160,2,FALSE)</f>
        <v>Relaciones sociales</v>
      </c>
      <c r="J211" s="22" t="str">
        <f>VLOOKUP($H211,'NO TOCAR'!$A$2:$D$160,4,FALSE)</f>
        <v>RS</v>
      </c>
      <c r="K211" s="13" t="s">
        <v>354</v>
      </c>
      <c r="L211" s="13">
        <v>15</v>
      </c>
      <c r="M211" s="12">
        <v>29.2</v>
      </c>
      <c r="N211" s="14"/>
      <c r="O211" s="14"/>
      <c r="P211" s="14"/>
      <c r="Q211" s="14"/>
    </row>
    <row r="212" spans="1:17" s="13" customFormat="1" ht="43.5" hidden="1" x14ac:dyDescent="0.35">
      <c r="A212" s="33" t="s">
        <v>355</v>
      </c>
      <c r="B212" s="33" t="s">
        <v>346</v>
      </c>
      <c r="C212" s="33" t="s">
        <v>356</v>
      </c>
      <c r="D212" s="7">
        <v>44026</v>
      </c>
      <c r="E212" s="7">
        <v>44026</v>
      </c>
      <c r="F212" s="41">
        <v>44036</v>
      </c>
      <c r="G212" s="22" t="str">
        <f>VLOOKUP($H212,'NO TOCAR'!$A$2:$D$160,3,)</f>
        <v>Limitación al número de personas que se pueden reunir en cualquier circunstancia (con excepciones como convivientes, transporte público, contexto laboral o similares)</v>
      </c>
      <c r="H212" s="35" t="s">
        <v>59</v>
      </c>
      <c r="I212" s="22" t="str">
        <f>VLOOKUP($H212,'NO TOCAR'!$A$2:$D$160,2,FALSE)</f>
        <v>Relaciones sociales</v>
      </c>
      <c r="J212" s="22" t="str">
        <f>VLOOKUP($H212,'NO TOCAR'!$A$2:$D$160,4,FALSE)</f>
        <v>RS</v>
      </c>
      <c r="K212" s="33" t="s">
        <v>354</v>
      </c>
      <c r="L212" s="33">
        <v>15</v>
      </c>
      <c r="M212" s="12">
        <v>53.3</v>
      </c>
      <c r="N212" s="34"/>
      <c r="O212" s="34"/>
      <c r="P212" s="34"/>
      <c r="Q212" s="34"/>
    </row>
    <row r="213" spans="1:17" s="24" customFormat="1" ht="43.5" hidden="1" x14ac:dyDescent="0.35">
      <c r="A213" s="36" t="s">
        <v>355</v>
      </c>
      <c r="B213" s="36" t="s">
        <v>346</v>
      </c>
      <c r="C213" s="36" t="s">
        <v>358</v>
      </c>
      <c r="D213" s="37">
        <v>44026</v>
      </c>
      <c r="E213" s="37">
        <v>44026</v>
      </c>
      <c r="F213" s="47">
        <v>44036</v>
      </c>
      <c r="G213" s="22" t="str">
        <f>VLOOKUP($H213,'NO TOCAR'!$A$2:$D$160,3,)</f>
        <v>Limitación al número de personas que se pueden reunir en cualquier circunstancia (con excepciones como convivientes, transporte público, contexto laboral o similares)</v>
      </c>
      <c r="H213" s="39" t="s">
        <v>59</v>
      </c>
      <c r="I213" s="22" t="str">
        <f>VLOOKUP($H213,'NO TOCAR'!$A$2:$D$160,2,FALSE)</f>
        <v>Relaciones sociales</v>
      </c>
      <c r="J213" s="22" t="str">
        <f>VLOOKUP($H213,'NO TOCAR'!$A$2:$D$160,4,FALSE)</f>
        <v>RS</v>
      </c>
      <c r="K213" s="36" t="s">
        <v>354</v>
      </c>
      <c r="L213" s="36">
        <v>15</v>
      </c>
      <c r="M213" s="38">
        <v>80.400000000000006</v>
      </c>
      <c r="N213" s="38"/>
      <c r="O213" s="38"/>
      <c r="P213" s="38"/>
      <c r="Q213" s="38"/>
    </row>
    <row r="214" spans="1:17" s="24" customFormat="1" ht="43.5" hidden="1" x14ac:dyDescent="0.35">
      <c r="A214" s="42" t="s">
        <v>355</v>
      </c>
      <c r="B214" s="42" t="s">
        <v>346</v>
      </c>
      <c r="C214" s="42" t="s">
        <v>356</v>
      </c>
      <c r="D214" s="41">
        <v>44036</v>
      </c>
      <c r="E214" s="41">
        <v>44036</v>
      </c>
      <c r="F214" s="7">
        <v>44048</v>
      </c>
      <c r="G214" s="22" t="str">
        <f>VLOOKUP($H214,'NO TOCAR'!$A$2:$D$160,3,)</f>
        <v>Limitación al número de personas que se pueden reunir en cualquier circunstancia (con excepciones como convivientes, transporte público, contexto laboral o similares)</v>
      </c>
      <c r="H214" s="43" t="s">
        <v>59</v>
      </c>
      <c r="I214" s="22" t="str">
        <f>VLOOKUP($H214,'NO TOCAR'!$A$2:$D$160,2,FALSE)</f>
        <v>Relaciones sociales</v>
      </c>
      <c r="J214" s="22" t="str">
        <f>VLOOKUP($H214,'NO TOCAR'!$A$2:$D$160,4,FALSE)</f>
        <v>RS</v>
      </c>
      <c r="K214" s="42" t="s">
        <v>354</v>
      </c>
      <c r="L214" s="42">
        <v>15</v>
      </c>
      <c r="M214" s="44">
        <v>49.9</v>
      </c>
      <c r="N214" s="44"/>
      <c r="O214" s="44"/>
      <c r="P214" s="44"/>
      <c r="Q214" s="44"/>
    </row>
    <row r="215" spans="1:17" s="24" customFormat="1" ht="43.5" hidden="1" x14ac:dyDescent="0.35">
      <c r="A215" s="46" t="s">
        <v>355</v>
      </c>
      <c r="B215" s="46" t="s">
        <v>346</v>
      </c>
      <c r="C215" s="46" t="s">
        <v>356</v>
      </c>
      <c r="D215" s="47">
        <v>44036</v>
      </c>
      <c r="E215" s="47">
        <v>44036</v>
      </c>
      <c r="F215" s="7">
        <v>44048</v>
      </c>
      <c r="G215" s="22" t="str">
        <f>VLOOKUP($H215,'NO TOCAR'!$A$2:$D$160,3,)</f>
        <v>Limitación al número de personas que se pueden reunir en cualquier circunstancia (con excepciones como convivientes, transporte público, contexto laboral o similares)</v>
      </c>
      <c r="H215" s="48" t="s">
        <v>59</v>
      </c>
      <c r="I215" s="22" t="str">
        <f>VLOOKUP($H215,'NO TOCAR'!$A$2:$D$160,2,FALSE)</f>
        <v>Relaciones sociales</v>
      </c>
      <c r="J215" s="22" t="str">
        <f>VLOOKUP($H215,'NO TOCAR'!$A$2:$D$160,4,FALSE)</f>
        <v>RS</v>
      </c>
      <c r="K215" s="46" t="s">
        <v>354</v>
      </c>
      <c r="L215" s="53">
        <v>10</v>
      </c>
      <c r="M215" s="49">
        <v>17.7</v>
      </c>
      <c r="N215" s="49"/>
      <c r="O215" s="49"/>
      <c r="P215" s="49"/>
      <c r="Q215" s="49"/>
    </row>
    <row r="216" spans="1:17" s="24" customFormat="1" ht="43.5" hidden="1" x14ac:dyDescent="0.35">
      <c r="A216" s="46" t="s">
        <v>355</v>
      </c>
      <c r="B216" s="46" t="s">
        <v>346</v>
      </c>
      <c r="C216" s="36" t="s">
        <v>358</v>
      </c>
      <c r="D216" s="47">
        <v>44036</v>
      </c>
      <c r="E216" s="47">
        <v>44036</v>
      </c>
      <c r="F216" s="7">
        <v>44048</v>
      </c>
      <c r="G216" s="22" t="str">
        <f>VLOOKUP($H216,'NO TOCAR'!$A$2:$D$160,3,)</f>
        <v>Limitación al número de personas que se pueden reunir en cualquier circunstancia (con excepciones como convivientes, transporte público, contexto laboral o similares)</v>
      </c>
      <c r="H216" s="48" t="s">
        <v>59</v>
      </c>
      <c r="I216" s="22" t="str">
        <f>VLOOKUP($H216,'NO TOCAR'!$A$2:$D$160,2,FALSE)</f>
        <v>Relaciones sociales</v>
      </c>
      <c r="J216" s="22" t="str">
        <f>VLOOKUP($H216,'NO TOCAR'!$A$2:$D$160,4,FALSE)</f>
        <v>RS</v>
      </c>
      <c r="K216" s="46" t="s">
        <v>354</v>
      </c>
      <c r="L216" s="53">
        <v>10</v>
      </c>
      <c r="M216" s="38">
        <v>80.400000000000006</v>
      </c>
      <c r="N216" s="49"/>
      <c r="O216" s="49"/>
      <c r="P216" s="49"/>
      <c r="Q216" s="49"/>
    </row>
    <row r="217" spans="1:17" s="24" customFormat="1" ht="43.5" hidden="1" x14ac:dyDescent="0.35">
      <c r="A217" s="13" t="s">
        <v>345</v>
      </c>
      <c r="B217" s="13" t="s">
        <v>346</v>
      </c>
      <c r="C217" s="13"/>
      <c r="D217" s="7">
        <v>44048</v>
      </c>
      <c r="E217" s="7">
        <v>44048</v>
      </c>
      <c r="F217" s="30">
        <v>44124</v>
      </c>
      <c r="G217" s="22" t="str">
        <f>VLOOKUP($H217,'NO TOCAR'!$A$2:$D$160,3,)</f>
        <v>Limitación al número de personas que se pueden reunir en cualquier circunstancia (con excepciones como convivientes, transporte público, contexto laboral o similares)</v>
      </c>
      <c r="H217" s="15" t="s">
        <v>59</v>
      </c>
      <c r="I217" s="22" t="str">
        <f>VLOOKUP($H217,'NO TOCAR'!$A$2:$D$160,2,FALSE)</f>
        <v>Relaciones sociales</v>
      </c>
      <c r="J217" s="22" t="str">
        <f>VLOOKUP($H217,'NO TOCAR'!$A$2:$D$160,4,FALSE)</f>
        <v>RS</v>
      </c>
      <c r="K217" t="s">
        <v>354</v>
      </c>
      <c r="L217" s="13">
        <v>10</v>
      </c>
      <c r="M217" s="12"/>
      <c r="N217" s="14"/>
      <c r="O217" s="14"/>
      <c r="P217" s="14"/>
      <c r="Q217" s="14"/>
    </row>
    <row r="218" spans="1:17" s="24" customFormat="1" ht="43.5" hidden="1" x14ac:dyDescent="0.35">
      <c r="A218" s="13" t="s">
        <v>345</v>
      </c>
      <c r="B218" s="13" t="s">
        <v>346</v>
      </c>
      <c r="C218" s="13"/>
      <c r="D218" s="7">
        <v>44123</v>
      </c>
      <c r="E218" s="16">
        <v>44124</v>
      </c>
      <c r="F218" s="16">
        <v>44211</v>
      </c>
      <c r="G218" s="22" t="str">
        <f>VLOOKUP($H218,'NO TOCAR'!$A$2:$D$160,3,)</f>
        <v>Limitación al número de personas que se pueden reunir en cualquier circunstancia (con excepciones como convivientes, transporte público, contexto laboral o similares)</v>
      </c>
      <c r="H218" s="15" t="s">
        <v>59</v>
      </c>
      <c r="I218" s="22" t="str">
        <f>VLOOKUP($H218,'NO TOCAR'!$A$2:$D$160,2,FALSE)</f>
        <v>Relaciones sociales</v>
      </c>
      <c r="J218" s="22" t="str">
        <f>VLOOKUP($H218,'NO TOCAR'!$A$2:$D$160,4,FALSE)</f>
        <v>RS</v>
      </c>
      <c r="K218" t="s">
        <v>354</v>
      </c>
      <c r="L218" s="13">
        <v>6</v>
      </c>
      <c r="M218" s="12"/>
      <c r="N218" s="14"/>
      <c r="O218" s="14"/>
      <c r="P218" s="14"/>
      <c r="Q218" s="14"/>
    </row>
    <row r="219" spans="1:17" s="24" customFormat="1" ht="43.5" hidden="1" x14ac:dyDescent="0.35">
      <c r="A219" s="13" t="s">
        <v>345</v>
      </c>
      <c r="B219" s="13" t="s">
        <v>346</v>
      </c>
      <c r="C219" s="13"/>
      <c r="D219" s="7">
        <v>44211</v>
      </c>
      <c r="E219" s="16">
        <v>44212</v>
      </c>
      <c r="F219" s="16">
        <v>44252</v>
      </c>
      <c r="G219" s="22" t="str">
        <f>VLOOKUP($H219,'NO TOCAR'!$A$2:$D$160,3,)</f>
        <v>Limitación al número de personas que se pueden reunir en cualquier circunstancia (con excepciones como convivientes, transporte público, contexto laboral o similares)</v>
      </c>
      <c r="H219" s="15" t="s">
        <v>59</v>
      </c>
      <c r="I219" s="22" t="str">
        <f>VLOOKUP($H219,'NO TOCAR'!$A$2:$D$160,2,FALSE)</f>
        <v>Relaciones sociales</v>
      </c>
      <c r="J219" s="22" t="str">
        <f>VLOOKUP($H219,'NO TOCAR'!$A$2:$D$160,4,FALSE)</f>
        <v>RS</v>
      </c>
      <c r="K219" t="s">
        <v>354</v>
      </c>
      <c r="L219" s="13">
        <v>4</v>
      </c>
      <c r="M219" s="12"/>
      <c r="N219" s="14"/>
      <c r="O219" s="14"/>
      <c r="P219" s="14"/>
      <c r="Q219" s="14"/>
    </row>
    <row r="220" spans="1:17" s="24" customFormat="1" ht="43.5" hidden="1" x14ac:dyDescent="0.35">
      <c r="A220" s="13" t="s">
        <v>345</v>
      </c>
      <c r="B220" s="13" t="s">
        <v>346</v>
      </c>
      <c r="C220" s="13"/>
      <c r="D220" s="7">
        <v>44252</v>
      </c>
      <c r="E220" s="16">
        <v>44253</v>
      </c>
      <c r="F220" s="16">
        <v>44305</v>
      </c>
      <c r="G220" s="22" t="str">
        <f>VLOOKUP($H220,'NO TOCAR'!$A$2:$D$160,3,)</f>
        <v>Limitación al número de personas que se pueden reunir en cualquier circunstancia (con excepciones como convivientes, transporte público, contexto laboral o similares)</v>
      </c>
      <c r="H220" s="15" t="s">
        <v>59</v>
      </c>
      <c r="I220" s="22" t="s">
        <v>291</v>
      </c>
      <c r="J220" s="22" t="s">
        <v>293</v>
      </c>
      <c r="K220" t="s">
        <v>354</v>
      </c>
      <c r="L220" s="13">
        <v>6</v>
      </c>
      <c r="M220" s="12"/>
      <c r="N220" s="14"/>
      <c r="O220" s="14"/>
      <c r="P220" s="14"/>
      <c r="Q220" s="14"/>
    </row>
    <row r="221" spans="1:17" s="24" customFormat="1" ht="43.5" hidden="1" x14ac:dyDescent="0.35">
      <c r="A221" s="13" t="s">
        <v>345</v>
      </c>
      <c r="B221" s="13" t="s">
        <v>346</v>
      </c>
      <c r="D221" s="25">
        <v>44002</v>
      </c>
      <c r="E221" s="30">
        <v>44003</v>
      </c>
      <c r="F221" s="30">
        <v>44124</v>
      </c>
      <c r="G221" s="22" t="str">
        <f>VLOOKUP($H221,'NO TOCAR'!$A$2:$D$160,3,)</f>
        <v>Limitación de aforo de academias, autoescuelas y otros centros de formación no reglada (incluidas actividades promovidas por las administraciones locales)</v>
      </c>
      <c r="H221" s="26" t="s">
        <v>30</v>
      </c>
      <c r="I221" s="22" t="str">
        <f>VLOOKUP($H221,'NO TOCAR'!$A$2:$D$160,2,FALSE)</f>
        <v>Educación</v>
      </c>
      <c r="J221" s="22" t="str">
        <f>VLOOKUP($H221,'NO TOCAR'!$A$2:$D$160,4,FALSE)</f>
        <v>ED</v>
      </c>
      <c r="K221" s="24" t="s">
        <v>347</v>
      </c>
      <c r="L221" s="24">
        <v>75</v>
      </c>
      <c r="M221" s="27"/>
      <c r="N221" s="28"/>
      <c r="O221" s="28"/>
      <c r="P221" s="28"/>
      <c r="Q221" s="28"/>
    </row>
    <row r="222" spans="1:17" s="24" customFormat="1" ht="43.5" hidden="1" x14ac:dyDescent="0.35">
      <c r="A222" s="13" t="s">
        <v>345</v>
      </c>
      <c r="B222" s="13" t="s">
        <v>346</v>
      </c>
      <c r="D222" s="25">
        <v>44002</v>
      </c>
      <c r="E222" s="30">
        <v>44003</v>
      </c>
      <c r="F222" s="30">
        <v>44124</v>
      </c>
      <c r="G222" s="22" t="str">
        <f>VLOOKUP($H222,'NO TOCAR'!$A$2:$D$160,3,)</f>
        <v>Limitación de aforo de academias, autoescuelas y otros centros de formación no reglada (incluidas actividades promovidas por las administraciones locales)</v>
      </c>
      <c r="H222" s="26" t="s">
        <v>30</v>
      </c>
      <c r="I222" s="22" t="str">
        <f>VLOOKUP($H222,'NO TOCAR'!$A$2:$D$160,2,FALSE)</f>
        <v>Educación</v>
      </c>
      <c r="J222" s="22" t="str">
        <f>VLOOKUP($H222,'NO TOCAR'!$A$2:$D$160,4,FALSE)</f>
        <v>ED</v>
      </c>
      <c r="K222" s="24" t="s">
        <v>354</v>
      </c>
      <c r="L222" s="24">
        <v>25</v>
      </c>
      <c r="M222" s="27"/>
      <c r="N222" s="28"/>
      <c r="O222" s="28"/>
      <c r="P222" s="28"/>
      <c r="Q222" s="28"/>
    </row>
    <row r="223" spans="1:17" s="24" customFormat="1" ht="43.5" hidden="1" x14ac:dyDescent="0.35">
      <c r="A223" s="13" t="s">
        <v>345</v>
      </c>
      <c r="B223" s="13" t="s">
        <v>346</v>
      </c>
      <c r="D223" s="25">
        <v>44123</v>
      </c>
      <c r="E223" s="30">
        <v>44124</v>
      </c>
      <c r="F223" s="30">
        <v>44141</v>
      </c>
      <c r="G223" s="22" t="str">
        <f>VLOOKUP($H223,'NO TOCAR'!$A$2:$D$160,3,)</f>
        <v>Limitación de aforo de academias, autoescuelas y otros centros de formación no reglada (incluidas actividades promovidas por las administraciones locales)</v>
      </c>
      <c r="H223" s="26" t="s">
        <v>30</v>
      </c>
      <c r="I223" s="22" t="str">
        <f>VLOOKUP($H223,'NO TOCAR'!$A$2:$D$160,2,FALSE)</f>
        <v>Educación</v>
      </c>
      <c r="J223" s="22" t="str">
        <f>VLOOKUP($H223,'NO TOCAR'!$A$2:$D$160,4,FALSE)</f>
        <v>ED</v>
      </c>
      <c r="K223" s="24" t="s">
        <v>347</v>
      </c>
      <c r="L223" s="24">
        <v>50</v>
      </c>
      <c r="M223" s="27"/>
      <c r="N223" s="28"/>
      <c r="O223" s="28"/>
      <c r="P223" s="28"/>
      <c r="Q223" s="28"/>
    </row>
    <row r="224" spans="1:17" s="24" customFormat="1" ht="43.5" hidden="1" x14ac:dyDescent="0.35">
      <c r="A224" s="13" t="s">
        <v>345</v>
      </c>
      <c r="B224" s="13" t="s">
        <v>346</v>
      </c>
      <c r="D224" s="17">
        <v>44200</v>
      </c>
      <c r="E224" s="17">
        <v>44201</v>
      </c>
      <c r="F224" s="30"/>
      <c r="G224" s="22" t="str">
        <f>VLOOKUP($H224,'NO TOCAR'!$A$2:$D$160,3,)</f>
        <v>Limitación de aforo de academias, autoescuelas y otros centros de formación no reglada (incluidas actividades promovidas por las administraciones locales)</v>
      </c>
      <c r="H224" s="26" t="s">
        <v>30</v>
      </c>
      <c r="I224" s="22" t="str">
        <f>VLOOKUP($H224,'NO TOCAR'!$A$2:$D$160,2,FALSE)</f>
        <v>Educación</v>
      </c>
      <c r="J224" s="22" t="str">
        <f>VLOOKUP($H224,'NO TOCAR'!$A$2:$D$160,4,FALSE)</f>
        <v>ED</v>
      </c>
      <c r="K224" s="24" t="s">
        <v>347</v>
      </c>
      <c r="L224" s="24">
        <v>30</v>
      </c>
      <c r="M224" s="27"/>
      <c r="N224" s="28"/>
      <c r="O224" s="28"/>
      <c r="P224" s="28"/>
      <c r="Q224" s="28"/>
    </row>
    <row r="225" spans="1:17" s="13" customFormat="1" ht="43.5" hidden="1" x14ac:dyDescent="0.35">
      <c r="A225" s="13" t="s">
        <v>345</v>
      </c>
      <c r="B225" s="13" t="s">
        <v>346</v>
      </c>
      <c r="C225" s="24"/>
      <c r="D225" s="25">
        <v>44179</v>
      </c>
      <c r="E225" s="30">
        <v>44180</v>
      </c>
      <c r="F225" s="30">
        <v>44201</v>
      </c>
      <c r="G225" s="22" t="str">
        <f>VLOOKUP($H225,'NO TOCAR'!$A$2:$D$160,3,)</f>
        <v>Limitación de aforo de academias, autoescuelas y otros centros de formación no reglada (incluidas actividades promovidas por las administraciones locales)</v>
      </c>
      <c r="H225" s="26" t="s">
        <v>30</v>
      </c>
      <c r="I225" s="22" t="str">
        <f>VLOOKUP($H225,'NO TOCAR'!$A$2:$D$160,2,FALSE)</f>
        <v>Educación</v>
      </c>
      <c r="J225" s="22" t="str">
        <f>VLOOKUP($H225,'NO TOCAR'!$A$2:$D$160,4,FALSE)</f>
        <v>ED</v>
      </c>
      <c r="K225" s="24" t="s">
        <v>347</v>
      </c>
      <c r="L225" s="24">
        <v>30</v>
      </c>
      <c r="M225" s="27"/>
      <c r="N225" s="28"/>
      <c r="O225" s="28"/>
      <c r="P225" s="28"/>
      <c r="Q225" s="28"/>
    </row>
    <row r="226" spans="1:17" s="24" customFormat="1" ht="29" hidden="1" x14ac:dyDescent="0.35">
      <c r="A226" s="13" t="s">
        <v>345</v>
      </c>
      <c r="B226" s="13" t="s">
        <v>346</v>
      </c>
      <c r="C226" s="13"/>
      <c r="D226" s="7">
        <v>44002</v>
      </c>
      <c r="E226" s="30">
        <v>44003</v>
      </c>
      <c r="F226" s="30">
        <v>44124</v>
      </c>
      <c r="G226" s="22" t="str">
        <f>VLOOKUP($H226,'NO TOCAR'!$A$2:$D$160,3,)</f>
        <v>Limitación de aforo de alojamientos turísticos</v>
      </c>
      <c r="H226" s="26" t="s">
        <v>40</v>
      </c>
      <c r="I226" s="22" t="str">
        <f>VLOOKUP($H226,'NO TOCAR'!$A$2:$D$160,2,FALSE)</f>
        <v>Alojamientos (hoteles, albergues)</v>
      </c>
      <c r="J226" s="22" t="str">
        <f>VLOOKUP($H226,'NO TOCAR'!$A$2:$D$160,4,FALSE)</f>
        <v>AL</v>
      </c>
      <c r="K226" s="24" t="s">
        <v>347</v>
      </c>
      <c r="L226" s="24">
        <v>75</v>
      </c>
      <c r="M226" s="12"/>
      <c r="N226" s="14"/>
      <c r="O226" s="14"/>
      <c r="P226" s="14"/>
      <c r="Q226" s="14"/>
    </row>
    <row r="227" spans="1:17" s="24" customFormat="1" ht="29" hidden="1" x14ac:dyDescent="0.35">
      <c r="A227" s="46" t="s">
        <v>355</v>
      </c>
      <c r="B227" s="46" t="s">
        <v>346</v>
      </c>
      <c r="C227" s="46" t="s">
        <v>356</v>
      </c>
      <c r="D227" s="47">
        <v>44036</v>
      </c>
      <c r="E227" s="47">
        <v>44036</v>
      </c>
      <c r="F227" s="56">
        <v>44078</v>
      </c>
      <c r="G227" s="22" t="str">
        <f>VLOOKUP($H227,'NO TOCAR'!$A$2:$D$160,3,)</f>
        <v>Limitación de aforo de alojamientos turísticos</v>
      </c>
      <c r="H227" s="48" t="s">
        <v>40</v>
      </c>
      <c r="I227" s="22" t="str">
        <f>VLOOKUP($H227,'NO TOCAR'!$A$2:$D$160,2,FALSE)</f>
        <v>Alojamientos (hoteles, albergues)</v>
      </c>
      <c r="J227" s="22" t="str">
        <f>VLOOKUP($H227,'NO TOCAR'!$A$2:$D$160,4,FALSE)</f>
        <v>AL</v>
      </c>
      <c r="K227" s="46" t="s">
        <v>347</v>
      </c>
      <c r="L227" s="53">
        <v>33</v>
      </c>
      <c r="M227" s="49">
        <v>17.7</v>
      </c>
      <c r="N227" s="49"/>
      <c r="O227" s="49"/>
      <c r="P227" s="49"/>
      <c r="Q227" s="49"/>
    </row>
    <row r="228" spans="1:17" s="24" customFormat="1" ht="29" hidden="1" x14ac:dyDescent="0.35">
      <c r="A228" s="13" t="s">
        <v>345</v>
      </c>
      <c r="B228" s="13" t="s">
        <v>346</v>
      </c>
      <c r="C228" s="13"/>
      <c r="D228" s="7">
        <v>44123</v>
      </c>
      <c r="E228" s="30">
        <v>44124</v>
      </c>
      <c r="F228" s="30">
        <v>44141</v>
      </c>
      <c r="G228" s="22" t="str">
        <f>VLOOKUP($H228,'NO TOCAR'!$A$2:$D$160,3,)</f>
        <v>Limitación de aforo de alojamientos turísticos</v>
      </c>
      <c r="H228" s="26" t="s">
        <v>40</v>
      </c>
      <c r="I228" s="22" t="str">
        <f>VLOOKUP($H228,'NO TOCAR'!$A$2:$D$160,2,FALSE)</f>
        <v>Alojamientos (hoteles, albergues)</v>
      </c>
      <c r="J228" s="22" t="str">
        <f>VLOOKUP($H228,'NO TOCAR'!$A$2:$D$160,4,FALSE)</f>
        <v>AL</v>
      </c>
      <c r="K228" s="24" t="s">
        <v>347</v>
      </c>
      <c r="L228" s="24">
        <v>50</v>
      </c>
      <c r="M228" s="12"/>
      <c r="N228" s="14"/>
      <c r="O228" s="14"/>
      <c r="P228" s="14"/>
      <c r="Q228" s="14"/>
    </row>
    <row r="229" spans="1:17" s="46" customFormat="1" ht="29" hidden="1" x14ac:dyDescent="0.35">
      <c r="A229" s="13" t="s">
        <v>345</v>
      </c>
      <c r="B229" s="13" t="s">
        <v>346</v>
      </c>
      <c r="C229" s="24"/>
      <c r="D229" s="7">
        <v>44002</v>
      </c>
      <c r="E229" s="16">
        <v>44003</v>
      </c>
      <c r="F229" s="30">
        <v>44124</v>
      </c>
      <c r="G229" s="22" t="str">
        <f>VLOOKUP($H229,'NO TOCAR'!$A$2:$D$160,3,)</f>
        <v>Limitación de aforo de centros recreativos de jóvenes (ludotecas, centros de ocio juvenil…)</v>
      </c>
      <c r="H229" s="26" t="s">
        <v>192</v>
      </c>
      <c r="I229" s="22" t="str">
        <f>VLOOKUP($H229,'NO TOCAR'!$A$2:$D$160,2,FALSE)</f>
        <v>Centros recreativos</v>
      </c>
      <c r="J229" s="22" t="str">
        <f>VLOOKUP($H229,'NO TOCAR'!$A$2:$D$160,4,FALSE)</f>
        <v>CR</v>
      </c>
      <c r="K229" s="32" t="s">
        <v>354</v>
      </c>
      <c r="L229" s="24">
        <v>50</v>
      </c>
      <c r="M229" s="27"/>
      <c r="N229" s="28"/>
      <c r="O229" s="28"/>
      <c r="P229" s="28"/>
      <c r="Q229" s="28"/>
    </row>
    <row r="230" spans="1:17" s="46" customFormat="1" ht="29" hidden="1" x14ac:dyDescent="0.35">
      <c r="A230" s="13" t="s">
        <v>345</v>
      </c>
      <c r="B230" s="13" t="s">
        <v>346</v>
      </c>
      <c r="C230" s="24"/>
      <c r="D230" s="7">
        <v>44012</v>
      </c>
      <c r="E230" s="16">
        <v>44026</v>
      </c>
      <c r="F230" s="30">
        <v>44124</v>
      </c>
      <c r="G230" s="22" t="str">
        <f>VLOOKUP($H230,'NO TOCAR'!$A$2:$D$160,3,)</f>
        <v>Limitación de aforo de centros recreativos de jóvenes (ludotecas, centros de ocio juvenil…)</v>
      </c>
      <c r="H230" s="26" t="s">
        <v>192</v>
      </c>
      <c r="I230" s="22" t="str">
        <f>VLOOKUP($H230,'NO TOCAR'!$A$2:$D$160,2,FALSE)</f>
        <v>Centros recreativos</v>
      </c>
      <c r="J230" s="22" t="str">
        <f>VLOOKUP($H230,'NO TOCAR'!$A$2:$D$160,4,FALSE)</f>
        <v>CR</v>
      </c>
      <c r="K230" s="32" t="s">
        <v>347</v>
      </c>
      <c r="L230" s="24">
        <v>75</v>
      </c>
      <c r="M230" s="27"/>
      <c r="N230" s="28"/>
      <c r="O230" s="28"/>
      <c r="P230" s="28"/>
      <c r="Q230" s="28"/>
    </row>
    <row r="231" spans="1:17" s="46" customFormat="1" ht="29" hidden="1" x14ac:dyDescent="0.35">
      <c r="A231" s="13" t="s">
        <v>345</v>
      </c>
      <c r="B231" s="13" t="s">
        <v>346</v>
      </c>
      <c r="C231" s="24"/>
      <c r="D231" s="7">
        <v>44123</v>
      </c>
      <c r="E231" s="16">
        <v>44124</v>
      </c>
      <c r="F231" s="16">
        <v>44141</v>
      </c>
      <c r="G231" s="22" t="str">
        <f>VLOOKUP($H231,'NO TOCAR'!$A$2:$D$160,3,)</f>
        <v>Limitación de aforo de centros recreativos de jóvenes (ludotecas, centros de ocio juvenil…)</v>
      </c>
      <c r="H231" s="26" t="s">
        <v>192</v>
      </c>
      <c r="I231" s="22" t="str">
        <f>VLOOKUP($H231,'NO TOCAR'!$A$2:$D$160,2,FALSE)</f>
        <v>Centros recreativos</v>
      </c>
      <c r="J231" s="22" t="str">
        <f>VLOOKUP($H231,'NO TOCAR'!$A$2:$D$160,4,FALSE)</f>
        <v>CR</v>
      </c>
      <c r="K231" s="32" t="s">
        <v>347</v>
      </c>
      <c r="L231" s="24">
        <v>50</v>
      </c>
      <c r="M231" s="27"/>
      <c r="N231" s="28"/>
      <c r="O231" s="28"/>
      <c r="P231" s="28"/>
      <c r="Q231" s="28"/>
    </row>
    <row r="232" spans="1:17" s="24" customFormat="1" ht="29" hidden="1" x14ac:dyDescent="0.35">
      <c r="A232" s="13" t="s">
        <v>345</v>
      </c>
      <c r="B232" s="13" t="s">
        <v>346</v>
      </c>
      <c r="D232" s="16">
        <v>44274</v>
      </c>
      <c r="E232" s="16">
        <v>44274</v>
      </c>
      <c r="F232" s="16"/>
      <c r="G232" s="22" t="str">
        <f>VLOOKUP($H232,'NO TOCAR'!$A$2:$D$160,3,)</f>
        <v>Limitación de aforo de centros recreativos de jóvenes (ludotecas, centros de ocio juvenil…)</v>
      </c>
      <c r="H232" s="26" t="s">
        <v>192</v>
      </c>
      <c r="I232" s="22" t="str">
        <f>VLOOKUP($H232,'NO TOCAR'!$A$2:$D$160,2,FALSE)</f>
        <v>Centros recreativos</v>
      </c>
      <c r="J232" s="22" t="str">
        <f>VLOOKUP($H232,'NO TOCAR'!$A$2:$D$160,4,FALSE)</f>
        <v>CR</v>
      </c>
      <c r="K232" s="32" t="s">
        <v>347</v>
      </c>
      <c r="L232" s="24">
        <v>100</v>
      </c>
      <c r="M232" s="27"/>
      <c r="N232" s="28"/>
      <c r="O232" s="28"/>
      <c r="P232" s="28"/>
      <c r="Q232" s="28"/>
    </row>
    <row r="233" spans="1:17" s="24" customFormat="1" ht="29" hidden="1" x14ac:dyDescent="0.35">
      <c r="A233" s="13" t="s">
        <v>345</v>
      </c>
      <c r="B233" s="13" t="s">
        <v>346</v>
      </c>
      <c r="C233" s="13"/>
      <c r="D233" s="7">
        <v>44002</v>
      </c>
      <c r="E233" s="30">
        <v>44003</v>
      </c>
      <c r="F233" s="30">
        <v>44124</v>
      </c>
      <c r="G233" s="22" t="str">
        <f>VLOOKUP($H233,'NO TOCAR'!$A$2:$D$160,3,)</f>
        <v>Limitación de aforo en actos y espectáculos culturales en exteriores</v>
      </c>
      <c r="H233" s="26" t="s">
        <v>138</v>
      </c>
      <c r="I233" s="22" t="str">
        <f>VLOOKUP($H233,'NO TOCAR'!$A$2:$D$160,2,FALSE)</f>
        <v>Cultura y eventos (exc. deportivos)</v>
      </c>
      <c r="J233" s="22" t="str">
        <f>VLOOKUP($H233,'NO TOCAR'!$A$2:$D$160,4,FALSE)</f>
        <v>CD</v>
      </c>
      <c r="K233" s="24" t="s">
        <v>347</v>
      </c>
      <c r="L233" s="24">
        <v>75</v>
      </c>
      <c r="M233" s="12"/>
      <c r="N233" s="14"/>
      <c r="O233" s="14"/>
      <c r="P233" s="14"/>
      <c r="Q233" s="14"/>
    </row>
    <row r="234" spans="1:17" s="24" customFormat="1" ht="29" hidden="1" x14ac:dyDescent="0.35">
      <c r="A234" s="46" t="s">
        <v>355</v>
      </c>
      <c r="B234" s="46" t="s">
        <v>346</v>
      </c>
      <c r="C234" s="46" t="s">
        <v>356</v>
      </c>
      <c r="D234" s="47">
        <v>44036</v>
      </c>
      <c r="E234" s="47">
        <v>44036</v>
      </c>
      <c r="F234" s="56">
        <v>44078</v>
      </c>
      <c r="G234" s="22" t="str">
        <f>VLOOKUP($H234,'NO TOCAR'!$A$2:$D$160,3,)</f>
        <v>Limitación de aforo en actos y espectáculos culturales en exteriores</v>
      </c>
      <c r="H234" s="48" t="s">
        <v>138</v>
      </c>
      <c r="I234" s="22" t="str">
        <f>VLOOKUP($H234,'NO TOCAR'!$A$2:$D$160,2,FALSE)</f>
        <v>Cultura y eventos (exc. deportivos)</v>
      </c>
      <c r="J234" s="22" t="str">
        <f>VLOOKUP($H234,'NO TOCAR'!$A$2:$D$160,4,FALSE)</f>
        <v>CD</v>
      </c>
      <c r="K234" s="46" t="s">
        <v>354</v>
      </c>
      <c r="L234" s="53">
        <v>200</v>
      </c>
      <c r="M234" s="49">
        <v>17.7</v>
      </c>
      <c r="N234" s="49"/>
      <c r="O234" s="49"/>
      <c r="P234" s="49"/>
      <c r="Q234" s="49"/>
    </row>
    <row r="235" spans="1:17" s="24" customFormat="1" ht="29" hidden="1" x14ac:dyDescent="0.35">
      <c r="A235" s="13" t="s">
        <v>345</v>
      </c>
      <c r="B235" s="13" t="s">
        <v>346</v>
      </c>
      <c r="C235" s="13"/>
      <c r="D235" s="7">
        <v>44123</v>
      </c>
      <c r="E235" s="30">
        <v>44124</v>
      </c>
      <c r="F235" s="30">
        <v>44141</v>
      </c>
      <c r="G235" s="22" t="str">
        <f>VLOOKUP($H235,'NO TOCAR'!$A$2:$D$160,3,)</f>
        <v>Limitación de aforo en actos y espectáculos culturales en exteriores</v>
      </c>
      <c r="H235" s="26" t="s">
        <v>138</v>
      </c>
      <c r="I235" s="22" t="str">
        <f>VLOOKUP($H235,'NO TOCAR'!$A$2:$D$160,2,FALSE)</f>
        <v>Cultura y eventos (exc. deportivos)</v>
      </c>
      <c r="J235" s="22" t="str">
        <f>VLOOKUP($H235,'NO TOCAR'!$A$2:$D$160,4,FALSE)</f>
        <v>CD</v>
      </c>
      <c r="K235" s="24" t="s">
        <v>347</v>
      </c>
      <c r="L235" s="24">
        <v>50</v>
      </c>
      <c r="M235" s="12"/>
      <c r="N235" s="14"/>
      <c r="O235" s="14"/>
      <c r="P235" s="14"/>
      <c r="Q235" s="14"/>
    </row>
    <row r="236" spans="1:17" s="24" customFormat="1" ht="29" hidden="1" x14ac:dyDescent="0.35">
      <c r="A236" s="13" t="s">
        <v>345</v>
      </c>
      <c r="B236" s="13" t="s">
        <v>346</v>
      </c>
      <c r="C236" s="13"/>
      <c r="D236" s="7">
        <v>44123</v>
      </c>
      <c r="E236" s="30">
        <v>44124</v>
      </c>
      <c r="F236" s="30">
        <v>44141</v>
      </c>
      <c r="G236" s="22" t="str">
        <f>VLOOKUP($H236,'NO TOCAR'!$A$2:$D$160,3,)</f>
        <v>Limitación de aforo en actos y espectáculos culturales en exteriores</v>
      </c>
      <c r="H236" s="26" t="s">
        <v>138</v>
      </c>
      <c r="I236" s="22" t="str">
        <f>VLOOKUP($H236,'NO TOCAR'!$A$2:$D$160,2,FALSE)</f>
        <v>Cultura y eventos (exc. deportivos)</v>
      </c>
      <c r="J236" s="22" t="str">
        <f>VLOOKUP($H236,'NO TOCAR'!$A$2:$D$160,4,FALSE)</f>
        <v>CD</v>
      </c>
      <c r="K236" s="24" t="s">
        <v>354</v>
      </c>
      <c r="L236" s="24">
        <v>300</v>
      </c>
      <c r="M236" s="12"/>
      <c r="N236" s="14"/>
      <c r="O236" s="14"/>
      <c r="P236" s="14"/>
      <c r="Q236" s="14"/>
    </row>
    <row r="237" spans="1:17" s="24" customFormat="1" ht="29" hidden="1" x14ac:dyDescent="0.35">
      <c r="A237" s="13" t="s">
        <v>345</v>
      </c>
      <c r="B237" s="13" t="s">
        <v>346</v>
      </c>
      <c r="C237" s="13"/>
      <c r="D237" s="7">
        <v>44140</v>
      </c>
      <c r="E237" s="30">
        <v>44141</v>
      </c>
      <c r="F237" s="30">
        <v>44180</v>
      </c>
      <c r="G237" s="22" t="str">
        <f>VLOOKUP($H237,'NO TOCAR'!$A$2:$D$160,3,)</f>
        <v>Limitación de aforo en actos y espectáculos culturales en exteriores</v>
      </c>
      <c r="H237" s="26" t="s">
        <v>138</v>
      </c>
      <c r="I237" s="22" t="str">
        <f>VLOOKUP($H237,'NO TOCAR'!$A$2:$D$160,2,FALSE)</f>
        <v>Cultura y eventos (exc. deportivos)</v>
      </c>
      <c r="J237" s="22" t="str">
        <f>VLOOKUP($H237,'NO TOCAR'!$A$2:$D$160,4,FALSE)</f>
        <v>CD</v>
      </c>
      <c r="K237" s="32" t="s">
        <v>347</v>
      </c>
      <c r="L237" s="24">
        <v>25</v>
      </c>
      <c r="M237" s="12"/>
      <c r="N237" s="14"/>
      <c r="O237" s="14"/>
      <c r="P237" s="14"/>
      <c r="Q237" s="14"/>
    </row>
    <row r="238" spans="1:17" s="24" customFormat="1" ht="29" hidden="1" x14ac:dyDescent="0.35">
      <c r="A238" s="13" t="s">
        <v>345</v>
      </c>
      <c r="B238" s="13" t="s">
        <v>346</v>
      </c>
      <c r="C238" s="13"/>
      <c r="D238" s="7">
        <v>44140</v>
      </c>
      <c r="E238" s="30">
        <v>44141</v>
      </c>
      <c r="F238" s="30">
        <v>44180</v>
      </c>
      <c r="G238" s="22" t="str">
        <f>VLOOKUP($H238,'NO TOCAR'!$A$2:$D$160,3,)</f>
        <v>Limitación de aforo en actos y espectáculos culturales en exteriores</v>
      </c>
      <c r="H238" s="26" t="s">
        <v>138</v>
      </c>
      <c r="I238" s="22" t="str">
        <f>VLOOKUP($H238,'NO TOCAR'!$A$2:$D$160,2,FALSE)</f>
        <v>Cultura y eventos (exc. deportivos)</v>
      </c>
      <c r="J238" s="22" t="str">
        <f>VLOOKUP($H238,'NO TOCAR'!$A$2:$D$160,4,FALSE)</f>
        <v>CD</v>
      </c>
      <c r="K238" s="32" t="s">
        <v>354</v>
      </c>
      <c r="L238" s="24">
        <v>150</v>
      </c>
      <c r="M238" s="12"/>
      <c r="N238" s="14"/>
      <c r="O238" s="14"/>
      <c r="P238" s="14"/>
      <c r="Q238" s="14"/>
    </row>
    <row r="239" spans="1:17" s="24" customFormat="1" ht="29" hidden="1" x14ac:dyDescent="0.35">
      <c r="A239" s="13" t="s">
        <v>345</v>
      </c>
      <c r="B239" s="13" t="s">
        <v>346</v>
      </c>
      <c r="C239" s="13"/>
      <c r="D239" s="17">
        <v>44200</v>
      </c>
      <c r="E239" s="17">
        <v>44201</v>
      </c>
      <c r="F239" s="17"/>
      <c r="G239" s="22" t="str">
        <f>VLOOKUP($H239,'NO TOCAR'!$A$2:$D$160,3,)</f>
        <v>Limitación de aforo en actos y espectáculos culturales en exteriores</v>
      </c>
      <c r="H239" s="26" t="s">
        <v>138</v>
      </c>
      <c r="I239" s="22" t="str">
        <f>VLOOKUP($H239,'NO TOCAR'!$A$2:$D$160,2,FALSE)</f>
        <v>Cultura y eventos (exc. deportivos)</v>
      </c>
      <c r="J239" s="22" t="str">
        <f>VLOOKUP($H239,'NO TOCAR'!$A$2:$D$160,4,FALSE)</f>
        <v>CD</v>
      </c>
      <c r="K239" s="24" t="s">
        <v>347</v>
      </c>
      <c r="L239" s="24">
        <v>50</v>
      </c>
      <c r="M239" s="12"/>
      <c r="N239" s="14"/>
      <c r="O239" s="14"/>
      <c r="P239" s="14"/>
      <c r="Q239" s="14"/>
    </row>
    <row r="240" spans="1:17" s="24" customFormat="1" ht="29" hidden="1" x14ac:dyDescent="0.35">
      <c r="A240" s="13" t="s">
        <v>345</v>
      </c>
      <c r="B240" s="13" t="s">
        <v>346</v>
      </c>
      <c r="C240" s="13"/>
      <c r="D240" s="25">
        <v>44179</v>
      </c>
      <c r="E240" s="30">
        <v>44180</v>
      </c>
      <c r="F240" s="30">
        <v>44201</v>
      </c>
      <c r="G240" s="22" t="str">
        <f>VLOOKUP($H240,'NO TOCAR'!$A$2:$D$160,3,)</f>
        <v>Limitación de aforo en actos y espectáculos culturales en exteriores</v>
      </c>
      <c r="H240" s="26" t="s">
        <v>138</v>
      </c>
      <c r="I240" s="22" t="str">
        <f>VLOOKUP($H240,'NO TOCAR'!$A$2:$D$160,2,FALSE)</f>
        <v>Cultura y eventos (exc. deportivos)</v>
      </c>
      <c r="J240" s="22" t="str">
        <f>VLOOKUP($H240,'NO TOCAR'!$A$2:$D$160,4,FALSE)</f>
        <v>CD</v>
      </c>
      <c r="K240" s="32" t="s">
        <v>347</v>
      </c>
      <c r="L240" s="24">
        <v>50</v>
      </c>
      <c r="M240" s="12"/>
      <c r="N240" s="14"/>
      <c r="O240" s="14"/>
      <c r="P240" s="14"/>
      <c r="Q240" s="14"/>
    </row>
    <row r="241" spans="1:17" s="24" customFormat="1" ht="29" hidden="1" x14ac:dyDescent="0.35">
      <c r="A241" s="13" t="s">
        <v>345</v>
      </c>
      <c r="B241" s="13" t="s">
        <v>346</v>
      </c>
      <c r="C241" s="13"/>
      <c r="D241" s="25">
        <v>44002</v>
      </c>
      <c r="E241" s="30">
        <v>44003</v>
      </c>
      <c r="F241" s="30">
        <v>44124</v>
      </c>
      <c r="G241" s="22" t="str">
        <f>VLOOKUP($H241,'NO TOCAR'!$A$2:$D$160,3,)</f>
        <v>Limitación de aforo en bilbiotecas, museos y monumentos en general</v>
      </c>
      <c r="H241" s="26" t="s">
        <v>41</v>
      </c>
      <c r="I241" s="22" t="str">
        <f>VLOOKUP($H241,'NO TOCAR'!$A$2:$D$160,2,FALSE)</f>
        <v>Cultura y eventos (exc. deportivos)</v>
      </c>
      <c r="J241" s="22" t="str">
        <f>VLOOKUP($H241,'NO TOCAR'!$A$2:$D$160,4,FALSE)</f>
        <v>CD</v>
      </c>
      <c r="K241" s="24" t="s">
        <v>347</v>
      </c>
      <c r="L241" s="24">
        <v>75</v>
      </c>
      <c r="M241" s="12"/>
      <c r="N241" s="14"/>
      <c r="O241" s="14"/>
      <c r="P241" s="14"/>
      <c r="Q241" s="14"/>
    </row>
    <row r="242" spans="1:17" s="13" customFormat="1" ht="29" hidden="1" x14ac:dyDescent="0.35">
      <c r="A242" s="13" t="s">
        <v>355</v>
      </c>
      <c r="B242" s="13" t="s">
        <v>346</v>
      </c>
      <c r="C242" s="13" t="s">
        <v>356</v>
      </c>
      <c r="D242" s="7">
        <v>44004</v>
      </c>
      <c r="E242" s="7">
        <v>44004</v>
      </c>
      <c r="F242" s="7">
        <v>44026</v>
      </c>
      <c r="G242" s="22" t="str">
        <f>VLOOKUP($H242,'NO TOCAR'!$A$2:$D$160,3,)</f>
        <v>Limitación de aforo en bilbiotecas, museos y monumentos en general</v>
      </c>
      <c r="H242" s="6" t="s">
        <v>41</v>
      </c>
      <c r="I242" s="22" t="str">
        <f>VLOOKUP($H242,'NO TOCAR'!$A$2:$D$160,2,FALSE)</f>
        <v>Cultura y eventos (exc. deportivos)</v>
      </c>
      <c r="J242" s="22" t="str">
        <f>VLOOKUP($H242,'NO TOCAR'!$A$2:$D$160,4,FALSE)</f>
        <v>CD</v>
      </c>
      <c r="K242" s="13" t="s">
        <v>347</v>
      </c>
      <c r="L242" s="13">
        <v>75</v>
      </c>
      <c r="M242" s="12">
        <v>29.2</v>
      </c>
      <c r="N242" s="14"/>
      <c r="O242" s="14"/>
      <c r="P242" s="14"/>
      <c r="Q242" s="14"/>
    </row>
    <row r="243" spans="1:17" s="13" customFormat="1" ht="29" hidden="1" x14ac:dyDescent="0.35">
      <c r="A243" s="33" t="s">
        <v>355</v>
      </c>
      <c r="B243" s="33" t="s">
        <v>346</v>
      </c>
      <c r="C243" s="33" t="s">
        <v>356</v>
      </c>
      <c r="D243" s="7">
        <v>44026</v>
      </c>
      <c r="E243" s="7">
        <v>44026</v>
      </c>
      <c r="F243" s="41">
        <v>44036</v>
      </c>
      <c r="G243" s="22" t="str">
        <f>VLOOKUP($H243,'NO TOCAR'!$A$2:$D$160,3,)</f>
        <v>Limitación de aforo en bilbiotecas, museos y monumentos en general</v>
      </c>
      <c r="H243" s="35" t="s">
        <v>41</v>
      </c>
      <c r="I243" s="22" t="str">
        <f>VLOOKUP($H243,'NO TOCAR'!$A$2:$D$160,2,FALSE)</f>
        <v>Cultura y eventos (exc. deportivos)</v>
      </c>
      <c r="J243" s="22" t="str">
        <f>VLOOKUP($H243,'NO TOCAR'!$A$2:$D$160,4,FALSE)</f>
        <v>CD</v>
      </c>
      <c r="K243" s="33" t="s">
        <v>347</v>
      </c>
      <c r="L243" s="33">
        <v>75</v>
      </c>
      <c r="M243" s="12">
        <v>53.3</v>
      </c>
      <c r="N243" s="34"/>
      <c r="O243" s="34"/>
      <c r="P243" s="34"/>
      <c r="Q243" s="34"/>
    </row>
    <row r="244" spans="1:17" s="13" customFormat="1" ht="29" hidden="1" x14ac:dyDescent="0.35">
      <c r="A244" s="36" t="s">
        <v>355</v>
      </c>
      <c r="B244" s="36" t="s">
        <v>346</v>
      </c>
      <c r="C244" s="36" t="s">
        <v>358</v>
      </c>
      <c r="D244" s="37">
        <v>44026</v>
      </c>
      <c r="E244" s="37">
        <v>44026</v>
      </c>
      <c r="F244" s="56">
        <v>44078</v>
      </c>
      <c r="G244" s="22" t="str">
        <f>VLOOKUP($H244,'NO TOCAR'!$A$2:$D$160,3,)</f>
        <v>Limitación de aforo en bilbiotecas, museos y monumentos en general</v>
      </c>
      <c r="H244" s="39" t="s">
        <v>41</v>
      </c>
      <c r="I244" s="22" t="str">
        <f>VLOOKUP($H244,'NO TOCAR'!$A$2:$D$160,2,FALSE)</f>
        <v>Cultura y eventos (exc. deportivos)</v>
      </c>
      <c r="J244" s="22" t="str">
        <f>VLOOKUP($H244,'NO TOCAR'!$A$2:$D$160,4,FALSE)</f>
        <v>CD</v>
      </c>
      <c r="K244" s="36" t="s">
        <v>347</v>
      </c>
      <c r="L244" s="36">
        <v>75</v>
      </c>
      <c r="M244" s="38">
        <v>80.400000000000006</v>
      </c>
      <c r="N244" s="38"/>
      <c r="O244" s="38"/>
      <c r="P244" s="38"/>
      <c r="Q244" s="38"/>
    </row>
    <row r="245" spans="1:17" s="1" customFormat="1" ht="29" hidden="1" x14ac:dyDescent="0.35">
      <c r="A245" s="42" t="s">
        <v>355</v>
      </c>
      <c r="B245" s="42" t="s">
        <v>346</v>
      </c>
      <c r="C245" s="42" t="s">
        <v>356</v>
      </c>
      <c r="D245" s="41">
        <v>44036</v>
      </c>
      <c r="E245" s="41">
        <v>44036</v>
      </c>
      <c r="F245" s="56">
        <v>44078</v>
      </c>
      <c r="G245" s="22" t="str">
        <f>VLOOKUP($H245,'NO TOCAR'!$A$2:$D$160,3,)</f>
        <v>Limitación de aforo en bilbiotecas, museos y monumentos en general</v>
      </c>
      <c r="H245" s="50" t="s">
        <v>41</v>
      </c>
      <c r="I245" s="22" t="str">
        <f>VLOOKUP($H245,'NO TOCAR'!$A$2:$D$160,2,FALSE)</f>
        <v>Cultura y eventos (exc. deportivos)</v>
      </c>
      <c r="J245" s="22" t="str">
        <f>VLOOKUP($H245,'NO TOCAR'!$A$2:$D$160,4,FALSE)</f>
        <v>CD</v>
      </c>
      <c r="K245" s="51" t="s">
        <v>347</v>
      </c>
      <c r="L245" s="51">
        <v>75</v>
      </c>
      <c r="M245" s="44">
        <v>49.9</v>
      </c>
      <c r="N245" s="44"/>
      <c r="O245" s="44"/>
      <c r="P245" s="44"/>
      <c r="Q245" s="44"/>
    </row>
    <row r="246" spans="1:17" s="1" customFormat="1" ht="29" hidden="1" x14ac:dyDescent="0.35">
      <c r="A246" s="46" t="s">
        <v>355</v>
      </c>
      <c r="B246" s="46" t="s">
        <v>346</v>
      </c>
      <c r="C246" s="46" t="s">
        <v>356</v>
      </c>
      <c r="D246" s="47">
        <v>44036</v>
      </c>
      <c r="E246" s="47">
        <v>44036</v>
      </c>
      <c r="F246" s="56">
        <v>44078</v>
      </c>
      <c r="G246" s="22" t="str">
        <f>VLOOKUP($H246,'NO TOCAR'!$A$2:$D$160,3,)</f>
        <v>Limitación de aforo en bilbiotecas, museos y monumentos en general</v>
      </c>
      <c r="H246" s="48" t="s">
        <v>41</v>
      </c>
      <c r="I246" s="22" t="str">
        <f>VLOOKUP($H246,'NO TOCAR'!$A$2:$D$160,2,FALSE)</f>
        <v>Cultura y eventos (exc. deportivos)</v>
      </c>
      <c r="J246" s="22" t="str">
        <f>VLOOKUP($H246,'NO TOCAR'!$A$2:$D$160,4,FALSE)</f>
        <v>CD</v>
      </c>
      <c r="K246" s="46" t="s">
        <v>347</v>
      </c>
      <c r="L246" s="53">
        <v>33</v>
      </c>
      <c r="M246" s="49">
        <v>17.7</v>
      </c>
      <c r="N246" s="49"/>
      <c r="O246" s="49"/>
      <c r="P246" s="49"/>
      <c r="Q246" s="49"/>
    </row>
    <row r="247" spans="1:17" s="13" customFormat="1" ht="29" hidden="1" x14ac:dyDescent="0.35">
      <c r="A247" s="13" t="s">
        <v>345</v>
      </c>
      <c r="B247" s="13" t="s">
        <v>346</v>
      </c>
      <c r="D247" s="25">
        <v>44123</v>
      </c>
      <c r="E247" s="30">
        <v>44124</v>
      </c>
      <c r="F247" s="30">
        <v>44141</v>
      </c>
      <c r="G247" s="22" t="str">
        <f>VLOOKUP($H247,'NO TOCAR'!$A$2:$D$160,3,)</f>
        <v>Limitación de aforo en bilbiotecas, museos y monumentos en general</v>
      </c>
      <c r="H247" s="26" t="s">
        <v>41</v>
      </c>
      <c r="I247" s="22" t="str">
        <f>VLOOKUP($H247,'NO TOCAR'!$A$2:$D$160,2,FALSE)</f>
        <v>Cultura y eventos (exc. deportivos)</v>
      </c>
      <c r="J247" s="22" t="str">
        <f>VLOOKUP($H247,'NO TOCAR'!$A$2:$D$160,4,FALSE)</f>
        <v>CD</v>
      </c>
      <c r="K247" s="24" t="s">
        <v>347</v>
      </c>
      <c r="L247" s="24">
        <v>50</v>
      </c>
      <c r="M247" s="12"/>
      <c r="N247" s="14"/>
      <c r="O247" s="14"/>
      <c r="P247" s="14"/>
      <c r="Q247" s="14"/>
    </row>
    <row r="248" spans="1:17" s="13" customFormat="1" ht="29" hidden="1" x14ac:dyDescent="0.35">
      <c r="A248" s="13" t="s">
        <v>345</v>
      </c>
      <c r="B248" s="13" t="s">
        <v>346</v>
      </c>
      <c r="D248" s="25">
        <v>44140</v>
      </c>
      <c r="E248" s="30">
        <v>44141</v>
      </c>
      <c r="F248" s="30">
        <v>44180</v>
      </c>
      <c r="G248" s="22" t="str">
        <f>VLOOKUP($H248,'NO TOCAR'!$A$2:$D$160,3,)</f>
        <v>Limitación de aforo en bilbiotecas, museos y monumentos en general</v>
      </c>
      <c r="H248" s="26" t="s">
        <v>41</v>
      </c>
      <c r="I248" s="22" t="str">
        <f>VLOOKUP($H248,'NO TOCAR'!$A$2:$D$160,2,FALSE)</f>
        <v>Cultura y eventos (exc. deportivos)</v>
      </c>
      <c r="J248" s="22" t="str">
        <f>VLOOKUP($H248,'NO TOCAR'!$A$2:$D$160,4,FALSE)</f>
        <v>CD</v>
      </c>
      <c r="K248" s="24" t="s">
        <v>347</v>
      </c>
      <c r="L248" s="24">
        <v>25</v>
      </c>
      <c r="M248" s="12"/>
      <c r="N248" s="14"/>
      <c r="O248" s="14"/>
      <c r="P248" s="14"/>
      <c r="Q248" s="14"/>
    </row>
    <row r="249" spans="1:17" s="13" customFormat="1" ht="29" hidden="1" x14ac:dyDescent="0.35">
      <c r="A249" s="13" t="s">
        <v>345</v>
      </c>
      <c r="B249" s="13" t="s">
        <v>346</v>
      </c>
      <c r="D249" s="25">
        <v>44179</v>
      </c>
      <c r="E249" s="30">
        <v>44180</v>
      </c>
      <c r="F249" s="30">
        <v>44201</v>
      </c>
      <c r="G249" s="22" t="str">
        <f>VLOOKUP($H249,'NO TOCAR'!$A$2:$D$160,3,)</f>
        <v>Limitación de aforo en bilbiotecas, museos y monumentos en general</v>
      </c>
      <c r="H249" s="26" t="s">
        <v>41</v>
      </c>
      <c r="I249" s="22" t="str">
        <f>VLOOKUP($H249,'NO TOCAR'!$A$2:$D$160,2,FALSE)</f>
        <v>Cultura y eventos (exc. deportivos)</v>
      </c>
      <c r="J249" s="22" t="str">
        <f>VLOOKUP($H249,'NO TOCAR'!$A$2:$D$160,4,FALSE)</f>
        <v>CD</v>
      </c>
      <c r="K249" s="24" t="s">
        <v>347</v>
      </c>
      <c r="L249" s="24">
        <v>50</v>
      </c>
      <c r="M249" s="12"/>
      <c r="N249" s="14"/>
      <c r="O249" s="14"/>
      <c r="P249" s="14"/>
      <c r="Q249" s="14"/>
    </row>
    <row r="250" spans="1:17" s="13" customFormat="1" ht="29" hidden="1" x14ac:dyDescent="0.35">
      <c r="A250" s="13" t="s">
        <v>345</v>
      </c>
      <c r="B250" s="13" t="s">
        <v>346</v>
      </c>
      <c r="D250" s="17">
        <v>44200</v>
      </c>
      <c r="E250" s="17">
        <v>44201</v>
      </c>
      <c r="F250" s="17"/>
      <c r="G250" s="22" t="str">
        <f>VLOOKUP($H250,'NO TOCAR'!$A$2:$D$160,3,)</f>
        <v>Limitación de aforo en bilbiotecas, museos y monumentos en general</v>
      </c>
      <c r="H250" s="19" t="s">
        <v>41</v>
      </c>
      <c r="I250" s="22" t="str">
        <f>VLOOKUP($H250,'NO TOCAR'!$A$2:$D$160,2,FALSE)</f>
        <v>Cultura y eventos (exc. deportivos)</v>
      </c>
      <c r="J250" s="22" t="str">
        <f>VLOOKUP($H250,'NO TOCAR'!$A$2:$D$160,4,FALSE)</f>
        <v>CD</v>
      </c>
      <c r="K250" s="24" t="s">
        <v>347</v>
      </c>
      <c r="L250" s="24">
        <v>50</v>
      </c>
      <c r="M250" s="12"/>
      <c r="N250" s="14"/>
      <c r="O250" s="14"/>
      <c r="P250" s="14"/>
      <c r="Q250" s="14"/>
    </row>
    <row r="251" spans="1:17" s="13" customFormat="1" ht="43.5" hidden="1" x14ac:dyDescent="0.35">
      <c r="A251" s="13" t="s">
        <v>345</v>
      </c>
      <c r="B251" s="13" t="s">
        <v>346</v>
      </c>
      <c r="D251" s="7">
        <v>44002</v>
      </c>
      <c r="E251" s="30">
        <v>44003</v>
      </c>
      <c r="F251" s="30">
        <v>44124</v>
      </c>
      <c r="G251" s="22" t="str">
        <f>VLOOKUP($H251,'NO TOCAR'!$A$2:$D$160,3,)</f>
        <v>Limitación de aforo en cines, teatros, auditorios, circos de carpa y espacios similares, así como locales y establecimientos destinados a actos y espectáculos culturales en interior</v>
      </c>
      <c r="H251" s="26" t="s">
        <v>42</v>
      </c>
      <c r="I251" s="22" t="str">
        <f>VLOOKUP($H251,'NO TOCAR'!$A$2:$D$160,2,FALSE)</f>
        <v>Cultura y eventos (exc. deportivos)</v>
      </c>
      <c r="J251" s="22" t="str">
        <f>VLOOKUP($H251,'NO TOCAR'!$A$2:$D$160,4,FALSE)</f>
        <v>CD</v>
      </c>
      <c r="K251" s="24" t="s">
        <v>347</v>
      </c>
      <c r="L251" s="24">
        <v>75</v>
      </c>
      <c r="M251" s="12"/>
      <c r="N251" s="14"/>
      <c r="O251" s="14"/>
      <c r="P251" s="14"/>
      <c r="Q251" s="14"/>
    </row>
    <row r="252" spans="1:17" s="13" customFormat="1" ht="43.5" hidden="1" x14ac:dyDescent="0.35">
      <c r="A252" s="13" t="s">
        <v>355</v>
      </c>
      <c r="B252" s="13" t="s">
        <v>346</v>
      </c>
      <c r="C252" s="13" t="s">
        <v>356</v>
      </c>
      <c r="D252" s="7">
        <v>44004</v>
      </c>
      <c r="E252" s="7">
        <v>44004</v>
      </c>
      <c r="F252" s="7">
        <v>44026</v>
      </c>
      <c r="G252" s="22" t="str">
        <f>VLOOKUP($H252,'NO TOCAR'!$A$2:$D$160,3,)</f>
        <v>Limitación de aforo en cines, teatros, auditorios, circos de carpa y espacios similares, así como locales y establecimientos destinados a actos y espectáculos culturales en interior</v>
      </c>
      <c r="H252" s="6" t="s">
        <v>42</v>
      </c>
      <c r="I252" s="22" t="str">
        <f>VLOOKUP($H252,'NO TOCAR'!$A$2:$D$160,2,FALSE)</f>
        <v>Cultura y eventos (exc. deportivos)</v>
      </c>
      <c r="J252" s="22" t="str">
        <f>VLOOKUP($H252,'NO TOCAR'!$A$2:$D$160,4,FALSE)</f>
        <v>CD</v>
      </c>
      <c r="K252" s="13" t="s">
        <v>347</v>
      </c>
      <c r="L252" s="13">
        <v>75</v>
      </c>
      <c r="M252" s="12">
        <v>29.2</v>
      </c>
      <c r="N252" s="14"/>
      <c r="O252" s="14"/>
      <c r="P252" s="14"/>
      <c r="Q252" s="14"/>
    </row>
    <row r="253" spans="1:17" s="13" customFormat="1" ht="43.5" hidden="1" x14ac:dyDescent="0.35">
      <c r="A253" s="33" t="s">
        <v>355</v>
      </c>
      <c r="B253" s="33" t="s">
        <v>346</v>
      </c>
      <c r="C253" s="33" t="s">
        <v>356</v>
      </c>
      <c r="D253" s="7">
        <v>44026</v>
      </c>
      <c r="E253" s="7">
        <v>44026</v>
      </c>
      <c r="F253" s="41">
        <v>44036</v>
      </c>
      <c r="G253" s="22" t="str">
        <f>VLOOKUP($H253,'NO TOCAR'!$A$2:$D$160,3,)</f>
        <v>Limitación de aforo en cines, teatros, auditorios, circos de carpa y espacios similares, así como locales y establecimientos destinados a actos y espectáculos culturales en interior</v>
      </c>
      <c r="H253" s="35" t="s">
        <v>42</v>
      </c>
      <c r="I253" s="22" t="str">
        <f>VLOOKUP($H253,'NO TOCAR'!$A$2:$D$160,2,FALSE)</f>
        <v>Cultura y eventos (exc. deportivos)</v>
      </c>
      <c r="J253" s="22" t="str">
        <f>VLOOKUP($H253,'NO TOCAR'!$A$2:$D$160,4,FALSE)</f>
        <v>CD</v>
      </c>
      <c r="K253" s="33" t="s">
        <v>347</v>
      </c>
      <c r="L253" s="33">
        <v>75</v>
      </c>
      <c r="M253" s="12">
        <v>53.3</v>
      </c>
      <c r="N253" s="34"/>
      <c r="O253" s="34"/>
      <c r="P253" s="34"/>
      <c r="Q253" s="34"/>
    </row>
    <row r="254" spans="1:17" s="13" customFormat="1" ht="43.5" hidden="1" x14ac:dyDescent="0.35">
      <c r="A254" s="36" t="s">
        <v>355</v>
      </c>
      <c r="B254" s="36" t="s">
        <v>346</v>
      </c>
      <c r="C254" s="36" t="s">
        <v>358</v>
      </c>
      <c r="D254" s="37">
        <v>44026</v>
      </c>
      <c r="E254" s="37">
        <v>44026</v>
      </c>
      <c r="F254" s="56">
        <v>44078</v>
      </c>
      <c r="G254" s="22" t="str">
        <f>VLOOKUP($H254,'NO TOCAR'!$A$2:$D$160,3,)</f>
        <v>Limitación de aforo en cines, teatros, auditorios, circos de carpa y espacios similares, así como locales y establecimientos destinados a actos y espectáculos culturales en interior</v>
      </c>
      <c r="H254" s="39" t="s">
        <v>42</v>
      </c>
      <c r="I254" s="22" t="str">
        <f>VLOOKUP($H254,'NO TOCAR'!$A$2:$D$160,2,FALSE)</f>
        <v>Cultura y eventos (exc. deportivos)</v>
      </c>
      <c r="J254" s="22" t="str">
        <f>VLOOKUP($H254,'NO TOCAR'!$A$2:$D$160,4,FALSE)</f>
        <v>CD</v>
      </c>
      <c r="K254" s="36" t="s">
        <v>347</v>
      </c>
      <c r="L254" s="36">
        <v>75</v>
      </c>
      <c r="M254" s="38">
        <v>80.400000000000006</v>
      </c>
      <c r="N254" s="38"/>
      <c r="O254" s="38"/>
      <c r="P254" s="38"/>
      <c r="Q254" s="38"/>
    </row>
    <row r="255" spans="1:17" s="1" customFormat="1" ht="43.5" hidden="1" x14ac:dyDescent="0.35">
      <c r="A255" s="42" t="s">
        <v>355</v>
      </c>
      <c r="B255" s="42" t="s">
        <v>346</v>
      </c>
      <c r="C255" s="42" t="s">
        <v>356</v>
      </c>
      <c r="D255" s="41">
        <v>44036</v>
      </c>
      <c r="E255" s="41">
        <v>44036</v>
      </c>
      <c r="F255" s="56">
        <v>44078</v>
      </c>
      <c r="G255" s="22" t="str">
        <f>VLOOKUP($H255,'NO TOCAR'!$A$2:$D$160,3,)</f>
        <v>Limitación de aforo en cines, teatros, auditorios, circos de carpa y espacios similares, así como locales y establecimientos destinados a actos y espectáculos culturales en interior</v>
      </c>
      <c r="H255" s="50" t="s">
        <v>42</v>
      </c>
      <c r="I255" s="22" t="str">
        <f>VLOOKUP($H255,'NO TOCAR'!$A$2:$D$160,2,FALSE)</f>
        <v>Cultura y eventos (exc. deportivos)</v>
      </c>
      <c r="J255" s="22" t="str">
        <f>VLOOKUP($H255,'NO TOCAR'!$A$2:$D$160,4,FALSE)</f>
        <v>CD</v>
      </c>
      <c r="K255" s="51" t="s">
        <v>347</v>
      </c>
      <c r="L255" s="51">
        <v>75</v>
      </c>
      <c r="M255" s="44">
        <v>49.9</v>
      </c>
      <c r="N255" s="44"/>
      <c r="O255" s="44"/>
      <c r="P255" s="44"/>
      <c r="Q255" s="44"/>
    </row>
    <row r="256" spans="1:17" s="1" customFormat="1" ht="43.5" hidden="1" x14ac:dyDescent="0.35">
      <c r="A256" s="46" t="s">
        <v>355</v>
      </c>
      <c r="B256" s="46" t="s">
        <v>346</v>
      </c>
      <c r="C256" s="46" t="s">
        <v>356</v>
      </c>
      <c r="D256" s="47">
        <v>44036</v>
      </c>
      <c r="E256" s="47">
        <v>44036</v>
      </c>
      <c r="F256" s="56">
        <v>44078</v>
      </c>
      <c r="G256" s="22" t="str">
        <f>VLOOKUP($H256,'NO TOCAR'!$A$2:$D$160,3,)</f>
        <v>Limitación de aforo en cines, teatros, auditorios, circos de carpa y espacios similares, así como locales y establecimientos destinados a actos y espectáculos culturales en interior</v>
      </c>
      <c r="H256" s="48" t="s">
        <v>42</v>
      </c>
      <c r="I256" s="22" t="str">
        <f>VLOOKUP($H256,'NO TOCAR'!$A$2:$D$160,2,FALSE)</f>
        <v>Cultura y eventos (exc. deportivos)</v>
      </c>
      <c r="J256" s="22" t="str">
        <f>VLOOKUP($H256,'NO TOCAR'!$A$2:$D$160,4,FALSE)</f>
        <v>CD</v>
      </c>
      <c r="K256" s="46" t="s">
        <v>347</v>
      </c>
      <c r="L256" s="53">
        <v>33</v>
      </c>
      <c r="M256" s="49">
        <v>17.7</v>
      </c>
      <c r="N256" s="49"/>
      <c r="O256" s="49"/>
      <c r="P256" s="49"/>
      <c r="Q256" s="49"/>
    </row>
    <row r="257" spans="1:17" s="1" customFormat="1" ht="43.5" hidden="1" x14ac:dyDescent="0.35">
      <c r="A257" s="46" t="s">
        <v>355</v>
      </c>
      <c r="B257" s="46" t="s">
        <v>346</v>
      </c>
      <c r="C257" s="46" t="s">
        <v>356</v>
      </c>
      <c r="D257" s="47">
        <v>44036</v>
      </c>
      <c r="E257" s="47">
        <v>44036</v>
      </c>
      <c r="F257" s="56">
        <v>44078</v>
      </c>
      <c r="G257" s="22" t="str">
        <f>VLOOKUP($H257,'NO TOCAR'!$A$2:$D$160,3,)</f>
        <v>Limitación de aforo en cines, teatros, auditorios, circos de carpa y espacios similares, así como locales y establecimientos destinados a actos y espectáculos culturales en interior</v>
      </c>
      <c r="H257" s="48" t="s">
        <v>42</v>
      </c>
      <c r="I257" s="22" t="str">
        <f>VLOOKUP($H257,'NO TOCAR'!$A$2:$D$160,2,FALSE)</f>
        <v>Cultura y eventos (exc. deportivos)</v>
      </c>
      <c r="J257" s="22" t="str">
        <f>VLOOKUP($H257,'NO TOCAR'!$A$2:$D$160,4,FALSE)</f>
        <v>CD</v>
      </c>
      <c r="K257" s="46" t="s">
        <v>354</v>
      </c>
      <c r="L257" s="53">
        <v>30</v>
      </c>
      <c r="M257" s="49">
        <v>17.7</v>
      </c>
      <c r="N257" s="49"/>
      <c r="O257" s="49"/>
      <c r="P257" s="49"/>
      <c r="Q257" s="49"/>
    </row>
    <row r="258" spans="1:17" s="1" customFormat="1" ht="43.5" hidden="1" x14ac:dyDescent="0.35">
      <c r="A258" s="13" t="s">
        <v>345</v>
      </c>
      <c r="B258" s="13" t="s">
        <v>346</v>
      </c>
      <c r="C258" s="13"/>
      <c r="D258" s="7">
        <v>44123</v>
      </c>
      <c r="E258" s="30">
        <v>44124</v>
      </c>
      <c r="F258" s="30">
        <v>44141</v>
      </c>
      <c r="G258" s="22" t="str">
        <f>VLOOKUP($H258,'NO TOCAR'!$A$2:$D$160,3,)</f>
        <v>Limitación de aforo en cines, teatros, auditorios, circos de carpa y espacios similares, así como locales y establecimientos destinados a actos y espectáculos culturales en interior</v>
      </c>
      <c r="H258" s="26" t="s">
        <v>42</v>
      </c>
      <c r="I258" s="22" t="str">
        <f>VLOOKUP($H258,'NO TOCAR'!$A$2:$D$160,2,FALSE)</f>
        <v>Cultura y eventos (exc. deportivos)</v>
      </c>
      <c r="J258" s="22" t="str">
        <f>VLOOKUP($H258,'NO TOCAR'!$A$2:$D$160,4,FALSE)</f>
        <v>CD</v>
      </c>
      <c r="K258" s="24" t="s">
        <v>347</v>
      </c>
      <c r="L258" s="24">
        <v>50</v>
      </c>
      <c r="M258" s="12"/>
      <c r="N258" s="14"/>
      <c r="O258" s="14"/>
      <c r="P258" s="14"/>
      <c r="Q258" s="14"/>
    </row>
    <row r="259" spans="1:17" s="1" customFormat="1" ht="43.5" hidden="1" x14ac:dyDescent="0.35">
      <c r="A259" s="13" t="s">
        <v>345</v>
      </c>
      <c r="B259" s="13" t="s">
        <v>346</v>
      </c>
      <c r="C259" s="13"/>
      <c r="D259" s="7">
        <v>44140</v>
      </c>
      <c r="E259" s="30">
        <v>44141</v>
      </c>
      <c r="F259" s="30">
        <v>44180</v>
      </c>
      <c r="G259" s="22" t="str">
        <f>VLOOKUP($H259,'NO TOCAR'!$A$2:$D$160,3,)</f>
        <v>Limitación de aforo en cines, teatros, auditorios, circos de carpa y espacios similares, así como locales y establecimientos destinados a actos y espectáculos culturales en interior</v>
      </c>
      <c r="H259" s="26" t="s">
        <v>42</v>
      </c>
      <c r="I259" s="22" t="str">
        <f>VLOOKUP($H259,'NO TOCAR'!$A$2:$D$160,2,FALSE)</f>
        <v>Cultura y eventos (exc. deportivos)</v>
      </c>
      <c r="J259" s="22" t="str">
        <f>VLOOKUP($H259,'NO TOCAR'!$A$2:$D$160,4,FALSE)</f>
        <v>CD</v>
      </c>
      <c r="K259" s="24" t="s">
        <v>347</v>
      </c>
      <c r="L259" s="24">
        <v>25</v>
      </c>
      <c r="M259" s="12"/>
      <c r="N259" s="14"/>
      <c r="O259" s="14"/>
      <c r="P259" s="14"/>
      <c r="Q259" s="14"/>
    </row>
    <row r="260" spans="1:17" s="1" customFormat="1" ht="43.5" hidden="1" x14ac:dyDescent="0.35">
      <c r="A260" s="13" t="s">
        <v>345</v>
      </c>
      <c r="B260" s="13" t="s">
        <v>346</v>
      </c>
      <c r="C260" s="13"/>
      <c r="D260" s="25">
        <v>44179</v>
      </c>
      <c r="E260" s="30">
        <v>44180</v>
      </c>
      <c r="F260" s="30">
        <v>44201</v>
      </c>
      <c r="G260" s="22" t="str">
        <f>VLOOKUP($H260,'NO TOCAR'!$A$2:$D$160,3,)</f>
        <v>Limitación de aforo en cines, teatros, auditorios, circos de carpa y espacios similares, así como locales y establecimientos destinados a actos y espectáculos culturales en interior</v>
      </c>
      <c r="H260" s="26" t="s">
        <v>42</v>
      </c>
      <c r="I260" s="22" t="str">
        <f>VLOOKUP($H260,'NO TOCAR'!$A$2:$D$160,2,FALSE)</f>
        <v>Cultura y eventos (exc. deportivos)</v>
      </c>
      <c r="J260" s="22" t="str">
        <f>VLOOKUP($H260,'NO TOCAR'!$A$2:$D$160,4,FALSE)</f>
        <v>CD</v>
      </c>
      <c r="K260" s="24" t="s">
        <v>347</v>
      </c>
      <c r="L260" s="24">
        <v>50</v>
      </c>
      <c r="M260" s="12"/>
      <c r="N260" s="14"/>
      <c r="O260" s="14"/>
      <c r="P260" s="14"/>
      <c r="Q260" s="14"/>
    </row>
    <row r="261" spans="1:17" ht="43.5" hidden="1" x14ac:dyDescent="0.35">
      <c r="A261" s="13" t="s">
        <v>345</v>
      </c>
      <c r="B261" s="13" t="s">
        <v>346</v>
      </c>
      <c r="C261" s="13"/>
      <c r="D261" s="17">
        <v>44200</v>
      </c>
      <c r="E261" s="17">
        <v>44201</v>
      </c>
      <c r="F261" s="17"/>
      <c r="G261" s="22" t="str">
        <f>VLOOKUP($H261,'NO TOCAR'!$A$2:$D$160,3,)</f>
        <v>Limitación de aforo en cines, teatros, auditorios, circos de carpa y espacios similares, así como locales y establecimientos destinados a actos y espectáculos culturales en interior</v>
      </c>
      <c r="H261" s="26" t="s">
        <v>42</v>
      </c>
      <c r="I261" s="22" t="str">
        <f>VLOOKUP($H261,'NO TOCAR'!$A$2:$D$160,2,FALSE)</f>
        <v>Cultura y eventos (exc. deportivos)</v>
      </c>
      <c r="J261" s="22" t="str">
        <f>VLOOKUP($H261,'NO TOCAR'!$A$2:$D$160,4,FALSE)</f>
        <v>CD</v>
      </c>
      <c r="K261" s="24" t="s">
        <v>347</v>
      </c>
      <c r="L261" s="24">
        <v>50</v>
      </c>
      <c r="M261" s="12"/>
      <c r="N261" s="14"/>
      <c r="O261" s="14"/>
      <c r="P261" s="14"/>
      <c r="Q261" s="14"/>
    </row>
    <row r="262" spans="1:17" x14ac:dyDescent="0.35">
      <c r="A262" s="36" t="s">
        <v>355</v>
      </c>
      <c r="B262" s="36" t="s">
        <v>346</v>
      </c>
      <c r="C262" s="36" t="s">
        <v>358</v>
      </c>
      <c r="D262" s="37">
        <v>44026</v>
      </c>
      <c r="E262" s="37">
        <v>44026</v>
      </c>
      <c r="F262" s="56">
        <v>44078</v>
      </c>
      <c r="G262" s="76" t="str">
        <f>VLOOKUP($H262,'NO TOCAR'!$A$2:$D$160,3,)</f>
        <v xml:space="preserve">Limitación de aforo piscinas de recreo </v>
      </c>
      <c r="H262" s="39" t="s">
        <v>50</v>
      </c>
      <c r="I262" s="22" t="str">
        <f>VLOOKUP($H262,'NO TOCAR'!$A$2:$D$160,2,FALSE)</f>
        <v>Deporte y actividad física</v>
      </c>
      <c r="J262" s="22" t="str">
        <f>VLOOKUP($H262,'NO TOCAR'!$A$2:$D$160,4,FALSE)</f>
        <v>AF</v>
      </c>
      <c r="K262" s="36" t="s">
        <v>347</v>
      </c>
      <c r="L262" s="36">
        <v>75</v>
      </c>
      <c r="M262" s="38">
        <v>80.400000000000006</v>
      </c>
      <c r="N262" s="38"/>
      <c r="O262" s="38"/>
      <c r="P262" s="38"/>
      <c r="Q262" s="38"/>
    </row>
    <row r="263" spans="1:17" x14ac:dyDescent="0.35">
      <c r="A263" s="36" t="s">
        <v>355</v>
      </c>
      <c r="B263" s="36" t="s">
        <v>346</v>
      </c>
      <c r="C263" s="36" t="s">
        <v>358</v>
      </c>
      <c r="D263" s="37">
        <v>44026</v>
      </c>
      <c r="E263" s="37">
        <v>44026</v>
      </c>
      <c r="F263" s="56">
        <v>44078</v>
      </c>
      <c r="G263" s="76" t="str">
        <f>VLOOKUP($H263,'NO TOCAR'!$A$2:$D$160,3,)</f>
        <v>Limitación de aforo piscinas deportivas</v>
      </c>
      <c r="H263" s="39" t="s">
        <v>80</v>
      </c>
      <c r="I263" s="22" t="str">
        <f>VLOOKUP($H263,'NO TOCAR'!$A$2:$D$160,2,FALSE)</f>
        <v>Deporte y actividad física</v>
      </c>
      <c r="J263" s="22" t="str">
        <f>VLOOKUP($H263,'NO TOCAR'!$A$2:$D$160,4,FALSE)</f>
        <v>AF</v>
      </c>
      <c r="K263" s="36" t="s">
        <v>347</v>
      </c>
      <c r="L263" s="36">
        <v>75</v>
      </c>
      <c r="M263" s="38">
        <v>80.400000000000006</v>
      </c>
      <c r="N263" s="38"/>
      <c r="O263" s="38"/>
      <c r="P263" s="38"/>
      <c r="Q263" s="38"/>
    </row>
    <row r="264" spans="1:17" x14ac:dyDescent="0.35">
      <c r="A264" s="46" t="s">
        <v>355</v>
      </c>
      <c r="B264" s="46" t="s">
        <v>346</v>
      </c>
      <c r="C264" s="46" t="s">
        <v>356</v>
      </c>
      <c r="D264" s="47">
        <v>44036</v>
      </c>
      <c r="E264" s="47">
        <v>44036</v>
      </c>
      <c r="F264" s="56">
        <v>44078</v>
      </c>
      <c r="G264" s="76" t="str">
        <f>VLOOKUP($H264,'NO TOCAR'!$A$2:$D$160,3,)</f>
        <v>Aforo  ecoturismo</v>
      </c>
      <c r="H264" s="48" t="s">
        <v>98</v>
      </c>
      <c r="I264" s="22" t="str">
        <f>VLOOKUP($H264,'NO TOCAR'!$A$2:$D$160,2,FALSE)</f>
        <v>Deporte y actividad física</v>
      </c>
      <c r="J264" s="22" t="str">
        <f>VLOOKUP($H264,'NO TOCAR'!$A$2:$D$160,4,FALSE)</f>
        <v>AF</v>
      </c>
      <c r="K264" s="46" t="s">
        <v>354</v>
      </c>
      <c r="L264" s="53">
        <v>20</v>
      </c>
      <c r="M264" s="49">
        <v>17.7</v>
      </c>
      <c r="N264" s="49"/>
      <c r="O264" s="49"/>
      <c r="P264" s="49"/>
      <c r="Q264" s="49"/>
    </row>
    <row r="265" spans="1:17" x14ac:dyDescent="0.35">
      <c r="A265" s="46" t="s">
        <v>355</v>
      </c>
      <c r="B265" s="46" t="s">
        <v>346</v>
      </c>
      <c r="C265" s="46" t="s">
        <v>356</v>
      </c>
      <c r="D265" s="47">
        <v>44036</v>
      </c>
      <c r="E265" s="47">
        <v>44036</v>
      </c>
      <c r="F265" s="56">
        <v>44078</v>
      </c>
      <c r="G265" s="76" t="str">
        <f>VLOOKUP($H265,'NO TOCAR'!$A$2:$D$160,3,)</f>
        <v>Aforo de asistencia de público en eventos deportivos en exteriores</v>
      </c>
      <c r="H265" s="48" t="s">
        <v>47</v>
      </c>
      <c r="I265" s="22" t="str">
        <f>VLOOKUP($H265,'NO TOCAR'!$A$2:$D$160,2,FALSE)</f>
        <v>Deporte y actividad física</v>
      </c>
      <c r="J265" s="22" t="str">
        <f>VLOOKUP($H265,'NO TOCAR'!$A$2:$D$160,4,FALSE)</f>
        <v>AF</v>
      </c>
      <c r="K265" s="46" t="s">
        <v>347</v>
      </c>
      <c r="L265" s="53">
        <v>33</v>
      </c>
      <c r="M265" s="49">
        <v>17.7</v>
      </c>
      <c r="N265" s="49"/>
      <c r="O265" s="49"/>
      <c r="P265" s="49"/>
      <c r="Q265" s="49"/>
    </row>
    <row r="266" spans="1:17" x14ac:dyDescent="0.35">
      <c r="A266" s="46" t="s">
        <v>355</v>
      </c>
      <c r="B266" s="46" t="s">
        <v>346</v>
      </c>
      <c r="C266" s="46" t="s">
        <v>356</v>
      </c>
      <c r="D266" s="47">
        <v>44036</v>
      </c>
      <c r="E266" s="47">
        <v>44036</v>
      </c>
      <c r="F266" s="56">
        <v>44078</v>
      </c>
      <c r="G266" s="76" t="str">
        <f>VLOOKUP($H266,'NO TOCAR'!$A$2:$D$160,3,)</f>
        <v>Aforo de asistencia de público en eventos deportivos en exteriores</v>
      </c>
      <c r="H266" s="48" t="s">
        <v>47</v>
      </c>
      <c r="I266" s="22" t="str">
        <f>VLOOKUP($H266,'NO TOCAR'!$A$2:$D$160,2,FALSE)</f>
        <v>Deporte y actividad física</v>
      </c>
      <c r="J266" s="22" t="str">
        <f>VLOOKUP($H266,'NO TOCAR'!$A$2:$D$160,4,FALSE)</f>
        <v>AF</v>
      </c>
      <c r="K266" s="46" t="s">
        <v>354</v>
      </c>
      <c r="L266" s="53">
        <v>400</v>
      </c>
      <c r="M266" s="49">
        <v>17.7</v>
      </c>
      <c r="N266" s="49"/>
      <c r="O266" s="49"/>
      <c r="P266" s="49"/>
      <c r="Q266" s="49"/>
    </row>
    <row r="267" spans="1:17" x14ac:dyDescent="0.35">
      <c r="A267" s="42" t="s">
        <v>355</v>
      </c>
      <c r="B267" s="42" t="s">
        <v>346</v>
      </c>
      <c r="C267" s="42" t="s">
        <v>356</v>
      </c>
      <c r="D267" s="41">
        <v>44036</v>
      </c>
      <c r="E267" s="41">
        <v>44036</v>
      </c>
      <c r="F267" s="56">
        <v>44078</v>
      </c>
      <c r="G267" s="76" t="str">
        <f>VLOOKUP($H267,'NO TOCAR'!$A$2:$D$160,3,)</f>
        <v xml:space="preserve">Limitación de aforo piscinas de recreo </v>
      </c>
      <c r="H267" s="50" t="s">
        <v>50</v>
      </c>
      <c r="I267" s="22" t="str">
        <f>VLOOKUP($H267,'NO TOCAR'!$A$2:$D$160,2,FALSE)</f>
        <v>Deporte y actividad física</v>
      </c>
      <c r="J267" s="22" t="str">
        <f>VLOOKUP($H267,'NO TOCAR'!$A$2:$D$160,4,FALSE)</f>
        <v>AF</v>
      </c>
      <c r="K267" s="51" t="s">
        <v>347</v>
      </c>
      <c r="L267" s="51">
        <v>75</v>
      </c>
      <c r="M267" s="44">
        <v>49.9</v>
      </c>
      <c r="N267" s="44"/>
      <c r="O267" s="44"/>
      <c r="P267" s="44"/>
      <c r="Q267" s="44"/>
    </row>
    <row r="268" spans="1:17" x14ac:dyDescent="0.35">
      <c r="A268" s="46" t="s">
        <v>355</v>
      </c>
      <c r="B268" s="46" t="s">
        <v>346</v>
      </c>
      <c r="C268" s="46" t="s">
        <v>356</v>
      </c>
      <c r="D268" s="47">
        <v>44036</v>
      </c>
      <c r="E268" s="47">
        <v>44036</v>
      </c>
      <c r="F268" s="56">
        <v>44078</v>
      </c>
      <c r="G268" s="76" t="str">
        <f>VLOOKUP($H268,'NO TOCAR'!$A$2:$D$160,3,)</f>
        <v xml:space="preserve">Limitación de aforo piscinas de recreo </v>
      </c>
      <c r="H268" s="48" t="s">
        <v>50</v>
      </c>
      <c r="I268" s="22" t="str">
        <f>VLOOKUP($H268,'NO TOCAR'!$A$2:$D$160,2,FALSE)</f>
        <v>Deporte y actividad física</v>
      </c>
      <c r="J268" s="22" t="str">
        <f>VLOOKUP($H268,'NO TOCAR'!$A$2:$D$160,4,FALSE)</f>
        <v>AF</v>
      </c>
      <c r="K268" s="46" t="s">
        <v>347</v>
      </c>
      <c r="L268" s="53">
        <v>33</v>
      </c>
      <c r="M268" s="49">
        <v>17.7</v>
      </c>
      <c r="N268" s="49"/>
      <c r="O268" s="49"/>
      <c r="P268" s="49"/>
      <c r="Q268" s="49"/>
    </row>
    <row r="269" spans="1:17" x14ac:dyDescent="0.35">
      <c r="A269" s="42" t="s">
        <v>355</v>
      </c>
      <c r="B269" s="42" t="s">
        <v>346</v>
      </c>
      <c r="C269" s="42" t="s">
        <v>356</v>
      </c>
      <c r="D269" s="41">
        <v>44036</v>
      </c>
      <c r="E269" s="41">
        <v>44036</v>
      </c>
      <c r="F269" s="56">
        <v>44078</v>
      </c>
      <c r="G269" s="76" t="str">
        <f>VLOOKUP($H269,'NO TOCAR'!$A$2:$D$160,3,)</f>
        <v>Limitación de aforo piscinas deportivas</v>
      </c>
      <c r="H269" s="50" t="s">
        <v>80</v>
      </c>
      <c r="I269" s="22" t="str">
        <f>VLOOKUP($H269,'NO TOCAR'!$A$2:$D$160,2,FALSE)</f>
        <v>Deporte y actividad física</v>
      </c>
      <c r="J269" s="22" t="str">
        <f>VLOOKUP($H269,'NO TOCAR'!$A$2:$D$160,4,FALSE)</f>
        <v>AF</v>
      </c>
      <c r="K269" s="51" t="s">
        <v>347</v>
      </c>
      <c r="L269" s="51">
        <v>75</v>
      </c>
      <c r="M269" s="44">
        <v>49.9</v>
      </c>
      <c r="N269" s="44"/>
      <c r="O269" s="44"/>
      <c r="P269" s="44"/>
      <c r="Q269" s="44"/>
    </row>
    <row r="270" spans="1:17" x14ac:dyDescent="0.35">
      <c r="A270" s="46" t="s">
        <v>355</v>
      </c>
      <c r="B270" s="46" t="s">
        <v>346</v>
      </c>
      <c r="C270" s="46" t="s">
        <v>356</v>
      </c>
      <c r="D270" s="47">
        <v>44036</v>
      </c>
      <c r="E270" s="47">
        <v>44036</v>
      </c>
      <c r="F270" s="56">
        <v>44078</v>
      </c>
      <c r="G270" s="76" t="str">
        <f>VLOOKUP($H270,'NO TOCAR'!$A$2:$D$160,3,)</f>
        <v>Limitación de aforo piscinas deportivas</v>
      </c>
      <c r="H270" s="48" t="s">
        <v>80</v>
      </c>
      <c r="I270" s="22" t="str">
        <f>VLOOKUP($H270,'NO TOCAR'!$A$2:$D$160,2,FALSE)</f>
        <v>Deporte y actividad física</v>
      </c>
      <c r="J270" s="22" t="str">
        <f>VLOOKUP($H270,'NO TOCAR'!$A$2:$D$160,4,FALSE)</f>
        <v>AF</v>
      </c>
      <c r="K270" s="46" t="s">
        <v>347</v>
      </c>
      <c r="L270" s="53">
        <v>33</v>
      </c>
      <c r="M270" s="49">
        <v>17.7</v>
      </c>
      <c r="N270" s="49"/>
      <c r="O270" s="49"/>
      <c r="P270" s="49"/>
      <c r="Q270" s="49"/>
    </row>
    <row r="271" spans="1:17" x14ac:dyDescent="0.35">
      <c r="A271" s="46" t="s">
        <v>355</v>
      </c>
      <c r="B271" s="46" t="s">
        <v>346</v>
      </c>
      <c r="C271" s="46" t="s">
        <v>356</v>
      </c>
      <c r="D271" s="47">
        <v>44036</v>
      </c>
      <c r="E271" s="47">
        <v>44036</v>
      </c>
      <c r="F271" s="56">
        <v>44078</v>
      </c>
      <c r="G271" s="76" t="str">
        <f>VLOOKUP($H271,'NO TOCAR'!$A$2:$D$160,3,)</f>
        <v>Limitación de aforo ZONAS INTERIORES de instalaciones y centros deportivos (fuera del ámbito regulado por el Consejo Superior de Deportes)</v>
      </c>
      <c r="H271" s="48" t="s">
        <v>46</v>
      </c>
      <c r="I271" s="22" t="str">
        <f>VLOOKUP($H271,'NO TOCAR'!$A$2:$D$160,2,FALSE)</f>
        <v>Deporte y actividad física</v>
      </c>
      <c r="J271" s="22" t="str">
        <f>VLOOKUP($H271,'NO TOCAR'!$A$2:$D$160,4,FALSE)</f>
        <v>AF</v>
      </c>
      <c r="K271" s="46" t="s">
        <v>347</v>
      </c>
      <c r="L271" s="53">
        <v>33</v>
      </c>
      <c r="M271" s="49">
        <v>17.7</v>
      </c>
      <c r="N271" s="49"/>
      <c r="O271" s="49"/>
      <c r="P271" s="49"/>
      <c r="Q271" s="49"/>
    </row>
    <row r="272" spans="1:17" x14ac:dyDescent="0.35">
      <c r="A272" s="13" t="s">
        <v>345</v>
      </c>
      <c r="B272" s="13" t="s">
        <v>346</v>
      </c>
      <c r="C272" s="13"/>
      <c r="D272" s="7">
        <v>44123</v>
      </c>
      <c r="E272" s="30">
        <v>44124</v>
      </c>
      <c r="F272" s="30">
        <v>44141</v>
      </c>
      <c r="G272" s="76" t="str">
        <f>VLOOKUP($H272,'NO TOCAR'!$A$2:$D$160,3,)</f>
        <v xml:space="preserve">Limitación de aforo piscinas de recreo </v>
      </c>
      <c r="H272" s="31" t="s">
        <v>50</v>
      </c>
      <c r="I272" s="22" t="str">
        <f>VLOOKUP($H272,'NO TOCAR'!$A$2:$D$160,2,FALSE)</f>
        <v>Deporte y actividad física</v>
      </c>
      <c r="J272" s="22" t="str">
        <f>VLOOKUP($H272,'NO TOCAR'!$A$2:$D$160,4,FALSE)</f>
        <v>AF</v>
      </c>
      <c r="K272" s="24" t="s">
        <v>347</v>
      </c>
      <c r="L272" s="24">
        <v>50</v>
      </c>
      <c r="M272" s="12"/>
      <c r="N272" s="14"/>
      <c r="O272" s="14"/>
      <c r="P272" s="14"/>
      <c r="Q272" s="14"/>
    </row>
    <row r="273" spans="1:17" x14ac:dyDescent="0.35">
      <c r="A273" s="13" t="s">
        <v>345</v>
      </c>
      <c r="B273" s="13" t="s">
        <v>346</v>
      </c>
      <c r="C273" s="13"/>
      <c r="D273" s="7">
        <v>44123</v>
      </c>
      <c r="E273" s="30">
        <v>44124</v>
      </c>
      <c r="F273" s="30">
        <v>44141</v>
      </c>
      <c r="G273" s="76" t="str">
        <f>VLOOKUP($H273,'NO TOCAR'!$A$2:$D$160,3,)</f>
        <v>Limitación de aforo piscinas deportivas</v>
      </c>
      <c r="H273" s="31" t="s">
        <v>80</v>
      </c>
      <c r="I273" s="22" t="str">
        <f>VLOOKUP($H273,'NO TOCAR'!$A$2:$D$160,2,FALSE)</f>
        <v>Deporte y actividad física</v>
      </c>
      <c r="J273" s="22" t="str">
        <f>VLOOKUP($H273,'NO TOCAR'!$A$2:$D$160,4,FALSE)</f>
        <v>AF</v>
      </c>
      <c r="K273" s="24" t="s">
        <v>347</v>
      </c>
      <c r="L273" s="24">
        <v>50</v>
      </c>
      <c r="M273" s="12"/>
      <c r="N273" s="14"/>
      <c r="O273" s="14"/>
      <c r="P273" s="14"/>
      <c r="Q273" s="14"/>
    </row>
    <row r="274" spans="1:17" x14ac:dyDescent="0.35">
      <c r="A274" s="13" t="s">
        <v>345</v>
      </c>
      <c r="B274" s="13" t="s">
        <v>346</v>
      </c>
      <c r="C274" s="13"/>
      <c r="D274" s="7">
        <v>44123</v>
      </c>
      <c r="E274" s="30">
        <v>44124</v>
      </c>
      <c r="F274" s="30">
        <v>44141</v>
      </c>
      <c r="G274" s="76" t="str">
        <f>VLOOKUP($H274,'NO TOCAR'!$A$2:$D$160,3,)</f>
        <v>Limitación de aforo ZONAS INTERIORES de instalaciones y centros deportivos (fuera del ámbito regulado por el Consejo Superior de Deportes)</v>
      </c>
      <c r="H274" s="26" t="s">
        <v>46</v>
      </c>
      <c r="I274" s="22" t="str">
        <f>VLOOKUP($H274,'NO TOCAR'!$A$2:$D$160,2,FALSE)</f>
        <v>Deporte y actividad física</v>
      </c>
      <c r="J274" s="22" t="str">
        <f>VLOOKUP($H274,'NO TOCAR'!$A$2:$D$160,4,FALSE)</f>
        <v>AF</v>
      </c>
      <c r="K274" s="24" t="s">
        <v>347</v>
      </c>
      <c r="L274" s="24">
        <v>50</v>
      </c>
      <c r="M274" s="12"/>
      <c r="N274" s="14"/>
      <c r="O274" s="14"/>
      <c r="P274" s="14"/>
      <c r="Q274" s="14"/>
    </row>
    <row r="275" spans="1:17" x14ac:dyDescent="0.35">
      <c r="A275" s="13" t="s">
        <v>345</v>
      </c>
      <c r="B275" s="13" t="s">
        <v>346</v>
      </c>
      <c r="C275" s="13"/>
      <c r="D275" s="7">
        <v>44123</v>
      </c>
      <c r="E275" s="30">
        <v>44124</v>
      </c>
      <c r="F275" s="30">
        <v>44211</v>
      </c>
      <c r="G275" s="76" t="str">
        <f>VLOOKUP($H275,'NO TOCAR'!$A$2:$D$160,3,)</f>
        <v>Limitaciones a la actividad fisica grupal en exteriores</v>
      </c>
      <c r="H275" s="26" t="s">
        <v>45</v>
      </c>
      <c r="I275" s="22" t="str">
        <f>VLOOKUP($H275,'NO TOCAR'!$A$2:$D$160,2,FALSE)</f>
        <v>Deporte y actividad física</v>
      </c>
      <c r="J275" s="22" t="str">
        <f>VLOOKUP($H275,'NO TOCAR'!$A$2:$D$160,4,FALSE)</f>
        <v>AF</v>
      </c>
      <c r="K275" s="24" t="s">
        <v>354</v>
      </c>
      <c r="L275" s="24">
        <v>6</v>
      </c>
      <c r="M275" s="12"/>
      <c r="N275" s="14"/>
      <c r="O275" s="14"/>
      <c r="P275" s="14"/>
      <c r="Q275" s="14"/>
    </row>
    <row r="276" spans="1:17" x14ac:dyDescent="0.35">
      <c r="A276" s="13" t="s">
        <v>345</v>
      </c>
      <c r="B276" s="13" t="s">
        <v>346</v>
      </c>
      <c r="C276" s="13"/>
      <c r="D276" s="7">
        <v>44123</v>
      </c>
      <c r="E276" s="30">
        <v>44124</v>
      </c>
      <c r="F276" s="77">
        <v>44245</v>
      </c>
      <c r="G276" s="76" t="str">
        <f>VLOOKUP($H276,'NO TOCAR'!$A$2:$D$160,3,)</f>
        <v>Prohibición de asistencia de público en eventos deportivos en exteriores</v>
      </c>
      <c r="H276" s="31" t="s">
        <v>87</v>
      </c>
      <c r="I276" s="22" t="str">
        <f>VLOOKUP($H276,'NO TOCAR'!$A$2:$D$160,2,FALSE)</f>
        <v>Deporte y actividad física</v>
      </c>
      <c r="J276" s="22" t="str">
        <f>VLOOKUP($H276,'NO TOCAR'!$A$2:$D$160,4,FALSE)</f>
        <v>AF</v>
      </c>
      <c r="K276" s="24"/>
      <c r="L276" s="24"/>
      <c r="M276" s="12"/>
      <c r="N276" s="14"/>
      <c r="O276" s="14"/>
      <c r="P276" s="14"/>
      <c r="Q276" s="14"/>
    </row>
    <row r="277" spans="1:17" x14ac:dyDescent="0.35">
      <c r="A277" s="13" t="s">
        <v>345</v>
      </c>
      <c r="B277" s="13" t="s">
        <v>346</v>
      </c>
      <c r="C277" s="13"/>
      <c r="D277" s="7">
        <v>44123</v>
      </c>
      <c r="E277" s="30">
        <v>44124</v>
      </c>
      <c r="F277" s="77">
        <v>44245</v>
      </c>
      <c r="G277" s="76" t="str">
        <f>VLOOKUP($H277,'NO TOCAR'!$A$2:$D$160,3,)</f>
        <v>Prohibición de asistencia de público en eventos deportivos en interiores</v>
      </c>
      <c r="H277" s="31" t="s">
        <v>89</v>
      </c>
      <c r="I277" s="22" t="str">
        <f>VLOOKUP($H277,'NO TOCAR'!$A$2:$D$160,2,FALSE)</f>
        <v>Deporte y actividad física</v>
      </c>
      <c r="J277" s="22" t="str">
        <f>VLOOKUP($H277,'NO TOCAR'!$A$2:$D$160,4,FALSE)</f>
        <v>AF</v>
      </c>
      <c r="K277" s="24"/>
      <c r="L277" s="24"/>
      <c r="M277" s="12"/>
      <c r="N277" s="14"/>
      <c r="O277" s="14"/>
      <c r="P277" s="14"/>
      <c r="Q277" s="14"/>
    </row>
    <row r="278" spans="1:17" x14ac:dyDescent="0.35">
      <c r="A278" s="13" t="s">
        <v>345</v>
      </c>
      <c r="B278" s="13" t="s">
        <v>346</v>
      </c>
      <c r="C278" s="13"/>
      <c r="D278" s="7">
        <v>44140</v>
      </c>
      <c r="E278" s="30">
        <v>44141</v>
      </c>
      <c r="F278" s="30">
        <v>44180</v>
      </c>
      <c r="G278" s="76" t="str">
        <f>VLOOKUP($H278,'NO TOCAR'!$A$2:$D$160,3,)</f>
        <v>Limitación de aforo ZONAS INTERIORES de instalaciones y centros deportivos (fuera del ámbito regulado por el Consejo Superior de Deportes)</v>
      </c>
      <c r="H278" s="31" t="s">
        <v>46</v>
      </c>
      <c r="I278" s="22" t="str">
        <f>VLOOKUP($H278,'NO TOCAR'!$A$2:$D$160,2,FALSE)</f>
        <v>Deporte y actividad física</v>
      </c>
      <c r="J278" s="22" t="str">
        <f>VLOOKUP($H278,'NO TOCAR'!$A$2:$D$160,4,FALSE)</f>
        <v>AF</v>
      </c>
      <c r="K278" s="24" t="s">
        <v>347</v>
      </c>
      <c r="L278" s="24">
        <v>25</v>
      </c>
      <c r="M278" s="12"/>
      <c r="N278" s="14"/>
      <c r="O278" s="14"/>
      <c r="P278" s="14"/>
      <c r="Q278" s="14"/>
    </row>
    <row r="279" spans="1:17" x14ac:dyDescent="0.35">
      <c r="A279" s="13" t="s">
        <v>345</v>
      </c>
      <c r="B279" s="13" t="s">
        <v>346</v>
      </c>
      <c r="C279" s="13"/>
      <c r="D279" s="7">
        <v>44140</v>
      </c>
      <c r="E279" s="16">
        <v>44141</v>
      </c>
      <c r="F279" s="16"/>
      <c r="G279" s="76" t="str">
        <f>VLOOKUP($H279,'NO TOCAR'!$A$2:$D$160,3,)</f>
        <v>Cancelación / prohibición de actividades deportivas grupales con contacto físico</v>
      </c>
      <c r="H279" s="6" t="s">
        <v>73</v>
      </c>
      <c r="I279" s="22" t="str">
        <f>VLOOKUP($H279,'NO TOCAR'!$A$2:$D$160,2,FALSE)</f>
        <v>Deporte y actividad física</v>
      </c>
      <c r="J279" s="22" t="str">
        <f>VLOOKUP($H279,'NO TOCAR'!$A$2:$D$160,4,FALSE)</f>
        <v>AF</v>
      </c>
      <c r="K279" s="13"/>
      <c r="L279" s="13"/>
      <c r="M279" s="12"/>
      <c r="N279" s="14"/>
      <c r="O279" s="14"/>
      <c r="P279" s="14"/>
      <c r="Q279" s="14"/>
    </row>
    <row r="280" spans="1:17" x14ac:dyDescent="0.35">
      <c r="A280" s="13" t="s">
        <v>345</v>
      </c>
      <c r="B280" s="13" t="s">
        <v>346</v>
      </c>
      <c r="C280" s="13"/>
      <c r="D280" s="7">
        <v>44140</v>
      </c>
      <c r="E280" s="30">
        <v>44141</v>
      </c>
      <c r="F280" s="70">
        <v>44544</v>
      </c>
      <c r="G280" s="76" t="str">
        <f>VLOOKUP($H280,'NO TOCAR'!$A$2:$D$160,3,)</f>
        <v>Cierre de piscinas deportivas</v>
      </c>
      <c r="H280" s="31" t="s">
        <v>78</v>
      </c>
      <c r="I280" s="22" t="str">
        <f>VLOOKUP($H280,'NO TOCAR'!$A$2:$D$160,2,FALSE)</f>
        <v>Deporte y actividad física</v>
      </c>
      <c r="J280" s="22" t="str">
        <f>VLOOKUP($H280,'NO TOCAR'!$A$2:$D$160,4,FALSE)</f>
        <v>AF</v>
      </c>
      <c r="K280" s="24"/>
      <c r="L280" s="24"/>
      <c r="M280" s="12"/>
      <c r="N280" s="14"/>
      <c r="O280" s="14"/>
      <c r="P280" s="14"/>
      <c r="Q280" s="14"/>
    </row>
    <row r="281" spans="1:17" x14ac:dyDescent="0.35">
      <c r="A281" s="13" t="s">
        <v>345</v>
      </c>
      <c r="B281" s="13" t="s">
        <v>346</v>
      </c>
      <c r="C281" s="13"/>
      <c r="D281" s="7">
        <v>41257</v>
      </c>
      <c r="E281" s="30">
        <v>44180</v>
      </c>
      <c r="F281" s="30"/>
      <c r="G281" s="76" t="str">
        <f>VLOOKUP($H281,'NO TOCAR'!$A$2:$D$160,3,)</f>
        <v>Limitación de aforo piscinas deportivas</v>
      </c>
      <c r="H281" s="31" t="s">
        <v>80</v>
      </c>
      <c r="I281" s="22" t="str">
        <f>VLOOKUP($H281,'NO TOCAR'!$A$2:$D$160,2,FALSE)</f>
        <v>Deporte y actividad física</v>
      </c>
      <c r="J281" s="22" t="str">
        <f>VLOOKUP($H281,'NO TOCAR'!$A$2:$D$160,4,FALSE)</f>
        <v>AF</v>
      </c>
      <c r="K281" s="24" t="s">
        <v>347</v>
      </c>
      <c r="L281" s="24">
        <v>25</v>
      </c>
      <c r="M281" s="12"/>
      <c r="N281" s="14"/>
      <c r="O281" s="14"/>
      <c r="P281" s="14"/>
      <c r="Q281" s="14"/>
    </row>
    <row r="282" spans="1:17" x14ac:dyDescent="0.35">
      <c r="A282" s="13" t="s">
        <v>345</v>
      </c>
      <c r="B282" s="13" t="s">
        <v>346</v>
      </c>
      <c r="C282" s="13"/>
      <c r="D282" s="7">
        <v>41257</v>
      </c>
      <c r="E282" s="30">
        <v>44180</v>
      </c>
      <c r="F282" s="70"/>
      <c r="G282" s="76" t="str">
        <f>VLOOKUP($H282,'NO TOCAR'!$A$2:$D$160,3,)</f>
        <v xml:space="preserve">Limitación de aforo piscinas de recreo </v>
      </c>
      <c r="H282" s="31" t="s">
        <v>50</v>
      </c>
      <c r="I282" s="22" t="str">
        <f>VLOOKUP($H282,'NO TOCAR'!$A$2:$D$160,2,FALSE)</f>
        <v>Deporte y actividad física</v>
      </c>
      <c r="J282" s="22" t="str">
        <f>VLOOKUP($H282,'NO TOCAR'!$A$2:$D$160,4,FALSE)</f>
        <v>AF</v>
      </c>
      <c r="K282" s="24" t="s">
        <v>347</v>
      </c>
      <c r="L282" s="24">
        <v>25</v>
      </c>
      <c r="M282" s="12"/>
      <c r="N282" s="14"/>
      <c r="O282" s="14"/>
      <c r="P282" s="14"/>
      <c r="Q282" s="14"/>
    </row>
    <row r="283" spans="1:17" x14ac:dyDescent="0.35">
      <c r="A283" s="13" t="s">
        <v>345</v>
      </c>
      <c r="B283" s="13" t="s">
        <v>346</v>
      </c>
      <c r="C283" s="13"/>
      <c r="D283" s="7">
        <v>41257</v>
      </c>
      <c r="E283" s="30">
        <v>44180</v>
      </c>
      <c r="F283" s="30"/>
      <c r="G283" s="76" t="str">
        <f>VLOOKUP($H283,'NO TOCAR'!$A$2:$D$160,3,)</f>
        <v>Limitación de aforo ZONAS INTERIORES de instalaciones y centros deportivos (fuera del ámbito regulado por el Consejo Superior de Deportes)</v>
      </c>
      <c r="H283" s="31" t="s">
        <v>46</v>
      </c>
      <c r="I283" s="22" t="str">
        <f>VLOOKUP($H283,'NO TOCAR'!$A$2:$D$160,2,FALSE)</f>
        <v>Deporte y actividad física</v>
      </c>
      <c r="J283" s="22" t="str">
        <f>VLOOKUP($H283,'NO TOCAR'!$A$2:$D$160,4,FALSE)</f>
        <v>AF</v>
      </c>
      <c r="K283" s="24" t="s">
        <v>347</v>
      </c>
      <c r="L283" s="24">
        <v>30</v>
      </c>
      <c r="M283" s="12"/>
      <c r="N283" s="14"/>
      <c r="O283" s="14"/>
      <c r="P283" s="14"/>
      <c r="Q283" s="14"/>
    </row>
    <row r="284" spans="1:17" hidden="1" x14ac:dyDescent="0.35">
      <c r="A284" s="13" t="s">
        <v>345</v>
      </c>
      <c r="B284" s="13" t="s">
        <v>346</v>
      </c>
      <c r="C284" s="13"/>
      <c r="D284" s="7">
        <v>44140</v>
      </c>
      <c r="E284" s="30">
        <v>44141</v>
      </c>
      <c r="F284" s="30">
        <v>44223</v>
      </c>
      <c r="G284" s="22" t="str">
        <f>VLOOKUP($H284,'NO TOCAR'!$A$2:$D$160,3,)</f>
        <v>Limitación de horario comercio no esencial</v>
      </c>
      <c r="H284" s="31" t="s">
        <v>176</v>
      </c>
      <c r="I284" s="22" t="str">
        <f>VLOOKUP($H284,'NO TOCAR'!$A$2:$D$160,2,FALSE)</f>
        <v>Comercio</v>
      </c>
      <c r="J284" s="22" t="str">
        <f>VLOOKUP($H284,'NO TOCAR'!$A$2:$D$160,4,FALSE)</f>
        <v>CO</v>
      </c>
      <c r="K284" t="s">
        <v>366</v>
      </c>
      <c r="L284" s="29">
        <v>0.83333333333333337</v>
      </c>
      <c r="M284" s="12"/>
      <c r="N284" s="14"/>
      <c r="O284" s="14"/>
      <c r="P284" s="14"/>
      <c r="Q284" s="14"/>
    </row>
    <row r="285" spans="1:17" hidden="1" x14ac:dyDescent="0.35">
      <c r="A285" s="13" t="s">
        <v>345</v>
      </c>
      <c r="B285" s="13" t="s">
        <v>346</v>
      </c>
      <c r="D285" s="17">
        <v>44211</v>
      </c>
      <c r="E285" s="17">
        <v>44212</v>
      </c>
      <c r="F285" s="17">
        <v>44252</v>
      </c>
      <c r="G285" s="22" t="s">
        <v>175</v>
      </c>
      <c r="H285" s="31" t="s">
        <v>176</v>
      </c>
      <c r="I285" s="22" t="s">
        <v>161</v>
      </c>
      <c r="J285" s="22" t="s">
        <v>163</v>
      </c>
      <c r="K285" s="24" t="s">
        <v>382</v>
      </c>
      <c r="L285" s="29">
        <v>0.75</v>
      </c>
    </row>
    <row r="286" spans="1:17" hidden="1" x14ac:dyDescent="0.35">
      <c r="A286" s="13" t="s">
        <v>355</v>
      </c>
      <c r="B286" s="13" t="s">
        <v>346</v>
      </c>
      <c r="C286" s="13" t="s">
        <v>361</v>
      </c>
      <c r="D286" s="7">
        <v>44223</v>
      </c>
      <c r="E286" s="30">
        <v>44224</v>
      </c>
      <c r="F286" s="30">
        <v>44252</v>
      </c>
      <c r="G286" s="22" t="str">
        <f>VLOOKUP($H286,'NO TOCAR'!$A$2:$D$160,3,)</f>
        <v>Limitación de horario comercio no esencial</v>
      </c>
      <c r="H286" s="26" t="s">
        <v>176</v>
      </c>
      <c r="I286" s="22" t="str">
        <f>VLOOKUP($H286,'NO TOCAR'!$A$2:$D$160,2,FALSE)</f>
        <v>Comercio</v>
      </c>
      <c r="J286" s="22" t="str">
        <f>VLOOKUP($H286,'NO TOCAR'!$A$2:$D$160,4,FALSE)</f>
        <v>CO</v>
      </c>
      <c r="K286" s="24" t="s">
        <v>366</v>
      </c>
      <c r="L286" s="29">
        <v>0.75</v>
      </c>
      <c r="M286" s="12">
        <v>26.7</v>
      </c>
    </row>
    <row r="287" spans="1:17" hidden="1" x14ac:dyDescent="0.35">
      <c r="A287" s="13" t="s">
        <v>345</v>
      </c>
      <c r="B287" s="13" t="s">
        <v>346</v>
      </c>
      <c r="C287" s="13"/>
      <c r="D287" s="7">
        <v>44083</v>
      </c>
      <c r="E287" s="7">
        <v>44083</v>
      </c>
      <c r="F287" s="30">
        <v>44124</v>
      </c>
      <c r="G287" s="22" t="str">
        <f>VLOOKUP($H287,'NO TOCAR'!$A$2:$D$160,3,)</f>
        <v>Limitación de horario en locles de apuestas, bingos etc.</v>
      </c>
      <c r="H287" s="26" t="s">
        <v>227</v>
      </c>
      <c r="I287" s="22" t="str">
        <f>VLOOKUP($H287,'NO TOCAR'!$A$2:$D$160,2,FALSE)</f>
        <v>Locales de apuestas</v>
      </c>
      <c r="J287" s="22" t="str">
        <f>VLOOKUP($H287,'NO TOCAR'!$A$2:$D$160,4,FALSE)</f>
        <v>LA</v>
      </c>
      <c r="K287" t="s">
        <v>366</v>
      </c>
      <c r="L287" s="29">
        <v>4.1666666666666664E-2</v>
      </c>
      <c r="M287" s="27"/>
      <c r="N287" s="28"/>
      <c r="O287" s="28"/>
      <c r="P287" s="28"/>
      <c r="Q287" s="28"/>
    </row>
    <row r="288" spans="1:17" hidden="1" x14ac:dyDescent="0.35">
      <c r="A288" s="13" t="s">
        <v>345</v>
      </c>
      <c r="B288" s="13" t="s">
        <v>346</v>
      </c>
      <c r="C288" s="46"/>
      <c r="D288" s="25">
        <v>44123</v>
      </c>
      <c r="E288" s="30">
        <v>44124</v>
      </c>
      <c r="F288" s="16">
        <v>44141</v>
      </c>
      <c r="G288" s="22" t="str">
        <f>VLOOKUP($H288,'NO TOCAR'!$A$2:$D$160,3,)</f>
        <v>Limitación de horario en locles de apuestas, bingos etc.</v>
      </c>
      <c r="H288" s="26" t="s">
        <v>227</v>
      </c>
      <c r="I288" s="22" t="str">
        <f>VLOOKUP($H288,'NO TOCAR'!$A$2:$D$160,2,FALSE)</f>
        <v>Locales de apuestas</v>
      </c>
      <c r="J288" s="22" t="str">
        <f>VLOOKUP($H288,'NO TOCAR'!$A$2:$D$160,4,FALSE)</f>
        <v>LA</v>
      </c>
      <c r="K288" t="s">
        <v>366</v>
      </c>
      <c r="L288" s="29">
        <v>0.95833333333333337</v>
      </c>
      <c r="M288" s="49"/>
      <c r="N288" s="49"/>
      <c r="O288" s="49"/>
      <c r="P288" s="49"/>
      <c r="Q288" s="49"/>
    </row>
    <row r="289" spans="1:17" ht="29" hidden="1" x14ac:dyDescent="0.35">
      <c r="A289" s="46" t="s">
        <v>355</v>
      </c>
      <c r="B289" s="46" t="s">
        <v>346</v>
      </c>
      <c r="C289" s="46" t="s">
        <v>356</v>
      </c>
      <c r="D289" s="47">
        <v>44036</v>
      </c>
      <c r="E289" s="47">
        <v>44036</v>
      </c>
      <c r="F289" s="47">
        <v>44048</v>
      </c>
      <c r="G289" s="22" t="str">
        <f>VLOOKUP($H289,'NO TOCAR'!$A$2:$D$160,3,)</f>
        <v>Limitación de horario en restaurantes y bares</v>
      </c>
      <c r="H289" s="48" t="s">
        <v>279</v>
      </c>
      <c r="I289" s="22" t="str">
        <f>VLOOKUP($H289,'NO TOCAR'!$A$2:$D$160,2,FALSE)</f>
        <v>Restauración, hostelería y bares</v>
      </c>
      <c r="J289" s="22" t="str">
        <f>VLOOKUP($H289,'NO TOCAR'!$A$2:$D$160,4,FALSE)</f>
        <v>RH</v>
      </c>
      <c r="K289" s="46" t="s">
        <v>359</v>
      </c>
      <c r="L289" s="54">
        <v>0</v>
      </c>
      <c r="M289" s="49">
        <v>17.7</v>
      </c>
      <c r="N289" s="49"/>
      <c r="O289" s="49"/>
      <c r="P289" s="49"/>
      <c r="Q289" s="49"/>
    </row>
    <row r="290" spans="1:17" ht="29" hidden="1" x14ac:dyDescent="0.35">
      <c r="A290" s="46" t="s">
        <v>355</v>
      </c>
      <c r="B290" s="46" t="s">
        <v>346</v>
      </c>
      <c r="C290" s="36" t="s">
        <v>358</v>
      </c>
      <c r="D290" s="47">
        <v>44036</v>
      </c>
      <c r="E290" s="47">
        <v>44036</v>
      </c>
      <c r="F290" s="56">
        <v>44078</v>
      </c>
      <c r="G290" s="22" t="str">
        <f>VLOOKUP($H290,'NO TOCAR'!$A$2:$D$160,3,)</f>
        <v>Limitación de horario en restaurantes y bares</v>
      </c>
      <c r="H290" s="48" t="s">
        <v>279</v>
      </c>
      <c r="I290" s="22" t="str">
        <f>VLOOKUP($H290,'NO TOCAR'!$A$2:$D$160,2,FALSE)</f>
        <v>Restauración, hostelería y bares</v>
      </c>
      <c r="J290" s="22" t="str">
        <f>VLOOKUP($H290,'NO TOCAR'!$A$2:$D$160,4,FALSE)</f>
        <v>RH</v>
      </c>
      <c r="K290" s="46" t="s">
        <v>359</v>
      </c>
      <c r="L290" s="54">
        <v>0</v>
      </c>
      <c r="M290" s="38">
        <v>80.400000000000006</v>
      </c>
      <c r="N290" s="49"/>
      <c r="O290" s="49"/>
      <c r="P290" s="49"/>
      <c r="Q290" s="49"/>
    </row>
    <row r="291" spans="1:17" ht="29" hidden="1" x14ac:dyDescent="0.35">
      <c r="A291" s="13" t="s">
        <v>345</v>
      </c>
      <c r="B291" s="13" t="s">
        <v>346</v>
      </c>
      <c r="C291" s="46"/>
      <c r="D291" s="7">
        <v>44048</v>
      </c>
      <c r="E291" s="25">
        <v>44048</v>
      </c>
      <c r="F291" s="30">
        <v>44124</v>
      </c>
      <c r="G291" s="22" t="str">
        <f>VLOOKUP($H291,'NO TOCAR'!$A$2:$D$160,3,)</f>
        <v>Limitación de horario en restaurantes y bares</v>
      </c>
      <c r="H291" s="26" t="s">
        <v>279</v>
      </c>
      <c r="I291" s="22" t="str">
        <f>VLOOKUP($H291,'NO TOCAR'!$A$2:$D$160,2,FALSE)</f>
        <v>Restauración, hostelería y bares</v>
      </c>
      <c r="J291" s="22" t="str">
        <f>VLOOKUP($H291,'NO TOCAR'!$A$2:$D$160,4,FALSE)</f>
        <v>RH</v>
      </c>
      <c r="K291" t="s">
        <v>366</v>
      </c>
      <c r="L291" s="29">
        <v>4.1666666666666664E-2</v>
      </c>
      <c r="M291" s="49"/>
      <c r="N291" s="49"/>
      <c r="O291" s="49"/>
      <c r="P291" s="49"/>
      <c r="Q291" s="49"/>
    </row>
    <row r="292" spans="1:17" ht="29" hidden="1" x14ac:dyDescent="0.35">
      <c r="A292" s="13" t="s">
        <v>345</v>
      </c>
      <c r="B292" s="13" t="s">
        <v>346</v>
      </c>
      <c r="C292" s="46"/>
      <c r="D292" s="7">
        <v>44123</v>
      </c>
      <c r="E292" s="30">
        <v>44124</v>
      </c>
      <c r="F292" s="30">
        <v>44141</v>
      </c>
      <c r="G292" s="22" t="str">
        <f>VLOOKUP($H292,'NO TOCAR'!$A$2:$D$160,3,)</f>
        <v>Limitación de horario en restaurantes y bares</v>
      </c>
      <c r="H292" s="26" t="s">
        <v>279</v>
      </c>
      <c r="I292" s="22" t="str">
        <f>VLOOKUP($H292,'NO TOCAR'!$A$2:$D$160,2,FALSE)</f>
        <v>Restauración, hostelería y bares</v>
      </c>
      <c r="J292" s="22" t="str">
        <f>VLOOKUP($H292,'NO TOCAR'!$A$2:$D$160,4,FALSE)</f>
        <v>RH</v>
      </c>
      <c r="K292" t="s">
        <v>366</v>
      </c>
      <c r="L292" s="29">
        <v>0.95833333333333337</v>
      </c>
      <c r="M292" s="49"/>
      <c r="N292" s="49"/>
      <c r="O292" s="49"/>
      <c r="P292" s="49"/>
      <c r="Q292" s="49"/>
    </row>
    <row r="293" spans="1:17" ht="29" hidden="1" x14ac:dyDescent="0.35">
      <c r="A293" s="13" t="s">
        <v>345</v>
      </c>
      <c r="B293" s="13" t="s">
        <v>346</v>
      </c>
      <c r="C293" s="46"/>
      <c r="D293" s="7">
        <v>44140</v>
      </c>
      <c r="E293" s="30">
        <v>44141</v>
      </c>
      <c r="F293" s="30">
        <v>44200</v>
      </c>
      <c r="G293" s="22" t="str">
        <f>VLOOKUP($H293,'NO TOCAR'!$A$2:$D$160,3,)</f>
        <v>Limitación de horario en restaurantes y bares</v>
      </c>
      <c r="H293" s="26" t="s">
        <v>279</v>
      </c>
      <c r="I293" s="22" t="str">
        <f>VLOOKUP($H293,'NO TOCAR'!$A$2:$D$160,2,FALSE)</f>
        <v>Restauración, hostelería y bares</v>
      </c>
      <c r="J293" s="22" t="str">
        <f>VLOOKUP($H293,'NO TOCAR'!$A$2:$D$160,4,FALSE)</f>
        <v>RH</v>
      </c>
      <c r="K293" t="s">
        <v>366</v>
      </c>
      <c r="L293" s="29">
        <v>0.91666666666666663</v>
      </c>
      <c r="M293" s="49"/>
      <c r="N293" s="49"/>
      <c r="O293" s="49"/>
      <c r="P293" s="49"/>
      <c r="Q293" s="49"/>
    </row>
    <row r="294" spans="1:17" ht="29" hidden="1" x14ac:dyDescent="0.35">
      <c r="A294" s="46" t="s">
        <v>355</v>
      </c>
      <c r="B294" s="46" t="s">
        <v>346</v>
      </c>
      <c r="C294" s="46" t="s">
        <v>356</v>
      </c>
      <c r="D294" s="47">
        <v>44111</v>
      </c>
      <c r="E294" s="40">
        <v>44112</v>
      </c>
      <c r="F294" s="40">
        <v>44506</v>
      </c>
      <c r="G294" s="22" t="str">
        <f>VLOOKUP($H294,'NO TOCAR'!$A$2:$D$160,3,)</f>
        <v>Limitación de horario en restaurantes y bares</v>
      </c>
      <c r="H294" s="48" t="s">
        <v>279</v>
      </c>
      <c r="I294" s="22" t="str">
        <f>VLOOKUP($H294,'NO TOCAR'!$A$2:$D$160,2,FALSE)</f>
        <v>Restauración, hostelería y bares</v>
      </c>
      <c r="J294" s="22" t="str">
        <f>VLOOKUP($H294,'NO TOCAR'!$A$2:$D$160,4,FALSE)</f>
        <v>RH</v>
      </c>
      <c r="K294" s="46" t="s">
        <v>359</v>
      </c>
      <c r="L294" s="54">
        <v>0</v>
      </c>
      <c r="M294" s="49">
        <v>24</v>
      </c>
    </row>
    <row r="295" spans="1:17" ht="29" hidden="1" x14ac:dyDescent="0.35">
      <c r="A295" s="59" t="s">
        <v>355</v>
      </c>
      <c r="B295" s="59" t="s">
        <v>346</v>
      </c>
      <c r="C295" s="59" t="s">
        <v>361</v>
      </c>
      <c r="D295" s="60">
        <v>44118</v>
      </c>
      <c r="E295" s="60">
        <v>44119</v>
      </c>
      <c r="F295" s="61">
        <v>44506</v>
      </c>
      <c r="G295" s="22" t="str">
        <f>VLOOKUP($H295,'NO TOCAR'!$A$2:$D$160,3,)</f>
        <v>Limitación de horario en restaurantes y bares</v>
      </c>
      <c r="H295" s="62" t="s">
        <v>279</v>
      </c>
      <c r="I295" s="22" t="str">
        <f>VLOOKUP($H295,'NO TOCAR'!$A$2:$D$160,2,FALSE)</f>
        <v>Restauración, hostelería y bares</v>
      </c>
      <c r="J295" s="22" t="str">
        <f>VLOOKUP($H295,'NO TOCAR'!$A$2:$D$160,4,FALSE)</f>
        <v>RH</v>
      </c>
      <c r="K295" s="59" t="s">
        <v>359</v>
      </c>
      <c r="L295" s="65">
        <v>0</v>
      </c>
      <c r="M295" s="63">
        <v>29</v>
      </c>
    </row>
    <row r="296" spans="1:17" ht="29" hidden="1" x14ac:dyDescent="0.35">
      <c r="A296" s="13" t="s">
        <v>345</v>
      </c>
      <c r="B296" s="13" t="s">
        <v>346</v>
      </c>
      <c r="C296" s="46"/>
      <c r="D296" s="7">
        <v>44200</v>
      </c>
      <c r="E296" s="30">
        <v>44201</v>
      </c>
      <c r="F296" s="30">
        <v>44259</v>
      </c>
      <c r="G296" s="22" t="str">
        <f>VLOOKUP($H296,'NO TOCAR'!$A$2:$D$160,3,)</f>
        <v>Limitación de horario en restaurantes y bares</v>
      </c>
      <c r="H296" s="26" t="s">
        <v>279</v>
      </c>
      <c r="I296" s="22" t="str">
        <f>VLOOKUP($H296,'NO TOCAR'!$A$2:$D$160,2,FALSE)</f>
        <v>Restauración, hostelería y bares</v>
      </c>
      <c r="J296" s="22" t="str">
        <f>VLOOKUP($H296,'NO TOCAR'!$A$2:$D$160,4,FALSE)</f>
        <v>RH</v>
      </c>
      <c r="K296" s="24" t="s">
        <v>382</v>
      </c>
      <c r="L296" s="29">
        <v>0.83333333333333337</v>
      </c>
      <c r="M296" s="49"/>
      <c r="N296" s="49"/>
      <c r="O296" s="49"/>
      <c r="P296" s="49"/>
      <c r="Q296" s="49"/>
    </row>
    <row r="297" spans="1:17" ht="29" hidden="1" x14ac:dyDescent="0.35">
      <c r="A297" s="13" t="s">
        <v>345</v>
      </c>
      <c r="B297" s="13" t="s">
        <v>346</v>
      </c>
      <c r="C297" s="46"/>
      <c r="D297" s="17">
        <v>44211</v>
      </c>
      <c r="E297" s="17">
        <v>44212</v>
      </c>
      <c r="F297" s="30">
        <v>44252</v>
      </c>
      <c r="G297" s="22" t="s">
        <v>278</v>
      </c>
      <c r="H297" s="26" t="s">
        <v>279</v>
      </c>
      <c r="I297" s="22" t="s">
        <v>269</v>
      </c>
      <c r="J297" s="22" t="s">
        <v>271</v>
      </c>
      <c r="K297" s="24" t="s">
        <v>382</v>
      </c>
      <c r="L297" s="29">
        <v>0.75</v>
      </c>
      <c r="M297" s="49"/>
      <c r="N297" s="49"/>
      <c r="O297" s="49"/>
      <c r="P297" s="49"/>
      <c r="Q297" s="49"/>
    </row>
    <row r="298" spans="1:17" hidden="1" x14ac:dyDescent="0.35">
      <c r="A298" s="13" t="s">
        <v>345</v>
      </c>
      <c r="B298" s="13" t="s">
        <v>346</v>
      </c>
      <c r="C298" s="59"/>
      <c r="D298" s="7">
        <v>44140</v>
      </c>
      <c r="E298" s="7">
        <v>44144</v>
      </c>
      <c r="F298" s="71">
        <v>44211</v>
      </c>
      <c r="G298" s="22" t="str">
        <f>VLOOKUP($H298,'NO TOCAR'!$A$2:$D$160,3,)</f>
        <v>Limitación de la movilidad nocturna (toque de queda)</v>
      </c>
      <c r="H298" s="15" t="s">
        <v>241</v>
      </c>
      <c r="I298" s="22" t="str">
        <f>VLOOKUP($H298,'NO TOCAR'!$A$2:$D$160,2,FALSE)</f>
        <v>Movilidad</v>
      </c>
      <c r="J298" s="22" t="str">
        <f>VLOOKUP($H298,'NO TOCAR'!$A$2:$D$160,4,FALSE)</f>
        <v>MV</v>
      </c>
      <c r="K298" t="s">
        <v>366</v>
      </c>
      <c r="L298" t="s">
        <v>363</v>
      </c>
      <c r="M298" s="14"/>
      <c r="N298" s="14"/>
      <c r="O298" s="14"/>
      <c r="P298" s="14"/>
      <c r="Q298" s="14"/>
    </row>
    <row r="299" spans="1:17" hidden="1" x14ac:dyDescent="0.35">
      <c r="A299" s="13" t="s">
        <v>345</v>
      </c>
      <c r="B299" s="13" t="s">
        <v>346</v>
      </c>
      <c r="C299" s="59"/>
      <c r="D299" s="7">
        <v>44274</v>
      </c>
      <c r="E299" s="7">
        <v>44275</v>
      </c>
      <c r="F299" s="30"/>
      <c r="G299" s="22" t="str">
        <f>VLOOKUP($H299,'NO TOCAR'!$A$2:$D$160,3,)</f>
        <v>Limitación de la movilidad nocturna (toque de queda)</v>
      </c>
      <c r="H299" s="15" t="s">
        <v>241</v>
      </c>
      <c r="I299" s="22" t="str">
        <f>VLOOKUP($H299,'NO TOCAR'!$A$2:$D$160,2,FALSE)</f>
        <v>Movilidad</v>
      </c>
      <c r="J299" s="22" t="str">
        <f>VLOOKUP($H299,'NO TOCAR'!$A$2:$D$160,4,FALSE)</f>
        <v>MV</v>
      </c>
      <c r="K299" t="s">
        <v>366</v>
      </c>
      <c r="L299" t="s">
        <v>363</v>
      </c>
      <c r="M299" s="14"/>
      <c r="N299" s="14"/>
      <c r="O299" s="14"/>
      <c r="P299" s="14"/>
      <c r="Q299" s="14"/>
    </row>
    <row r="300" spans="1:17" hidden="1" x14ac:dyDescent="0.35">
      <c r="A300" s="13" t="s">
        <v>345</v>
      </c>
      <c r="B300" s="13" t="s">
        <v>346</v>
      </c>
      <c r="C300" s="59"/>
      <c r="D300" s="7">
        <v>44211</v>
      </c>
      <c r="E300" s="7">
        <v>44212</v>
      </c>
      <c r="F300" s="30">
        <v>44274</v>
      </c>
      <c r="G300" s="22" t="str">
        <f>VLOOKUP($H300,'NO TOCAR'!$A$2:$D$160,3,)</f>
        <v>Limitación de la movilidad nocturna (toque de queda)</v>
      </c>
      <c r="H300" s="15" t="s">
        <v>241</v>
      </c>
      <c r="I300" s="22" t="str">
        <f>VLOOKUP($H300,'NO TOCAR'!$A$2:$D$160,2,FALSE)</f>
        <v>Movilidad</v>
      </c>
      <c r="J300" s="22" t="str">
        <f>VLOOKUP($H300,'NO TOCAR'!$A$2:$D$160,4,FALSE)</f>
        <v>MV</v>
      </c>
      <c r="K300" t="s">
        <v>366</v>
      </c>
      <c r="L300" t="s">
        <v>381</v>
      </c>
      <c r="M300" s="14"/>
      <c r="N300" s="14"/>
      <c r="O300" s="14"/>
      <c r="P300" s="14"/>
      <c r="Q300" s="14"/>
    </row>
    <row r="301" spans="1:17" hidden="1" x14ac:dyDescent="0.35">
      <c r="A301" s="13" t="s">
        <v>345</v>
      </c>
      <c r="B301" s="13" t="s">
        <v>346</v>
      </c>
      <c r="C301" s="24"/>
      <c r="D301" s="25">
        <v>44060</v>
      </c>
      <c r="E301" s="25">
        <v>44060</v>
      </c>
      <c r="F301" s="28"/>
      <c r="G301" s="22" t="str">
        <f>VLOOKUP($H301,'NO TOCAR'!$A$2:$D$160,3,)</f>
        <v xml:space="preserve">Limitación de salidas de residentes </v>
      </c>
      <c r="H301" s="26" t="s">
        <v>198</v>
      </c>
      <c r="I301" s="22" t="str">
        <f>VLOOKUP($H301,'NO TOCAR'!$A$2:$D$160,2,FALSE)</f>
        <v>Centros sociosanitarios</v>
      </c>
      <c r="J301" s="22" t="str">
        <f>VLOOKUP($H301,'NO TOCAR'!$A$2:$D$160,4,FALSE)</f>
        <v>CS</v>
      </c>
      <c r="K301" s="24"/>
      <c r="L301" s="24"/>
      <c r="M301" s="27"/>
      <c r="N301" s="28"/>
      <c r="O301" s="28"/>
      <c r="P301" s="28"/>
      <c r="Q301" s="28"/>
    </row>
    <row r="302" spans="1:17" hidden="1" x14ac:dyDescent="0.35">
      <c r="A302" s="13" t="s">
        <v>355</v>
      </c>
      <c r="B302" s="13" t="s">
        <v>346</v>
      </c>
      <c r="C302" s="13" t="s">
        <v>356</v>
      </c>
      <c r="D302" s="7">
        <v>44004</v>
      </c>
      <c r="E302" s="7">
        <v>44004</v>
      </c>
      <c r="F302" s="7">
        <v>44026</v>
      </c>
      <c r="G302" s="22" t="str">
        <f>VLOOKUP($H302,'NO TOCAR'!$A$2:$D$160,3,)</f>
        <v>Limitación de visitas</v>
      </c>
      <c r="H302" s="6" t="s">
        <v>200</v>
      </c>
      <c r="I302" s="22" t="str">
        <f>VLOOKUP($H302,'NO TOCAR'!$A$2:$D$160,2,FALSE)</f>
        <v>Centros sociosanitarios</v>
      </c>
      <c r="J302" s="22" t="str">
        <f>VLOOKUP($H302,'NO TOCAR'!$A$2:$D$160,4,FALSE)</f>
        <v>CS</v>
      </c>
      <c r="K302" s="13"/>
      <c r="L302" s="13"/>
      <c r="M302" s="12">
        <v>29.2</v>
      </c>
      <c r="N302" s="14"/>
      <c r="O302" s="14"/>
      <c r="P302" s="14"/>
      <c r="Q302" s="14"/>
    </row>
    <row r="303" spans="1:17" hidden="1" x14ac:dyDescent="0.35">
      <c r="A303" s="33" t="s">
        <v>355</v>
      </c>
      <c r="B303" s="33" t="s">
        <v>346</v>
      </c>
      <c r="C303" s="33" t="s">
        <v>356</v>
      </c>
      <c r="D303" s="7">
        <v>44026</v>
      </c>
      <c r="E303" s="7">
        <v>44026</v>
      </c>
      <c r="F303" s="41">
        <v>44036</v>
      </c>
      <c r="G303" s="22" t="str">
        <f>VLOOKUP($H303,'NO TOCAR'!$A$2:$D$160,3,)</f>
        <v>Limitación de visitas</v>
      </c>
      <c r="H303" s="35" t="s">
        <v>200</v>
      </c>
      <c r="I303" s="22" t="str">
        <f>VLOOKUP($H303,'NO TOCAR'!$A$2:$D$160,2,FALSE)</f>
        <v>Centros sociosanitarios</v>
      </c>
      <c r="J303" s="22" t="str">
        <f>VLOOKUP($H303,'NO TOCAR'!$A$2:$D$160,4,FALSE)</f>
        <v>CS</v>
      </c>
      <c r="K303" s="33"/>
      <c r="L303" s="33"/>
      <c r="M303" s="12"/>
      <c r="N303" s="34"/>
      <c r="O303" s="34"/>
      <c r="P303" s="34"/>
      <c r="Q303" s="34"/>
    </row>
    <row r="304" spans="1:17" hidden="1" x14ac:dyDescent="0.35">
      <c r="A304" s="36" t="s">
        <v>355</v>
      </c>
      <c r="B304" s="36" t="s">
        <v>346</v>
      </c>
      <c r="C304" s="36" t="s">
        <v>358</v>
      </c>
      <c r="D304" s="37">
        <v>44026</v>
      </c>
      <c r="E304" s="37">
        <v>44026</v>
      </c>
      <c r="F304" s="56">
        <v>44078</v>
      </c>
      <c r="G304" s="22" t="str">
        <f>VLOOKUP($H304,'NO TOCAR'!$A$2:$D$160,3,)</f>
        <v>Limitación de visitas</v>
      </c>
      <c r="H304" s="39" t="s">
        <v>200</v>
      </c>
      <c r="I304" s="22" t="str">
        <f>VLOOKUP($H304,'NO TOCAR'!$A$2:$D$160,2,FALSE)</f>
        <v>Centros sociosanitarios</v>
      </c>
      <c r="J304" s="22" t="str">
        <f>VLOOKUP($H304,'NO TOCAR'!$A$2:$D$160,4,FALSE)</f>
        <v>CS</v>
      </c>
      <c r="K304" s="36"/>
      <c r="L304" s="36"/>
      <c r="M304" s="38">
        <v>80.400000000000006</v>
      </c>
      <c r="N304" s="38"/>
      <c r="O304" s="38"/>
      <c r="P304" s="38"/>
      <c r="Q304" s="38"/>
    </row>
    <row r="305" spans="1:17" hidden="1" x14ac:dyDescent="0.35">
      <c r="A305" s="46" t="s">
        <v>355</v>
      </c>
      <c r="B305" s="46" t="s">
        <v>346</v>
      </c>
      <c r="C305" s="46" t="s">
        <v>356</v>
      </c>
      <c r="D305" s="47">
        <v>44036</v>
      </c>
      <c r="E305" s="47">
        <v>44036</v>
      </c>
      <c r="F305" s="56">
        <v>44078</v>
      </c>
      <c r="G305" s="22" t="str">
        <f>VLOOKUP($H305,'NO TOCAR'!$A$2:$D$160,3,)</f>
        <v>Limitación de visitas</v>
      </c>
      <c r="H305" s="48" t="s">
        <v>200</v>
      </c>
      <c r="I305" s="22" t="str">
        <f>VLOOKUP($H305,'NO TOCAR'!$A$2:$D$160,2,FALSE)</f>
        <v>Centros sociosanitarios</v>
      </c>
      <c r="J305" s="22" t="str">
        <f>VLOOKUP($H305,'NO TOCAR'!$A$2:$D$160,4,FALSE)</f>
        <v>CS</v>
      </c>
      <c r="K305" s="46"/>
      <c r="L305" s="46"/>
      <c r="M305" s="49">
        <f>17.7+49.9</f>
        <v>67.599999999999994</v>
      </c>
      <c r="N305" s="49"/>
      <c r="O305" s="49"/>
      <c r="P305" s="49"/>
      <c r="Q305" s="49"/>
    </row>
    <row r="306" spans="1:17" hidden="1" x14ac:dyDescent="0.35">
      <c r="A306" s="13" t="s">
        <v>345</v>
      </c>
      <c r="B306" s="13" t="s">
        <v>346</v>
      </c>
      <c r="C306" s="24"/>
      <c r="D306" s="25">
        <v>44033</v>
      </c>
      <c r="E306" s="25">
        <v>44033</v>
      </c>
      <c r="F306" s="30"/>
      <c r="G306" s="22" t="str">
        <f>VLOOKUP($H306,'NO TOCAR'!$A$2:$D$160,3,)</f>
        <v>Limitación de visitas</v>
      </c>
      <c r="H306" s="26" t="s">
        <v>200</v>
      </c>
      <c r="I306" s="22" t="str">
        <f>VLOOKUP($H306,'NO TOCAR'!$A$2:$D$160,2,FALSE)</f>
        <v>Centros sociosanitarios</v>
      </c>
      <c r="J306" s="22" t="str">
        <f>VLOOKUP($H306,'NO TOCAR'!$A$2:$D$160,4,FALSE)</f>
        <v>CS</v>
      </c>
      <c r="K306" s="24"/>
      <c r="L306" s="24"/>
      <c r="M306" s="27"/>
      <c r="N306" s="28"/>
      <c r="O306" s="28"/>
      <c r="P306" s="28"/>
      <c r="Q306" s="28"/>
    </row>
    <row r="307" spans="1:17" x14ac:dyDescent="0.35">
      <c r="A307" s="13" t="s">
        <v>345</v>
      </c>
      <c r="B307" s="13" t="s">
        <v>346</v>
      </c>
      <c r="C307" s="13"/>
      <c r="D307" s="7">
        <v>44211</v>
      </c>
      <c r="E307" s="30">
        <v>44212</v>
      </c>
      <c r="F307" s="30">
        <v>44252</v>
      </c>
      <c r="G307" s="76" t="str">
        <f>VLOOKUP($H307,'NO TOCAR'!$A$2:$D$160,3,)</f>
        <v>Limitaciones a la actividad fisica grupal en exteriores</v>
      </c>
      <c r="H307" s="26" t="s">
        <v>45</v>
      </c>
      <c r="I307" s="22" t="str">
        <f>VLOOKUP($H307,'NO TOCAR'!$A$2:$D$160,2,FALSE)</f>
        <v>Deporte y actividad física</v>
      </c>
      <c r="J307" s="22" t="str">
        <f>VLOOKUP($H307,'NO TOCAR'!$A$2:$D$160,4,FALSE)</f>
        <v>AF</v>
      </c>
      <c r="K307" s="24" t="s">
        <v>354</v>
      </c>
      <c r="L307" s="24">
        <v>4</v>
      </c>
      <c r="M307" s="12"/>
      <c r="N307" s="14"/>
      <c r="O307" s="14"/>
      <c r="P307" s="14"/>
      <c r="Q307" s="14"/>
    </row>
    <row r="308" spans="1:17" x14ac:dyDescent="0.35">
      <c r="A308" s="13" t="s">
        <v>355</v>
      </c>
      <c r="B308" s="13" t="s">
        <v>346</v>
      </c>
      <c r="C308" t="s">
        <v>361</v>
      </c>
      <c r="D308" s="17">
        <v>44223</v>
      </c>
      <c r="E308" s="17">
        <v>44224</v>
      </c>
      <c r="F308" s="17">
        <v>44252</v>
      </c>
      <c r="G308" s="76" t="str">
        <f>VLOOKUP($H308,'NO TOCAR'!$A$2:$D$160,3,)</f>
        <v>Cierre de instalaciones y centros deportivos en zonas interiores (manteniéndose las exteriores)</v>
      </c>
      <c r="H308" s="31" t="s">
        <v>69</v>
      </c>
      <c r="I308" s="22" t="str">
        <f>VLOOKUP($H308,'NO TOCAR'!$A$2:$D$160,2,FALSE)</f>
        <v>Deporte y actividad física</v>
      </c>
      <c r="J308" s="22" t="str">
        <f>VLOOKUP($H308,'NO TOCAR'!$A$2:$D$160,4,FALSE)</f>
        <v>AF</v>
      </c>
      <c r="K308" s="24" t="s">
        <v>347</v>
      </c>
      <c r="L308" s="24">
        <v>30</v>
      </c>
      <c r="M308">
        <v>26.7</v>
      </c>
    </row>
    <row r="309" spans="1:17" x14ac:dyDescent="0.35">
      <c r="A309" s="13" t="s">
        <v>345</v>
      </c>
      <c r="B309" s="13" t="s">
        <v>346</v>
      </c>
      <c r="C309" s="13"/>
      <c r="D309" s="7">
        <v>44245</v>
      </c>
      <c r="E309" s="7">
        <v>44245</v>
      </c>
      <c r="F309" s="77"/>
      <c r="G309" s="76" t="str">
        <f>VLOOKUP($H309,'NO TOCAR'!$A$2:$D$160,3,)</f>
        <v>Aforo de asistencia de público en eventos deportivos en exteriores</v>
      </c>
      <c r="H309" s="31" t="s">
        <v>47</v>
      </c>
      <c r="I309" s="22" t="str">
        <f>VLOOKUP($H309,'NO TOCAR'!$A$2:$D$160,2,FALSE)</f>
        <v>Deporte y actividad física</v>
      </c>
      <c r="J309" s="22" t="str">
        <f>VLOOKUP($H309,'NO TOCAR'!$A$2:$D$160,4,FALSE)</f>
        <v>AF</v>
      </c>
      <c r="K309" s="24" t="s">
        <v>347</v>
      </c>
      <c r="L309" s="24">
        <v>30</v>
      </c>
      <c r="M309" s="12"/>
      <c r="N309" s="14"/>
      <c r="O309" s="14"/>
      <c r="P309" s="14"/>
      <c r="Q309" s="14"/>
    </row>
    <row r="310" spans="1:17" x14ac:dyDescent="0.35">
      <c r="A310" s="13" t="s">
        <v>345</v>
      </c>
      <c r="B310" s="13" t="s">
        <v>346</v>
      </c>
      <c r="C310" s="13"/>
      <c r="D310" s="7">
        <v>44245</v>
      </c>
      <c r="E310" s="7">
        <v>44245</v>
      </c>
      <c r="F310" s="77"/>
      <c r="G310" s="76" t="str">
        <f>VLOOKUP($H310,'NO TOCAR'!$A$2:$D$160,3,)</f>
        <v>Aforo de asistencia de público en eventos deportivos en exteriores</v>
      </c>
      <c r="H310" s="31" t="s">
        <v>47</v>
      </c>
      <c r="I310" s="22" t="s">
        <v>64</v>
      </c>
      <c r="J310" s="22" t="s">
        <v>66</v>
      </c>
      <c r="K310" s="24" t="s">
        <v>354</v>
      </c>
      <c r="L310" s="24">
        <v>500</v>
      </c>
      <c r="M310" s="12"/>
      <c r="N310" s="14"/>
      <c r="O310" s="14"/>
      <c r="P310" s="14"/>
      <c r="Q310" s="14"/>
    </row>
    <row r="311" spans="1:17" x14ac:dyDescent="0.35">
      <c r="A311" s="13" t="s">
        <v>345</v>
      </c>
      <c r="B311" s="13" t="s">
        <v>346</v>
      </c>
      <c r="C311" s="13"/>
      <c r="D311" s="7">
        <v>44245</v>
      </c>
      <c r="E311" s="7">
        <v>44245</v>
      </c>
      <c r="F311" s="77"/>
      <c r="G311" s="76" t="str">
        <f>VLOOKUP($H311,'NO TOCAR'!$A$2:$D$160,3,)</f>
        <v>Aforo de asistencia de público en eventos deportivos en interiores</v>
      </c>
      <c r="H311" s="31" t="s">
        <v>48</v>
      </c>
      <c r="I311" s="22" t="str">
        <f>VLOOKUP($H311,'NO TOCAR'!$A$2:$D$160,2,FALSE)</f>
        <v>Deporte y actividad física</v>
      </c>
      <c r="J311" s="22" t="str">
        <f>VLOOKUP($H311,'NO TOCAR'!$A$2:$D$160,4,FALSE)</f>
        <v>AF</v>
      </c>
      <c r="K311" s="24" t="s">
        <v>347</v>
      </c>
      <c r="L311" s="24">
        <v>30</v>
      </c>
      <c r="M311" s="12"/>
      <c r="N311" s="14"/>
      <c r="O311" s="14"/>
      <c r="P311" s="14"/>
      <c r="Q311" s="14"/>
    </row>
    <row r="312" spans="1:17" s="13" customFormat="1" hidden="1" x14ac:dyDescent="0.35">
      <c r="A312" s="13" t="s">
        <v>345</v>
      </c>
      <c r="B312" s="13" t="s">
        <v>346</v>
      </c>
      <c r="D312" s="7">
        <v>44002</v>
      </c>
      <c r="E312" s="30">
        <v>44003</v>
      </c>
      <c r="F312" s="30">
        <v>44026</v>
      </c>
      <c r="G312" s="22" t="str">
        <f>VLOOKUP($H312,'NO TOCAR'!$A$2:$D$160,3,)</f>
        <v>Mascarilla obligatoria cuando no se cumpla la distancia física</v>
      </c>
      <c r="H312" s="26" t="s">
        <v>232</v>
      </c>
      <c r="I312" s="22" t="str">
        <f>VLOOKUP($H312,'NO TOCAR'!$A$2:$D$160,2,FALSE)</f>
        <v>Medidas de higiene</v>
      </c>
      <c r="J312" s="22" t="str">
        <f>VLOOKUP($H312,'NO TOCAR'!$A$2:$D$160,4,FALSE)</f>
        <v>MH</v>
      </c>
      <c r="K312" s="24"/>
      <c r="L312" s="24"/>
      <c r="M312" s="12"/>
      <c r="N312" s="14"/>
      <c r="O312" s="14"/>
      <c r="P312" s="14"/>
      <c r="Q312" s="14"/>
    </row>
    <row r="313" spans="1:17" s="13" customFormat="1" hidden="1" x14ac:dyDescent="0.35">
      <c r="A313" s="13" t="s">
        <v>345</v>
      </c>
      <c r="B313" s="13" t="s">
        <v>346</v>
      </c>
      <c r="D313" s="7">
        <v>44025</v>
      </c>
      <c r="E313" s="30">
        <v>44026</v>
      </c>
      <c r="F313" s="28"/>
      <c r="G313" s="22" t="str">
        <f>VLOOKUP($H313,'NO TOCAR'!$A$2:$D$160,3,)</f>
        <v>Mascarilla obligatoria incluso con distancia física  (con excepciones)</v>
      </c>
      <c r="H313" s="31" t="s">
        <v>18</v>
      </c>
      <c r="I313" s="22" t="str">
        <f>VLOOKUP($H313,'NO TOCAR'!$A$2:$D$160,2,FALSE)</f>
        <v>Medidas de higiene</v>
      </c>
      <c r="J313" s="22" t="str">
        <f>VLOOKUP($H313,'NO TOCAR'!$A$2:$D$160,4,FALSE)</f>
        <v>MH</v>
      </c>
      <c r="K313" s="24"/>
      <c r="L313" s="24"/>
      <c r="M313" s="12"/>
      <c r="N313" s="14"/>
      <c r="O313" s="14"/>
      <c r="P313" s="14"/>
      <c r="Q313" s="14"/>
    </row>
    <row r="314" spans="1:17" s="13" customFormat="1" ht="29" hidden="1" x14ac:dyDescent="0.35">
      <c r="A314" s="13" t="s">
        <v>345</v>
      </c>
      <c r="B314" s="13" t="s">
        <v>346</v>
      </c>
      <c r="C314" s="24"/>
      <c r="D314" s="7">
        <v>44002</v>
      </c>
      <c r="E314" s="30">
        <v>44003</v>
      </c>
      <c r="F314" s="30"/>
      <c r="G314" s="22" t="str">
        <f>VLOOKUP($H314,'NO TOCAR'!$A$2:$D$160,3,)</f>
        <v>Necesidad de autorizacion previa para eventos a partir de cierto número de asistentes</v>
      </c>
      <c r="H314" s="26" t="s">
        <v>143</v>
      </c>
      <c r="I314" s="22" t="str">
        <f>VLOOKUP($H314,'NO TOCAR'!$A$2:$D$160,2,FALSE)</f>
        <v>Cultura y eventos (exc. deportivos)</v>
      </c>
      <c r="J314" s="22" t="str">
        <f>VLOOKUP($H314,'NO TOCAR'!$A$2:$D$160,4,FALSE)</f>
        <v>CD</v>
      </c>
      <c r="K314" s="32" t="s">
        <v>354</v>
      </c>
      <c r="L314" s="24">
        <v>300</v>
      </c>
      <c r="M314" s="27"/>
      <c r="N314" s="28"/>
      <c r="O314" s="28"/>
      <c r="P314" s="28"/>
      <c r="Q314" s="28"/>
    </row>
    <row r="315" spans="1:17" s="13" customFormat="1" hidden="1" x14ac:dyDescent="0.35">
      <c r="A315" s="13" t="s">
        <v>345</v>
      </c>
      <c r="B315" s="13" t="s">
        <v>346</v>
      </c>
      <c r="D315" s="7">
        <v>44002</v>
      </c>
      <c r="E315" s="30">
        <v>44003</v>
      </c>
      <c r="F315" s="28"/>
      <c r="G315" s="22" t="str">
        <f>VLOOKUP($H315,'NO TOCAR'!$A$2:$D$160,3,)</f>
        <v>Obligacion de uso de mascarillas</v>
      </c>
      <c r="H315" s="26" t="s">
        <v>315</v>
      </c>
      <c r="I315" s="22" t="str">
        <f>VLOOKUP($H315,'NO TOCAR'!$A$2:$D$160,2,FALSE)</f>
        <v>Transporte público</v>
      </c>
      <c r="J315" s="22" t="str">
        <f>VLOOKUP($H315,'NO TOCAR'!$A$2:$D$160,4,FALSE)</f>
        <v>TP</v>
      </c>
      <c r="K315" s="24"/>
      <c r="L315" s="24"/>
      <c r="M315" s="12"/>
      <c r="N315" s="14"/>
      <c r="O315" s="14"/>
      <c r="P315" s="14"/>
      <c r="Q315" s="14"/>
    </row>
    <row r="316" spans="1:17" ht="29" hidden="1" x14ac:dyDescent="0.35">
      <c r="A316" s="13" t="s">
        <v>345</v>
      </c>
      <c r="B316" s="13" t="s">
        <v>346</v>
      </c>
      <c r="C316" s="13"/>
      <c r="D316" s="7">
        <v>44259</v>
      </c>
      <c r="E316" s="16">
        <v>44260</v>
      </c>
      <c r="F316" s="30"/>
      <c r="G316" s="22" t="str">
        <f>VLOOKUP($H316,'NO TOCAR'!$A$2:$D$160,3,)</f>
        <v>Ocupación máxima personas por mesa  en exteriores (si diferente de interiores)</v>
      </c>
      <c r="H316" s="26" t="s">
        <v>32</v>
      </c>
      <c r="I316" s="22" t="s">
        <v>269</v>
      </c>
      <c r="J316" s="22" t="s">
        <v>271</v>
      </c>
      <c r="K316" s="32" t="s">
        <v>354</v>
      </c>
      <c r="L316" s="13">
        <v>6</v>
      </c>
      <c r="M316" s="12"/>
      <c r="N316" s="14"/>
      <c r="O316" s="14"/>
      <c r="P316" s="14"/>
      <c r="Q316" s="14"/>
    </row>
    <row r="317" spans="1:17" ht="29" hidden="1" x14ac:dyDescent="0.35">
      <c r="A317" s="13" t="s">
        <v>355</v>
      </c>
      <c r="B317" s="13" t="s">
        <v>346</v>
      </c>
      <c r="C317" s="13" t="s">
        <v>356</v>
      </c>
      <c r="D317" s="7">
        <v>44004</v>
      </c>
      <c r="E317" s="7">
        <v>44004</v>
      </c>
      <c r="F317" s="7">
        <v>44026</v>
      </c>
      <c r="G317" s="22" t="str">
        <f>VLOOKUP($H317,'NO TOCAR'!$A$2:$D$160,3,)</f>
        <v>Ocupación máxima personas por mesa  en general</v>
      </c>
      <c r="H317" s="6" t="s">
        <v>31</v>
      </c>
      <c r="I317" s="22" t="str">
        <f>VLOOKUP($H317,'NO TOCAR'!$A$2:$D$160,2,FALSE)</f>
        <v>Restauración, hostelería y bares</v>
      </c>
      <c r="J317" s="22" t="str">
        <f>VLOOKUP($H317,'NO TOCAR'!$A$2:$D$160,4,FALSE)</f>
        <v>RH</v>
      </c>
      <c r="K317" s="13" t="s">
        <v>354</v>
      </c>
      <c r="L317" s="13">
        <v>10</v>
      </c>
      <c r="M317" s="12">
        <v>29.2</v>
      </c>
      <c r="N317" s="14"/>
      <c r="O317" s="14"/>
      <c r="P317" s="14"/>
      <c r="Q317" s="14"/>
    </row>
    <row r="318" spans="1:17" ht="29" hidden="1" x14ac:dyDescent="0.35">
      <c r="A318" s="33" t="s">
        <v>355</v>
      </c>
      <c r="B318" s="33" t="s">
        <v>346</v>
      </c>
      <c r="C318" s="33" t="s">
        <v>356</v>
      </c>
      <c r="D318" s="7">
        <v>44026</v>
      </c>
      <c r="E318" s="7">
        <v>44026</v>
      </c>
      <c r="F318" s="41">
        <v>44036</v>
      </c>
      <c r="G318" s="22" t="str">
        <f>VLOOKUP($H318,'NO TOCAR'!$A$2:$D$160,3,)</f>
        <v>Ocupación máxima personas por mesa  en general</v>
      </c>
      <c r="H318" s="35" t="s">
        <v>31</v>
      </c>
      <c r="I318" s="22" t="str">
        <f>VLOOKUP($H318,'NO TOCAR'!$A$2:$D$160,2,FALSE)</f>
        <v>Restauración, hostelería y bares</v>
      </c>
      <c r="J318" s="22" t="str">
        <f>VLOOKUP($H318,'NO TOCAR'!$A$2:$D$160,4,FALSE)</f>
        <v>RH</v>
      </c>
      <c r="K318" s="33" t="s">
        <v>354</v>
      </c>
      <c r="L318" s="33">
        <v>10</v>
      </c>
      <c r="M318" s="12">
        <v>53.3</v>
      </c>
      <c r="N318" s="34"/>
      <c r="O318" s="34"/>
      <c r="P318" s="34"/>
      <c r="Q318" s="34"/>
    </row>
    <row r="319" spans="1:17" ht="29" hidden="1" x14ac:dyDescent="0.35">
      <c r="A319" s="36" t="s">
        <v>355</v>
      </c>
      <c r="B319" s="36" t="s">
        <v>346</v>
      </c>
      <c r="C319" s="36" t="s">
        <v>358</v>
      </c>
      <c r="D319" s="37">
        <v>44026</v>
      </c>
      <c r="E319" s="37">
        <v>44026</v>
      </c>
      <c r="F319" s="47">
        <v>44036</v>
      </c>
      <c r="G319" s="22" t="str">
        <f>VLOOKUP($H319,'NO TOCAR'!$A$2:$D$160,3,)</f>
        <v>Ocupación máxima personas por mesa  en general</v>
      </c>
      <c r="H319" s="39" t="s">
        <v>31</v>
      </c>
      <c r="I319" s="22" t="str">
        <f>VLOOKUP($H319,'NO TOCAR'!$A$2:$D$160,2,FALSE)</f>
        <v>Restauración, hostelería y bares</v>
      </c>
      <c r="J319" s="22" t="str">
        <f>VLOOKUP($H319,'NO TOCAR'!$A$2:$D$160,4,FALSE)</f>
        <v>RH</v>
      </c>
      <c r="K319" s="36" t="s">
        <v>354</v>
      </c>
      <c r="L319" s="36">
        <v>10</v>
      </c>
      <c r="M319" s="38">
        <v>80.400000000000006</v>
      </c>
      <c r="N319" s="38"/>
      <c r="O319" s="38"/>
      <c r="P319" s="38"/>
      <c r="Q319" s="38"/>
    </row>
    <row r="320" spans="1:17" ht="29" hidden="1" x14ac:dyDescent="0.35">
      <c r="A320" s="46" t="s">
        <v>355</v>
      </c>
      <c r="B320" s="46" t="s">
        <v>346</v>
      </c>
      <c r="C320" s="46" t="s">
        <v>356</v>
      </c>
      <c r="D320" s="47">
        <v>44036</v>
      </c>
      <c r="E320" s="47">
        <v>44036</v>
      </c>
      <c r="F320" s="7">
        <v>44060</v>
      </c>
      <c r="G320" s="22" t="str">
        <f>VLOOKUP($H320,'NO TOCAR'!$A$2:$D$160,3,)</f>
        <v>Ocupación máxima personas por mesa  en general</v>
      </c>
      <c r="H320" s="48" t="s">
        <v>31</v>
      </c>
      <c r="I320" s="22" t="str">
        <f>VLOOKUP($H320,'NO TOCAR'!$A$2:$D$160,2,FALSE)</f>
        <v>Restauración, hostelería y bares</v>
      </c>
      <c r="J320" s="22" t="str">
        <f>VLOOKUP($H320,'NO TOCAR'!$A$2:$D$160,4,FALSE)</f>
        <v>RH</v>
      </c>
      <c r="K320" s="46" t="s">
        <v>354</v>
      </c>
      <c r="L320" s="46">
        <v>10</v>
      </c>
      <c r="M320" s="49">
        <f>17.7+49.9</f>
        <v>67.599999999999994</v>
      </c>
      <c r="N320" s="49"/>
      <c r="O320" s="49"/>
      <c r="P320" s="49"/>
      <c r="Q320" s="49"/>
    </row>
    <row r="321" spans="1:17" s="24" customFormat="1" ht="29" hidden="1" x14ac:dyDescent="0.35">
      <c r="A321" s="46" t="s">
        <v>355</v>
      </c>
      <c r="B321" s="46" t="s">
        <v>346</v>
      </c>
      <c r="C321" s="36" t="s">
        <v>358</v>
      </c>
      <c r="D321" s="47">
        <v>44036</v>
      </c>
      <c r="E321" s="47">
        <v>44036</v>
      </c>
      <c r="F321" s="7">
        <v>44060</v>
      </c>
      <c r="G321" s="22" t="str">
        <f>VLOOKUP($H321,'NO TOCAR'!$A$2:$D$160,3,)</f>
        <v>Ocupación máxima personas por mesa  en general</v>
      </c>
      <c r="H321" s="48" t="s">
        <v>31</v>
      </c>
      <c r="I321" s="22" t="str">
        <f>VLOOKUP($H321,'NO TOCAR'!$A$2:$D$160,2,FALSE)</f>
        <v>Restauración, hostelería y bares</v>
      </c>
      <c r="J321" s="22" t="str">
        <f>VLOOKUP($H321,'NO TOCAR'!$A$2:$D$160,4,FALSE)</f>
        <v>RH</v>
      </c>
      <c r="K321" s="46" t="s">
        <v>354</v>
      </c>
      <c r="L321" s="46">
        <v>10</v>
      </c>
      <c r="M321" s="38">
        <v>80.400000000000006</v>
      </c>
      <c r="N321" s="49"/>
      <c r="O321" s="49"/>
      <c r="P321" s="49"/>
      <c r="Q321" s="49"/>
    </row>
    <row r="322" spans="1:17" ht="29" hidden="1" x14ac:dyDescent="0.35">
      <c r="A322" s="13" t="s">
        <v>345</v>
      </c>
      <c r="B322" s="13" t="s">
        <v>346</v>
      </c>
      <c r="C322" s="13"/>
      <c r="D322" s="7">
        <v>44060</v>
      </c>
      <c r="E322" s="25">
        <v>44060</v>
      </c>
      <c r="F322" s="30">
        <v>44124</v>
      </c>
      <c r="G322" s="22" t="str">
        <f>VLOOKUP($H322,'NO TOCAR'!$A$2:$D$160,3,)</f>
        <v>Ocupación máxima personas por mesa  en general</v>
      </c>
      <c r="H322" s="26" t="s">
        <v>31</v>
      </c>
      <c r="I322" s="22" t="str">
        <f>VLOOKUP($H322,'NO TOCAR'!$A$2:$D$160,2,FALSE)</f>
        <v>Restauración, hostelería y bares</v>
      </c>
      <c r="J322" s="22" t="str">
        <f>VLOOKUP($H322,'NO TOCAR'!$A$2:$D$160,4,FALSE)</f>
        <v>RH</v>
      </c>
      <c r="K322" s="32" t="s">
        <v>354</v>
      </c>
      <c r="L322" s="24">
        <v>10</v>
      </c>
      <c r="M322" s="12"/>
      <c r="N322" s="14"/>
      <c r="O322" s="14"/>
      <c r="P322" s="14"/>
      <c r="Q322" s="14"/>
    </row>
    <row r="323" spans="1:17" ht="29" hidden="1" x14ac:dyDescent="0.35">
      <c r="A323" s="66" t="s">
        <v>355</v>
      </c>
      <c r="B323" s="66" t="s">
        <v>346</v>
      </c>
      <c r="C323" s="66" t="s">
        <v>358</v>
      </c>
      <c r="D323" s="7">
        <v>44111</v>
      </c>
      <c r="E323" s="16">
        <v>44112</v>
      </c>
      <c r="F323" s="16">
        <v>44118</v>
      </c>
      <c r="G323" s="22" t="str">
        <f>VLOOKUP($H323,'NO TOCAR'!$A$2:$D$160,3,)</f>
        <v>Ocupación máxima personas por mesa  en general</v>
      </c>
      <c r="H323" s="67" t="s">
        <v>31</v>
      </c>
      <c r="I323" s="22" t="str">
        <f>VLOOKUP($H323,'NO TOCAR'!$A$2:$D$160,2,FALSE)</f>
        <v>Restauración, hostelería y bares</v>
      </c>
      <c r="J323" s="22" t="str">
        <f>VLOOKUP($H323,'NO TOCAR'!$A$2:$D$160,4,FALSE)</f>
        <v>RH</v>
      </c>
      <c r="K323" s="66" t="s">
        <v>354</v>
      </c>
      <c r="L323" s="69">
        <v>10</v>
      </c>
      <c r="M323" s="68">
        <v>70</v>
      </c>
    </row>
    <row r="324" spans="1:17" ht="29" hidden="1" x14ac:dyDescent="0.35">
      <c r="A324" s="13" t="s">
        <v>345</v>
      </c>
      <c r="B324" s="13" t="s">
        <v>346</v>
      </c>
      <c r="C324" s="13"/>
      <c r="D324" s="7">
        <v>44123</v>
      </c>
      <c r="E324" s="30">
        <v>44124</v>
      </c>
      <c r="F324" s="30">
        <v>44211</v>
      </c>
      <c r="G324" s="22" t="str">
        <f>VLOOKUP($H324,'NO TOCAR'!$A$2:$D$160,3,)</f>
        <v>Ocupación máxima personas por mesa  en general</v>
      </c>
      <c r="H324" s="26" t="s">
        <v>31</v>
      </c>
      <c r="I324" s="22" t="str">
        <f>VLOOKUP($H324,'NO TOCAR'!$A$2:$D$160,2,FALSE)</f>
        <v>Restauración, hostelería y bares</v>
      </c>
      <c r="J324" s="22" t="str">
        <f>VLOOKUP($H324,'NO TOCAR'!$A$2:$D$160,4,FALSE)</f>
        <v>RH</v>
      </c>
      <c r="K324" s="32" t="s">
        <v>354</v>
      </c>
      <c r="L324" s="24">
        <v>6</v>
      </c>
      <c r="M324" s="12"/>
      <c r="N324" s="14"/>
      <c r="O324" s="14"/>
      <c r="P324" s="14"/>
      <c r="Q324" s="14"/>
    </row>
    <row r="325" spans="1:17" ht="29" hidden="1" x14ac:dyDescent="0.35">
      <c r="A325" s="13" t="s">
        <v>345</v>
      </c>
      <c r="B325" s="13" t="s">
        <v>346</v>
      </c>
      <c r="C325" s="13"/>
      <c r="D325" s="30">
        <v>44211</v>
      </c>
      <c r="E325" s="30">
        <v>44212</v>
      </c>
      <c r="F325" s="30">
        <v>44252</v>
      </c>
      <c r="G325" s="22" t="str">
        <f>VLOOKUP($H325,'NO TOCAR'!$A$2:$D$160,3,)</f>
        <v>Ocupación máxima personas por mesa  en general</v>
      </c>
      <c r="H325" s="26" t="s">
        <v>31</v>
      </c>
      <c r="I325" s="22" t="str">
        <f>VLOOKUP($H325,'NO TOCAR'!$A$2:$D$160,2,FALSE)</f>
        <v>Restauración, hostelería y bares</v>
      </c>
      <c r="J325" s="22" t="str">
        <f>VLOOKUP($H325,'NO TOCAR'!$A$2:$D$160,4,FALSE)</f>
        <v>RH</v>
      </c>
      <c r="K325" s="32" t="s">
        <v>354</v>
      </c>
      <c r="L325" s="24">
        <v>4</v>
      </c>
      <c r="M325" s="12"/>
      <c r="N325" s="14"/>
      <c r="O325" s="14"/>
      <c r="P325" s="14"/>
      <c r="Q325" s="14"/>
    </row>
    <row r="326" spans="1:17" ht="29" hidden="1" x14ac:dyDescent="0.35">
      <c r="A326" s="46" t="s">
        <v>355</v>
      </c>
      <c r="B326" s="46" t="s">
        <v>346</v>
      </c>
      <c r="C326" s="46" t="s">
        <v>356</v>
      </c>
      <c r="D326" s="47">
        <v>44111</v>
      </c>
      <c r="E326" s="40">
        <v>44112</v>
      </c>
      <c r="F326" s="40">
        <v>44506</v>
      </c>
      <c r="G326" s="22" t="str">
        <f>VLOOKUP($H326,'NO TOCAR'!$A$2:$D$160,3,)</f>
        <v>Ocupación máxima personas por mesa  en general</v>
      </c>
      <c r="H326" s="48" t="s">
        <v>31</v>
      </c>
      <c r="I326" s="22" t="str">
        <f>VLOOKUP($H326,'NO TOCAR'!$A$2:$D$160,2,FALSE)</f>
        <v>Restauración, hostelería y bares</v>
      </c>
      <c r="J326" s="22" t="str">
        <f>VLOOKUP($H326,'NO TOCAR'!$A$2:$D$160,4,FALSE)</f>
        <v>RH</v>
      </c>
      <c r="K326" s="46" t="s">
        <v>354</v>
      </c>
      <c r="L326" s="53">
        <v>10</v>
      </c>
      <c r="M326" s="49">
        <v>24</v>
      </c>
    </row>
    <row r="327" spans="1:17" ht="29" hidden="1" x14ac:dyDescent="0.35">
      <c r="A327" s="59" t="s">
        <v>355</v>
      </c>
      <c r="B327" s="59" t="s">
        <v>346</v>
      </c>
      <c r="C327" s="59" t="s">
        <v>361</v>
      </c>
      <c r="D327" s="60">
        <v>44118</v>
      </c>
      <c r="E327" s="60">
        <v>44119</v>
      </c>
      <c r="F327" s="61">
        <v>44506</v>
      </c>
      <c r="G327" s="22" t="str">
        <f>VLOOKUP($H327,'NO TOCAR'!$A$2:$D$160,3,)</f>
        <v>Ocupación máxima personas por mesa  en general</v>
      </c>
      <c r="H327" s="62" t="s">
        <v>31</v>
      </c>
      <c r="I327" s="22" t="str">
        <f>VLOOKUP($H327,'NO TOCAR'!$A$2:$D$160,2,FALSE)</f>
        <v>Restauración, hostelería y bares</v>
      </c>
      <c r="J327" s="22" t="str">
        <f>VLOOKUP($H327,'NO TOCAR'!$A$2:$D$160,4,FALSE)</f>
        <v>RH</v>
      </c>
      <c r="K327" s="59" t="s">
        <v>354</v>
      </c>
      <c r="L327" s="64">
        <v>10</v>
      </c>
      <c r="M327" s="63">
        <v>29</v>
      </c>
    </row>
    <row r="328" spans="1:17" ht="29" hidden="1" x14ac:dyDescent="0.35">
      <c r="A328" s="13" t="s">
        <v>345</v>
      </c>
      <c r="B328" s="13" t="s">
        <v>346</v>
      </c>
      <c r="C328" s="13"/>
      <c r="D328" s="7">
        <v>44252</v>
      </c>
      <c r="E328" s="16">
        <v>44253</v>
      </c>
      <c r="F328" s="30">
        <v>44259</v>
      </c>
      <c r="G328" s="22" t="s">
        <v>286</v>
      </c>
      <c r="H328" s="26" t="s">
        <v>31</v>
      </c>
      <c r="I328" s="22" t="s">
        <v>269</v>
      </c>
      <c r="J328" s="22" t="s">
        <v>271</v>
      </c>
      <c r="K328" s="32" t="s">
        <v>354</v>
      </c>
      <c r="L328" s="13">
        <v>6</v>
      </c>
      <c r="M328" s="12"/>
      <c r="N328" s="14"/>
      <c r="O328" s="14"/>
      <c r="P328" s="14"/>
      <c r="Q328" s="14"/>
    </row>
    <row r="329" spans="1:17" ht="29" hidden="1" x14ac:dyDescent="0.35">
      <c r="A329" s="13" t="s">
        <v>345</v>
      </c>
      <c r="B329" s="13" t="s">
        <v>346</v>
      </c>
      <c r="C329" s="13"/>
      <c r="D329" s="7">
        <v>44259</v>
      </c>
      <c r="E329" s="16">
        <v>44260</v>
      </c>
      <c r="F329" s="30"/>
      <c r="G329" s="22" t="str">
        <f>VLOOKUP($H329,'NO TOCAR'!$A$2:$D$160,3,)</f>
        <v>Ocupación máxima personas por mesa  en interiores (si diferente de exteriores)</v>
      </c>
      <c r="H329" s="26" t="s">
        <v>33</v>
      </c>
      <c r="I329" s="22" t="s">
        <v>269</v>
      </c>
      <c r="J329" s="22" t="s">
        <v>271</v>
      </c>
      <c r="K329" s="32" t="s">
        <v>354</v>
      </c>
      <c r="L329" s="13">
        <v>4</v>
      </c>
      <c r="M329" s="12"/>
      <c r="N329" s="14"/>
      <c r="O329" s="14"/>
      <c r="P329" s="14"/>
      <c r="Q329" s="14"/>
    </row>
    <row r="330" spans="1:17" hidden="1" x14ac:dyDescent="0.35">
      <c r="A330" s="46" t="s">
        <v>355</v>
      </c>
      <c r="B330" s="46" t="s">
        <v>346</v>
      </c>
      <c r="C330" s="46" t="s">
        <v>356</v>
      </c>
      <c r="D330" s="47">
        <v>44036</v>
      </c>
      <c r="E330" s="47">
        <v>44036</v>
      </c>
      <c r="F330" s="7">
        <v>44048</v>
      </c>
      <c r="G330" s="22" t="str">
        <f>VLOOKUP($H330,'NO TOCAR'!$A$2:$D$160,3,)</f>
        <v>Prohibición consumo alcohol en vía pública</v>
      </c>
      <c r="H330" s="52" t="s">
        <v>303</v>
      </c>
      <c r="I330" s="22" t="str">
        <f>VLOOKUP($H330,'NO TOCAR'!$A$2:$D$160,2,FALSE)</f>
        <v>Relaciones sociales</v>
      </c>
      <c r="J330" s="22" t="str">
        <f>VLOOKUP($H330,'NO TOCAR'!$A$2:$D$160,4,FALSE)</f>
        <v>RS</v>
      </c>
      <c r="K330" s="46"/>
      <c r="L330" s="46"/>
      <c r="M330" s="49">
        <f>17.7+49.9</f>
        <v>67.599999999999994</v>
      </c>
      <c r="N330" s="49"/>
      <c r="O330" s="49"/>
      <c r="P330" s="49"/>
      <c r="Q330" s="49"/>
    </row>
    <row r="331" spans="1:17" hidden="1" x14ac:dyDescent="0.35">
      <c r="A331" s="46" t="s">
        <v>355</v>
      </c>
      <c r="B331" s="46" t="s">
        <v>346</v>
      </c>
      <c r="C331" s="36" t="s">
        <v>358</v>
      </c>
      <c r="D331" s="47">
        <v>44036</v>
      </c>
      <c r="E331" s="47">
        <v>44036</v>
      </c>
      <c r="F331" s="7">
        <v>44048</v>
      </c>
      <c r="G331" s="22" t="str">
        <f>VLOOKUP($H331,'NO TOCAR'!$A$2:$D$160,3,)</f>
        <v>Prohibición consumo alcohol en vía pública</v>
      </c>
      <c r="H331" s="55" t="s">
        <v>303</v>
      </c>
      <c r="I331" s="22" t="str">
        <f>VLOOKUP($H331,'NO TOCAR'!$A$2:$D$160,2,FALSE)</f>
        <v>Relaciones sociales</v>
      </c>
      <c r="J331" s="22" t="str">
        <f>VLOOKUP($H331,'NO TOCAR'!$A$2:$D$160,4,FALSE)</f>
        <v>RS</v>
      </c>
      <c r="K331" s="46"/>
      <c r="L331" s="46"/>
      <c r="M331" s="38">
        <v>80.400000000000006</v>
      </c>
      <c r="N331" s="49"/>
      <c r="O331" s="49"/>
      <c r="P331" s="49"/>
      <c r="Q331" s="49"/>
    </row>
    <row r="332" spans="1:17" hidden="1" x14ac:dyDescent="0.35">
      <c r="A332" s="13" t="s">
        <v>345</v>
      </c>
      <c r="B332" s="13" t="s">
        <v>346</v>
      </c>
      <c r="C332" s="13"/>
      <c r="D332" s="7">
        <v>44048</v>
      </c>
      <c r="E332" s="7">
        <v>44048</v>
      </c>
      <c r="F332" s="28"/>
      <c r="G332" s="22" t="str">
        <f>VLOOKUP($H332,'NO TOCAR'!$A$2:$D$160,3,)</f>
        <v>Prohibición consumo alcohol en vía pública</v>
      </c>
      <c r="H332" s="15" t="s">
        <v>303</v>
      </c>
      <c r="I332" s="22" t="str">
        <f>VLOOKUP($H332,'NO TOCAR'!$A$2:$D$160,2,FALSE)</f>
        <v>Relaciones sociales</v>
      </c>
      <c r="J332" s="22" t="str">
        <f>VLOOKUP($H332,'NO TOCAR'!$A$2:$D$160,4,FALSE)</f>
        <v>RS</v>
      </c>
      <c r="K332" s="13"/>
      <c r="L332" s="13"/>
      <c r="M332" s="12"/>
      <c r="N332" s="14"/>
      <c r="O332" s="14"/>
      <c r="P332" s="14"/>
      <c r="Q332" s="14"/>
    </row>
    <row r="333" spans="1:17" x14ac:dyDescent="0.35">
      <c r="A333" s="13" t="s">
        <v>345</v>
      </c>
      <c r="B333" s="13" t="s">
        <v>346</v>
      </c>
      <c r="C333" s="13"/>
      <c r="D333" s="7">
        <v>44245</v>
      </c>
      <c r="E333" s="7">
        <v>44245</v>
      </c>
      <c r="F333" s="77"/>
      <c r="G333" s="76" t="str">
        <f>VLOOKUP($H333,'NO TOCAR'!$A$2:$D$160,3,)</f>
        <v>Aforo de asistencia de público en eventos deportivos en interiores</v>
      </c>
      <c r="H333" s="31" t="s">
        <v>48</v>
      </c>
      <c r="I333" s="22" t="s">
        <v>64</v>
      </c>
      <c r="J333" s="22" t="s">
        <v>66</v>
      </c>
      <c r="K333" s="24" t="s">
        <v>354</v>
      </c>
      <c r="L333" s="24">
        <v>300</v>
      </c>
      <c r="M333" s="12"/>
      <c r="N333" s="14"/>
      <c r="O333" s="14"/>
      <c r="P333" s="14"/>
      <c r="Q333" s="14"/>
    </row>
    <row r="334" spans="1:17" x14ac:dyDescent="0.35">
      <c r="A334" s="13" t="s">
        <v>345</v>
      </c>
      <c r="B334" s="13" t="s">
        <v>346</v>
      </c>
      <c r="C334" s="13"/>
      <c r="D334" s="7">
        <v>44252</v>
      </c>
      <c r="E334" s="16">
        <v>44253</v>
      </c>
      <c r="F334" s="30"/>
      <c r="G334" s="76" t="s">
        <v>76</v>
      </c>
      <c r="H334" s="26" t="s">
        <v>45</v>
      </c>
      <c r="I334" s="22" t="s">
        <v>64</v>
      </c>
      <c r="J334" s="22" t="s">
        <v>66</v>
      </c>
      <c r="K334" s="24" t="s">
        <v>354</v>
      </c>
      <c r="L334" s="13">
        <v>6</v>
      </c>
      <c r="M334" s="12"/>
      <c r="N334" s="14"/>
      <c r="O334" s="14"/>
      <c r="P334" s="14"/>
      <c r="Q334" s="14"/>
    </row>
    <row r="335" spans="1:17" ht="29" hidden="1" x14ac:dyDescent="0.35">
      <c r="A335" s="13" t="s">
        <v>355</v>
      </c>
      <c r="B335" s="13" t="s">
        <v>346</v>
      </c>
      <c r="C335" s="13" t="s">
        <v>356</v>
      </c>
      <c r="D335" s="7">
        <v>44004</v>
      </c>
      <c r="E335" s="7">
        <v>44004</v>
      </c>
      <c r="F335" s="7">
        <v>44026</v>
      </c>
      <c r="G335" s="22" t="str">
        <f>VLOOKUP($H335,'NO TOCAR'!$A$2:$D$160,3,)</f>
        <v>Prohibición de consumo en barra</v>
      </c>
      <c r="H335" s="13" t="s">
        <v>277</v>
      </c>
      <c r="I335" s="22" t="str">
        <f>VLOOKUP($H335,'NO TOCAR'!$A$2:$D$160,2,FALSE)</f>
        <v>Restauración, hostelería y bares</v>
      </c>
      <c r="J335" s="22" t="str">
        <f>VLOOKUP($H335,'NO TOCAR'!$A$2:$D$160,4,FALSE)</f>
        <v>RH</v>
      </c>
      <c r="K335" s="13"/>
      <c r="L335" s="13"/>
      <c r="M335" s="12">
        <v>29.2</v>
      </c>
      <c r="N335" s="14"/>
      <c r="O335" s="14"/>
      <c r="P335" s="14"/>
      <c r="Q335" s="14"/>
    </row>
    <row r="336" spans="1:17" ht="29" hidden="1" x14ac:dyDescent="0.35">
      <c r="A336" s="33" t="s">
        <v>355</v>
      </c>
      <c r="B336" s="33" t="s">
        <v>346</v>
      </c>
      <c r="C336" s="33" t="s">
        <v>356</v>
      </c>
      <c r="D336" s="7">
        <v>44026</v>
      </c>
      <c r="E336" s="7">
        <v>44026</v>
      </c>
      <c r="F336" s="41">
        <v>44036</v>
      </c>
      <c r="G336" s="22" t="str">
        <f>VLOOKUP($H336,'NO TOCAR'!$A$2:$D$160,3,)</f>
        <v>Prohibición de consumo en barra</v>
      </c>
      <c r="H336" s="35" t="s">
        <v>277</v>
      </c>
      <c r="I336" s="22" t="str">
        <f>VLOOKUP($H336,'NO TOCAR'!$A$2:$D$160,2,FALSE)</f>
        <v>Restauración, hostelería y bares</v>
      </c>
      <c r="J336" s="22" t="str">
        <f>VLOOKUP($H336,'NO TOCAR'!$A$2:$D$160,4,FALSE)</f>
        <v>RH</v>
      </c>
      <c r="K336" s="33"/>
      <c r="L336" s="33"/>
      <c r="M336" s="12">
        <v>53.3</v>
      </c>
      <c r="N336" s="34"/>
      <c r="O336" s="34"/>
      <c r="P336" s="34"/>
      <c r="Q336" s="34"/>
    </row>
    <row r="337" spans="1:17" ht="29" hidden="1" x14ac:dyDescent="0.35">
      <c r="A337" s="36" t="s">
        <v>355</v>
      </c>
      <c r="B337" s="36" t="s">
        <v>346</v>
      </c>
      <c r="C337" s="36" t="s">
        <v>358</v>
      </c>
      <c r="D337" s="37">
        <v>44026</v>
      </c>
      <c r="E337" s="37">
        <v>44026</v>
      </c>
      <c r="F337" s="56">
        <v>44078</v>
      </c>
      <c r="G337" s="22" t="str">
        <f>VLOOKUP($H337,'NO TOCAR'!$A$2:$D$160,3,)</f>
        <v>Prohibición de consumo en barra</v>
      </c>
      <c r="H337" s="36" t="s">
        <v>277</v>
      </c>
      <c r="I337" s="22" t="str">
        <f>VLOOKUP($H337,'NO TOCAR'!$A$2:$D$160,2,FALSE)</f>
        <v>Restauración, hostelería y bares</v>
      </c>
      <c r="J337" s="22" t="str">
        <f>VLOOKUP($H337,'NO TOCAR'!$A$2:$D$160,4,FALSE)</f>
        <v>RH</v>
      </c>
      <c r="K337" s="36"/>
      <c r="L337" s="36"/>
      <c r="M337" s="38">
        <v>80.400000000000006</v>
      </c>
      <c r="N337" s="38"/>
      <c r="O337" s="38"/>
      <c r="P337" s="38"/>
      <c r="Q337" s="38"/>
    </row>
    <row r="338" spans="1:17" ht="29" hidden="1" x14ac:dyDescent="0.35">
      <c r="A338" s="46" t="s">
        <v>355</v>
      </c>
      <c r="B338" s="46" t="s">
        <v>346</v>
      </c>
      <c r="C338" s="46" t="s">
        <v>356</v>
      </c>
      <c r="D338" s="47">
        <v>44036</v>
      </c>
      <c r="E338" s="47">
        <v>44036</v>
      </c>
      <c r="F338" s="56">
        <v>44078</v>
      </c>
      <c r="G338" s="22" t="str">
        <f>VLOOKUP($H338,'NO TOCAR'!$A$2:$D$160,3,)</f>
        <v>Prohibición de consumo en barra</v>
      </c>
      <c r="H338" s="48" t="s">
        <v>277</v>
      </c>
      <c r="I338" s="22" t="str">
        <f>VLOOKUP($H338,'NO TOCAR'!$A$2:$D$160,2,FALSE)</f>
        <v>Restauración, hostelería y bares</v>
      </c>
      <c r="J338" s="22" t="str">
        <f>VLOOKUP($H338,'NO TOCAR'!$A$2:$D$160,4,FALSE)</f>
        <v>RH</v>
      </c>
      <c r="K338" s="46"/>
      <c r="L338" s="46"/>
      <c r="M338" s="49">
        <f>17.7+49.9</f>
        <v>67.599999999999994</v>
      </c>
      <c r="N338" s="49"/>
      <c r="O338" s="49"/>
      <c r="P338" s="49"/>
      <c r="Q338" s="49"/>
    </row>
    <row r="339" spans="1:17" ht="29" hidden="1" x14ac:dyDescent="0.35">
      <c r="A339" s="66" t="s">
        <v>355</v>
      </c>
      <c r="B339" s="66" t="s">
        <v>346</v>
      </c>
      <c r="C339" s="66" t="s">
        <v>358</v>
      </c>
      <c r="D339" s="7">
        <v>44111</v>
      </c>
      <c r="E339" s="16">
        <v>44112</v>
      </c>
      <c r="F339" s="16">
        <v>44118</v>
      </c>
      <c r="G339" s="22" t="str">
        <f>VLOOKUP($H339,'NO TOCAR'!$A$2:$D$160,3,)</f>
        <v>Prohibición de consumo en barra</v>
      </c>
      <c r="H339" s="66" t="s">
        <v>277</v>
      </c>
      <c r="I339" s="22" t="str">
        <f>VLOOKUP($H339,'NO TOCAR'!$A$2:$D$160,2,FALSE)</f>
        <v>Restauración, hostelería y bares</v>
      </c>
      <c r="J339" s="22" t="str">
        <f>VLOOKUP($H339,'NO TOCAR'!$A$2:$D$160,4,FALSE)</f>
        <v>RH</v>
      </c>
      <c r="K339" s="66"/>
      <c r="L339" s="66"/>
      <c r="M339" s="68">
        <v>70</v>
      </c>
    </row>
    <row r="340" spans="1:17" ht="29" hidden="1" x14ac:dyDescent="0.35">
      <c r="A340" s="46" t="s">
        <v>355</v>
      </c>
      <c r="B340" s="46" t="s">
        <v>346</v>
      </c>
      <c r="C340" s="46" t="s">
        <v>356</v>
      </c>
      <c r="D340" s="47">
        <v>44111</v>
      </c>
      <c r="E340" s="40">
        <v>44112</v>
      </c>
      <c r="F340" s="40">
        <v>44506</v>
      </c>
      <c r="G340" s="22" t="str">
        <f>VLOOKUP($H340,'NO TOCAR'!$A$2:$D$160,3,)</f>
        <v>Prohibición de consumo en barra</v>
      </c>
      <c r="H340" s="46" t="s">
        <v>277</v>
      </c>
      <c r="I340" s="22" t="str">
        <f>VLOOKUP($H340,'NO TOCAR'!$A$2:$D$160,2,FALSE)</f>
        <v>Restauración, hostelería y bares</v>
      </c>
      <c r="J340" s="22" t="str">
        <f>VLOOKUP($H340,'NO TOCAR'!$A$2:$D$160,4,FALSE)</f>
        <v>RH</v>
      </c>
      <c r="K340" s="46"/>
      <c r="L340" s="46"/>
      <c r="M340" s="49">
        <v>24</v>
      </c>
    </row>
    <row r="341" spans="1:17" ht="29" hidden="1" x14ac:dyDescent="0.35">
      <c r="A341" s="59" t="s">
        <v>355</v>
      </c>
      <c r="B341" s="59" t="s">
        <v>346</v>
      </c>
      <c r="C341" s="59" t="s">
        <v>361</v>
      </c>
      <c r="D341" s="60">
        <v>44118</v>
      </c>
      <c r="E341" s="60">
        <v>44119</v>
      </c>
      <c r="F341" s="61">
        <v>44506</v>
      </c>
      <c r="G341" s="22" t="str">
        <f>VLOOKUP($H341,'NO TOCAR'!$A$2:$D$160,3,)</f>
        <v>Prohibición de consumo en barra</v>
      </c>
      <c r="H341" s="59" t="s">
        <v>277</v>
      </c>
      <c r="I341" s="22" t="str">
        <f>VLOOKUP($H341,'NO TOCAR'!$A$2:$D$160,2,FALSE)</f>
        <v>Restauración, hostelería y bares</v>
      </c>
      <c r="J341" s="22" t="str">
        <f>VLOOKUP($H341,'NO TOCAR'!$A$2:$D$160,4,FALSE)</f>
        <v>RH</v>
      </c>
      <c r="K341" s="59"/>
      <c r="L341" s="59"/>
      <c r="M341" s="63">
        <v>29</v>
      </c>
    </row>
    <row r="342" spans="1:17" ht="29" hidden="1" x14ac:dyDescent="0.35">
      <c r="A342" s="13" t="s">
        <v>345</v>
      </c>
      <c r="B342" s="13" t="s">
        <v>346</v>
      </c>
      <c r="C342" s="46"/>
      <c r="D342" s="7">
        <v>44123</v>
      </c>
      <c r="E342" s="30">
        <v>44124</v>
      </c>
      <c r="F342" s="30"/>
      <c r="G342" s="22" t="str">
        <f>VLOOKUP($H342,'NO TOCAR'!$A$2:$D$160,3,)</f>
        <v>Prohibición de consumo en barra</v>
      </c>
      <c r="H342" s="26" t="s">
        <v>277</v>
      </c>
      <c r="I342" s="22" t="str">
        <f>VLOOKUP($H342,'NO TOCAR'!$A$2:$D$160,2,FALSE)</f>
        <v>Restauración, hostelería y bares</v>
      </c>
      <c r="J342" s="22" t="str">
        <f>VLOOKUP($H342,'NO TOCAR'!$A$2:$D$160,4,FALSE)</f>
        <v>RH</v>
      </c>
      <c r="K342" s="24"/>
      <c r="L342" s="29"/>
      <c r="M342" s="49"/>
      <c r="N342" s="49"/>
      <c r="O342" s="49"/>
      <c r="P342" s="49"/>
      <c r="Q342" s="49"/>
    </row>
    <row r="343" spans="1:17" s="13" customFormat="1" hidden="1" x14ac:dyDescent="0.35">
      <c r="A343" s="13" t="s">
        <v>345</v>
      </c>
      <c r="B343" s="13" t="s">
        <v>346</v>
      </c>
      <c r="C343" s="24"/>
      <c r="D343" s="7">
        <v>44002</v>
      </c>
      <c r="E343" s="30">
        <v>44003</v>
      </c>
      <c r="F343" s="70"/>
      <c r="G343" s="22" t="str">
        <f>VLOOKUP($H343,'NO TOCAR'!$A$2:$D$160,3,)</f>
        <v>Prohibición de coros</v>
      </c>
      <c r="H343" s="26" t="s">
        <v>158</v>
      </c>
      <c r="I343" s="22" t="str">
        <f>VLOOKUP($H343,'NO TOCAR'!$A$2:$D$160,2,FALSE)</f>
        <v>Ceremonias religiosas</v>
      </c>
      <c r="J343" s="22" t="str">
        <f>VLOOKUP($H343,'NO TOCAR'!$A$2:$D$160,4,FALSE)</f>
        <v>CE</v>
      </c>
      <c r="K343" s="24"/>
      <c r="L343" s="24"/>
      <c r="M343" s="27"/>
      <c r="N343" s="28"/>
      <c r="O343" s="28"/>
      <c r="P343" s="28"/>
      <c r="Q343" s="28"/>
    </row>
    <row r="344" spans="1:17" s="24" customFormat="1" ht="29" hidden="1" x14ac:dyDescent="0.35">
      <c r="A344" s="13" t="s">
        <v>345</v>
      </c>
      <c r="B344" s="13" t="s">
        <v>346</v>
      </c>
      <c r="D344" s="7">
        <v>44140</v>
      </c>
      <c r="E344" s="30">
        <v>44141</v>
      </c>
      <c r="F344" s="30">
        <v>44180</v>
      </c>
      <c r="G344" s="22" t="str">
        <f>VLOOKUP($H344,'NO TOCAR'!$A$2:$D$160,3,)</f>
        <v>Prohibición de festejos taurinos</v>
      </c>
      <c r="H344" s="26" t="s">
        <v>149</v>
      </c>
      <c r="I344" s="22" t="str">
        <f>VLOOKUP($H344,'NO TOCAR'!$A$2:$D$160,2,FALSE)</f>
        <v>Cultura y eventos (exc. deportivos)</v>
      </c>
      <c r="J344" s="22" t="str">
        <f>VLOOKUP($H344,'NO TOCAR'!$A$2:$D$160,4,FALSE)</f>
        <v>CD</v>
      </c>
      <c r="M344" s="27"/>
      <c r="N344" s="28"/>
      <c r="O344" s="28"/>
      <c r="P344" s="28"/>
      <c r="Q344" s="28"/>
    </row>
    <row r="345" spans="1:17" s="24" customFormat="1" hidden="1" x14ac:dyDescent="0.35">
      <c r="A345" s="13" t="s">
        <v>345</v>
      </c>
      <c r="B345" s="13" t="s">
        <v>346</v>
      </c>
      <c r="D345" s="7">
        <v>44002</v>
      </c>
      <c r="E345" s="16">
        <v>44003</v>
      </c>
      <c r="F345" s="7">
        <v>44060</v>
      </c>
      <c r="G345" s="22" t="str">
        <f>VLOOKUP($H345,'NO TOCAR'!$A$2:$D$160,3,)</f>
        <v>Prohibición de pistas de baile (permite uso para estar sentados en mesas)</v>
      </c>
      <c r="H345" s="26" t="s">
        <v>35</v>
      </c>
      <c r="I345" s="22" t="str">
        <f>VLOOKUP($H345,'NO TOCAR'!$A$2:$D$160,2,FALSE)</f>
        <v>Ocio nocturno</v>
      </c>
      <c r="J345" s="22" t="str">
        <f>VLOOKUP($H345,'NO TOCAR'!$A$2:$D$160,4,FALSE)</f>
        <v>ON</v>
      </c>
      <c r="M345" s="27"/>
      <c r="N345" s="28"/>
      <c r="O345" s="28"/>
      <c r="P345" s="28"/>
      <c r="Q345" s="28"/>
    </row>
    <row r="346" spans="1:17" s="24" customFormat="1" hidden="1" x14ac:dyDescent="0.35">
      <c r="A346" s="13" t="s">
        <v>355</v>
      </c>
      <c r="B346" s="13" t="s">
        <v>346</v>
      </c>
      <c r="C346" s="13" t="s">
        <v>356</v>
      </c>
      <c r="D346" s="7">
        <v>44004</v>
      </c>
      <c r="E346" s="7">
        <v>44004</v>
      </c>
      <c r="F346" s="7">
        <v>44026</v>
      </c>
      <c r="G346" s="22" t="str">
        <f>VLOOKUP($H346,'NO TOCAR'!$A$2:$D$160,3,)</f>
        <v>Prohibición de pistas de baile (permite uso para estar sentados en mesas)</v>
      </c>
      <c r="H346" s="13" t="s">
        <v>35</v>
      </c>
      <c r="I346" s="22" t="str">
        <f>VLOOKUP($H346,'NO TOCAR'!$A$2:$D$160,2,FALSE)</f>
        <v>Ocio nocturno</v>
      </c>
      <c r="J346" s="22" t="str">
        <f>VLOOKUP($H346,'NO TOCAR'!$A$2:$D$160,4,FALSE)</f>
        <v>ON</v>
      </c>
      <c r="K346" s="13"/>
      <c r="L346" s="13"/>
      <c r="M346" s="12">
        <v>29.2</v>
      </c>
      <c r="N346" s="14"/>
      <c r="O346" s="14"/>
      <c r="P346" s="14"/>
      <c r="Q346" s="14"/>
    </row>
    <row r="347" spans="1:17" s="24" customFormat="1" hidden="1" x14ac:dyDescent="0.35">
      <c r="A347" s="33" t="s">
        <v>355</v>
      </c>
      <c r="B347" s="33" t="s">
        <v>346</v>
      </c>
      <c r="C347" s="33" t="s">
        <v>356</v>
      </c>
      <c r="D347" s="7">
        <v>44026</v>
      </c>
      <c r="E347" s="7">
        <v>44026</v>
      </c>
      <c r="F347" s="41">
        <v>44036</v>
      </c>
      <c r="G347" s="22" t="str">
        <f>VLOOKUP($H347,'NO TOCAR'!$A$2:$D$160,3,)</f>
        <v>Prohibición de pistas de baile (permite uso para estar sentados en mesas)</v>
      </c>
      <c r="H347" s="33" t="s">
        <v>35</v>
      </c>
      <c r="I347" s="22" t="str">
        <f>VLOOKUP($H347,'NO TOCAR'!$A$2:$D$160,2,FALSE)</f>
        <v>Ocio nocturno</v>
      </c>
      <c r="J347" s="22" t="str">
        <f>VLOOKUP($H347,'NO TOCAR'!$A$2:$D$160,4,FALSE)</f>
        <v>ON</v>
      </c>
      <c r="K347" s="33"/>
      <c r="L347" s="33"/>
      <c r="M347" s="12">
        <v>53.3</v>
      </c>
      <c r="N347" s="34"/>
      <c r="O347" s="34"/>
      <c r="P347" s="34"/>
      <c r="Q347" s="34"/>
    </row>
    <row r="348" spans="1:17" s="24" customFormat="1" hidden="1" x14ac:dyDescent="0.35">
      <c r="A348" s="36" t="s">
        <v>355</v>
      </c>
      <c r="B348" s="36" t="s">
        <v>346</v>
      </c>
      <c r="C348" s="36" t="s">
        <v>358</v>
      </c>
      <c r="D348" s="37">
        <v>44026</v>
      </c>
      <c r="E348" s="37">
        <v>44026</v>
      </c>
      <c r="F348" s="7">
        <v>44060</v>
      </c>
      <c r="G348" s="22" t="str">
        <f>VLOOKUP($H348,'NO TOCAR'!$A$2:$D$160,3,)</f>
        <v>Prohibición de pistas de baile (permite uso para estar sentados en mesas)</v>
      </c>
      <c r="H348" s="36" t="s">
        <v>35</v>
      </c>
      <c r="I348" s="22" t="str">
        <f>VLOOKUP($H348,'NO TOCAR'!$A$2:$D$160,2,FALSE)</f>
        <v>Ocio nocturno</v>
      </c>
      <c r="J348" s="22" t="str">
        <f>VLOOKUP($H348,'NO TOCAR'!$A$2:$D$160,4,FALSE)</f>
        <v>ON</v>
      </c>
      <c r="K348" s="36"/>
      <c r="L348" s="36"/>
      <c r="M348" s="38">
        <v>80.400000000000006</v>
      </c>
      <c r="N348" s="38"/>
      <c r="O348" s="38"/>
      <c r="P348" s="38"/>
      <c r="Q348" s="38"/>
    </row>
    <row r="349" spans="1:17" s="24" customFormat="1" hidden="1" x14ac:dyDescent="0.35">
      <c r="A349" s="42" t="s">
        <v>355</v>
      </c>
      <c r="B349" s="42" t="s">
        <v>346</v>
      </c>
      <c r="C349" s="42" t="s">
        <v>356</v>
      </c>
      <c r="D349" s="41">
        <v>44036</v>
      </c>
      <c r="E349" s="41">
        <v>44036</v>
      </c>
      <c r="F349" s="7">
        <v>44060</v>
      </c>
      <c r="G349" s="22" t="str">
        <f>VLOOKUP($H349,'NO TOCAR'!$A$2:$D$160,3,)</f>
        <v>Prohibición de pistas de baile (permite uso para estar sentados en mesas)</v>
      </c>
      <c r="H349" s="45" t="s">
        <v>35</v>
      </c>
      <c r="I349" s="22" t="str">
        <f>VLOOKUP($H349,'NO TOCAR'!$A$2:$D$160,2,FALSE)</f>
        <v>Ocio nocturno</v>
      </c>
      <c r="J349" s="22" t="str">
        <f>VLOOKUP($H349,'NO TOCAR'!$A$2:$D$160,4,FALSE)</f>
        <v>ON</v>
      </c>
      <c r="K349" s="42"/>
      <c r="L349" s="42"/>
      <c r="M349" s="44">
        <v>49.9</v>
      </c>
      <c r="N349" s="44"/>
      <c r="O349" s="44"/>
      <c r="P349" s="44"/>
      <c r="Q349" s="44"/>
    </row>
    <row r="350" spans="1:17" s="13" customFormat="1" hidden="1" x14ac:dyDescent="0.35">
      <c r="A350" s="13" t="s">
        <v>355</v>
      </c>
      <c r="B350" s="13" t="s">
        <v>346</v>
      </c>
      <c r="C350" s="13" t="s">
        <v>356</v>
      </c>
      <c r="D350" s="7">
        <v>44004</v>
      </c>
      <c r="E350" s="7">
        <v>44004</v>
      </c>
      <c r="F350" s="7">
        <v>44026</v>
      </c>
      <c r="G350" s="22" t="str">
        <f>VLOOKUP($H350,'NO TOCAR'!$A$2:$D$160,3,)</f>
        <v>Prohibicion de salidas de residentes</v>
      </c>
      <c r="H350" s="6" t="s">
        <v>196</v>
      </c>
      <c r="I350" s="22" t="str">
        <f>VLOOKUP($H350,'NO TOCAR'!$A$2:$D$160,2,FALSE)</f>
        <v>Centros sociosanitarios</v>
      </c>
      <c r="J350" s="22" t="str">
        <f>VLOOKUP($H350,'NO TOCAR'!$A$2:$D$160,4,FALSE)</f>
        <v>CS</v>
      </c>
      <c r="M350" s="12">
        <v>29.2</v>
      </c>
      <c r="N350" s="14"/>
      <c r="O350" s="14"/>
      <c r="P350" s="14"/>
      <c r="Q350" s="14"/>
    </row>
    <row r="351" spans="1:17" s="24" customFormat="1" hidden="1" x14ac:dyDescent="0.35">
      <c r="A351" s="33" t="s">
        <v>355</v>
      </c>
      <c r="B351" s="33" t="s">
        <v>346</v>
      </c>
      <c r="C351" s="33" t="s">
        <v>356</v>
      </c>
      <c r="D351" s="7">
        <v>44026</v>
      </c>
      <c r="E351" s="7">
        <v>44026</v>
      </c>
      <c r="F351" s="41">
        <v>44036</v>
      </c>
      <c r="G351" s="22" t="str">
        <f>VLOOKUP($H351,'NO TOCAR'!$A$2:$D$160,3,)</f>
        <v>Prohibicion de salidas de residentes</v>
      </c>
      <c r="H351" s="35" t="s">
        <v>196</v>
      </c>
      <c r="I351" s="22" t="str">
        <f>VLOOKUP($H351,'NO TOCAR'!$A$2:$D$160,2,FALSE)</f>
        <v>Centros sociosanitarios</v>
      </c>
      <c r="J351" s="22" t="str">
        <f>VLOOKUP($H351,'NO TOCAR'!$A$2:$D$160,4,FALSE)</f>
        <v>CS</v>
      </c>
      <c r="K351" s="33"/>
      <c r="L351" s="33"/>
      <c r="M351" s="12">
        <v>53.3</v>
      </c>
      <c r="N351" s="34"/>
      <c r="O351" s="34"/>
      <c r="P351" s="34"/>
      <c r="Q351" s="34"/>
    </row>
    <row r="352" spans="1:17" s="24" customFormat="1" hidden="1" x14ac:dyDescent="0.35">
      <c r="A352" s="36" t="s">
        <v>355</v>
      </c>
      <c r="B352" s="36" t="s">
        <v>346</v>
      </c>
      <c r="C352" s="36" t="s">
        <v>358</v>
      </c>
      <c r="D352" s="37">
        <v>44026</v>
      </c>
      <c r="E352" s="37">
        <v>44026</v>
      </c>
      <c r="F352" s="56">
        <v>44078</v>
      </c>
      <c r="G352" s="22" t="str">
        <f>VLOOKUP($H352,'NO TOCAR'!$A$2:$D$160,3,)</f>
        <v>Prohibicion de salidas de residentes</v>
      </c>
      <c r="H352" s="39" t="s">
        <v>196</v>
      </c>
      <c r="I352" s="22" t="str">
        <f>VLOOKUP($H352,'NO TOCAR'!$A$2:$D$160,2,FALSE)</f>
        <v>Centros sociosanitarios</v>
      </c>
      <c r="J352" s="22" t="str">
        <f>VLOOKUP($H352,'NO TOCAR'!$A$2:$D$160,4,FALSE)</f>
        <v>CS</v>
      </c>
      <c r="K352" s="36"/>
      <c r="L352" s="36"/>
      <c r="M352" s="38">
        <v>80.400000000000006</v>
      </c>
      <c r="N352" s="38"/>
      <c r="O352" s="38"/>
      <c r="P352" s="38"/>
      <c r="Q352" s="38"/>
    </row>
    <row r="353" spans="1:17" hidden="1" x14ac:dyDescent="0.35">
      <c r="A353" s="46" t="s">
        <v>355</v>
      </c>
      <c r="B353" s="46" t="s">
        <v>346</v>
      </c>
      <c r="C353" s="46" t="s">
        <v>356</v>
      </c>
      <c r="D353" s="47">
        <v>44036</v>
      </c>
      <c r="E353" s="47">
        <v>44036</v>
      </c>
      <c r="F353" s="56">
        <v>44078</v>
      </c>
      <c r="G353" s="22" t="str">
        <f>VLOOKUP($H353,'NO TOCAR'!$A$2:$D$160,3,)</f>
        <v>Prohibicion de salidas de residentes</v>
      </c>
      <c r="H353" s="48" t="s">
        <v>196</v>
      </c>
      <c r="I353" s="22" t="str">
        <f>VLOOKUP($H353,'NO TOCAR'!$A$2:$D$160,2,FALSE)</f>
        <v>Centros sociosanitarios</v>
      </c>
      <c r="J353" s="22" t="str">
        <f>VLOOKUP($H353,'NO TOCAR'!$A$2:$D$160,4,FALSE)</f>
        <v>CS</v>
      </c>
      <c r="K353" s="46"/>
      <c r="L353" s="46"/>
      <c r="M353" s="49">
        <f>17.7+49.9</f>
        <v>67.599999999999994</v>
      </c>
      <c r="N353" s="49"/>
      <c r="O353" s="49"/>
      <c r="P353" s="49"/>
      <c r="Q353" s="49"/>
    </row>
    <row r="354" spans="1:17" hidden="1" x14ac:dyDescent="0.35">
      <c r="A354" s="13" t="s">
        <v>345</v>
      </c>
      <c r="B354" s="13" t="s">
        <v>346</v>
      </c>
      <c r="C354" s="24"/>
      <c r="D354" s="30">
        <v>44099</v>
      </c>
      <c r="E354" s="30">
        <v>44114</v>
      </c>
      <c r="F354" s="30">
        <v>44122</v>
      </c>
      <c r="G354" s="22" t="str">
        <f>VLOOKUP($H354,'NO TOCAR'!$A$2:$D$160,3,)</f>
        <v>Prohibicion de salidas de residentes</v>
      </c>
      <c r="H354" s="31" t="s">
        <v>196</v>
      </c>
      <c r="I354" s="22" t="str">
        <f>VLOOKUP($H354,'NO TOCAR'!$A$2:$D$160,2,FALSE)</f>
        <v>Centros sociosanitarios</v>
      </c>
      <c r="J354" s="22" t="str">
        <f>VLOOKUP($H354,'NO TOCAR'!$A$2:$D$160,4,FALSE)</f>
        <v>CS</v>
      </c>
      <c r="K354" s="24"/>
      <c r="L354" s="24"/>
      <c r="M354" s="27"/>
      <c r="N354" s="28"/>
      <c r="O354" s="28"/>
      <c r="P354" s="28"/>
      <c r="Q354" s="28"/>
    </row>
    <row r="355" spans="1:17" s="24" customFormat="1" hidden="1" x14ac:dyDescent="0.35">
      <c r="A355" s="13" t="s">
        <v>345</v>
      </c>
      <c r="B355" s="13" t="s">
        <v>346</v>
      </c>
      <c r="C355" s="13"/>
      <c r="D355" s="7">
        <v>44060</v>
      </c>
      <c r="E355" s="7">
        <v>44060</v>
      </c>
      <c r="F355" s="28"/>
      <c r="G355" s="22" t="str">
        <f>VLOOKUP($H355,'NO TOCAR'!$A$2:$D$160,3,)</f>
        <v>Prohibición fumar en vía pública &lt; 2 metros</v>
      </c>
      <c r="H355" s="15" t="s">
        <v>299</v>
      </c>
      <c r="I355" s="22" t="str">
        <f>VLOOKUP($H355,'NO TOCAR'!$A$2:$D$160,2,FALSE)</f>
        <v>Relaciones sociales</v>
      </c>
      <c r="J355" s="22" t="str">
        <f>VLOOKUP($H355,'NO TOCAR'!$A$2:$D$160,4,FALSE)</f>
        <v>RS</v>
      </c>
      <c r="K355" s="13"/>
      <c r="L355" s="13"/>
      <c r="M355" s="14"/>
      <c r="N355" s="14"/>
      <c r="O355" s="14"/>
      <c r="P355" s="14"/>
      <c r="Q355" s="14"/>
    </row>
    <row r="356" spans="1:17" s="24" customFormat="1" hidden="1" x14ac:dyDescent="0.35">
      <c r="A356" s="13" t="s">
        <v>345</v>
      </c>
      <c r="B356" s="13" t="s">
        <v>346</v>
      </c>
      <c r="D356" s="7">
        <v>44002</v>
      </c>
      <c r="E356" s="30">
        <v>44003</v>
      </c>
      <c r="F356" s="28"/>
      <c r="G356" s="22" t="str">
        <f>VLOOKUP($H356,'NO TOCAR'!$A$2:$D$160,3,)</f>
        <v>Promoción del teletrabajo</v>
      </c>
      <c r="H356" s="26" t="s">
        <v>326</v>
      </c>
      <c r="I356" s="22" t="str">
        <f>VLOOKUP($H356,'NO TOCAR'!$A$2:$D$160,2,FALSE)</f>
        <v>Trabajo</v>
      </c>
      <c r="J356" s="22" t="str">
        <f>VLOOKUP($H356,'NO TOCAR'!$A$2:$D$160,4,FALSE)</f>
        <v>TR</v>
      </c>
      <c r="M356" s="27"/>
      <c r="N356" s="28"/>
      <c r="O356" s="28"/>
      <c r="P356" s="28"/>
      <c r="Q356" s="28"/>
    </row>
    <row r="357" spans="1:17" ht="29" hidden="1" x14ac:dyDescent="0.35">
      <c r="A357" s="13" t="s">
        <v>345</v>
      </c>
      <c r="B357" s="13" t="s">
        <v>346</v>
      </c>
      <c r="C357" s="13"/>
      <c r="D357" s="7">
        <v>44060</v>
      </c>
      <c r="E357" s="7">
        <v>44060</v>
      </c>
      <c r="F357" s="28"/>
      <c r="G357" s="22" t="str">
        <f>VLOOKUP($H357,'NO TOCAR'!$A$2:$D$160,3,)</f>
        <v>Recomendación de reducir encuentros fuera del grupo de convivencia habitual</v>
      </c>
      <c r="H357" s="15" t="s">
        <v>309</v>
      </c>
      <c r="I357" s="22" t="str">
        <f>VLOOKUP($H357,'NO TOCAR'!$A$2:$D$160,2,FALSE)</f>
        <v>Relaciones sociales</v>
      </c>
      <c r="J357" s="22" t="str">
        <f>VLOOKUP($H357,'NO TOCAR'!$A$2:$D$160,4,FALSE)</f>
        <v>RS</v>
      </c>
      <c r="K357" s="13"/>
      <c r="L357" s="13"/>
      <c r="M357" s="14"/>
      <c r="N357" s="14"/>
      <c r="O357" s="14"/>
      <c r="P357" s="14"/>
      <c r="Q357" s="14"/>
    </row>
    <row r="358" spans="1:17" ht="29" hidden="1" x14ac:dyDescent="0.35">
      <c r="A358" s="13" t="s">
        <v>345</v>
      </c>
      <c r="B358" s="13" t="s">
        <v>346</v>
      </c>
      <c r="C358" s="24"/>
      <c r="D358" s="7">
        <v>44140</v>
      </c>
      <c r="E358" s="16">
        <v>44141</v>
      </c>
      <c r="F358" s="16">
        <v>44259</v>
      </c>
      <c r="G358" s="22" t="str">
        <f>VLOOKUP($H358,'NO TOCAR'!$A$2:$D$160,3,)</f>
        <v>Suspensión de eventos profesionales (congresos, encuentros, etc.) en espacios abiertos y cerrados</v>
      </c>
      <c r="H358" s="31" t="s">
        <v>334</v>
      </c>
      <c r="I358" s="22" t="str">
        <f>VLOOKUP($H358,'NO TOCAR'!$A$2:$D$160,2,FALSE)</f>
        <v>Trabajo</v>
      </c>
      <c r="J358" s="22" t="str">
        <f>VLOOKUP($H358,'NO TOCAR'!$A$2:$D$160,4,FALSE)</f>
        <v>TR</v>
      </c>
      <c r="K358" s="32"/>
      <c r="L358" s="24"/>
      <c r="M358" s="27"/>
      <c r="N358" s="28"/>
      <c r="O358" s="28"/>
      <c r="P358" s="28"/>
      <c r="Q358" s="28"/>
    </row>
    <row r="359" spans="1:17" hidden="1" x14ac:dyDescent="0.35">
      <c r="A359" s="13" t="s">
        <v>345</v>
      </c>
      <c r="B359" s="13" t="s">
        <v>346</v>
      </c>
      <c r="C359" s="24"/>
      <c r="D359" s="7">
        <v>44002</v>
      </c>
      <c r="E359" s="16">
        <v>44003</v>
      </c>
      <c r="F359" s="57">
        <v>44196</v>
      </c>
      <c r="G359" s="22" t="str">
        <f>VLOOKUP($H359,'NO TOCAR'!$A$2:$D$160,3,)</f>
        <v>Suspensión de fiestas locales y verbenas</v>
      </c>
      <c r="H359" s="26" t="s">
        <v>258</v>
      </c>
      <c r="I359" s="22" t="str">
        <f>VLOOKUP($H359,'NO TOCAR'!$A$2:$D$160,2,FALSE)</f>
        <v>Ocio nocturno</v>
      </c>
      <c r="J359" s="22" t="str">
        <f>VLOOKUP($H359,'NO TOCAR'!$A$2:$D$160,4,FALSE)</f>
        <v>ON</v>
      </c>
      <c r="K359" s="24"/>
      <c r="L359" s="24"/>
      <c r="M359" s="27"/>
      <c r="N359" s="27"/>
      <c r="O359" s="28"/>
      <c r="P359" s="58" t="s">
        <v>360</v>
      </c>
      <c r="Q359" s="28"/>
    </row>
    <row r="360" spans="1:17" hidden="1" x14ac:dyDescent="0.35">
      <c r="A360" s="13" t="s">
        <v>345</v>
      </c>
      <c r="B360" s="13" t="s">
        <v>346</v>
      </c>
      <c r="E360" s="17">
        <v>44224</v>
      </c>
      <c r="F360" s="17">
        <v>44325</v>
      </c>
      <c r="G360" s="22" t="str">
        <f>VLOOKUP($H360,'NO TOCAR'!$A$2:$D$160,3,)</f>
        <v>Suspensión de fiestas locales y verbenas</v>
      </c>
      <c r="H360" s="31" t="s">
        <v>258</v>
      </c>
      <c r="I360" s="22" t="str">
        <f>VLOOKUP($H360,'NO TOCAR'!$A$2:$D$160,2,FALSE)</f>
        <v>Ocio nocturno</v>
      </c>
      <c r="J360" s="22" t="str">
        <f>VLOOKUP($H360,'NO TOCAR'!$A$2:$D$160,4,FALSE)</f>
        <v>ON</v>
      </c>
      <c r="K360" s="24"/>
      <c r="L360" s="24"/>
    </row>
    <row r="361" spans="1:17" s="13" customFormat="1" hidden="1" x14ac:dyDescent="0.35">
      <c r="C361"/>
      <c r="D361" s="17"/>
      <c r="E361" s="17"/>
      <c r="F361" s="17"/>
      <c r="G361" s="22"/>
      <c r="H361" s="19"/>
      <c r="I361" s="22"/>
      <c r="J361" s="22"/>
      <c r="K361"/>
      <c r="L361"/>
      <c r="M361"/>
      <c r="N361"/>
      <c r="O361"/>
      <c r="P361"/>
      <c r="Q361"/>
    </row>
    <row r="362" spans="1:17" s="13" customFormat="1" hidden="1" x14ac:dyDescent="0.35">
      <c r="D362" s="7"/>
      <c r="E362" s="7"/>
      <c r="F362" s="30"/>
      <c r="G362" s="22"/>
      <c r="H362" s="15"/>
      <c r="I362" s="22"/>
      <c r="J362" s="22"/>
      <c r="K362"/>
      <c r="L362"/>
      <c r="M362"/>
      <c r="N362"/>
      <c r="O362"/>
      <c r="P362"/>
      <c r="Q362"/>
    </row>
    <row r="363" spans="1:17" s="24" customFormat="1" ht="29" hidden="1" x14ac:dyDescent="0.35">
      <c r="A363" s="13" t="s">
        <v>345</v>
      </c>
      <c r="B363" s="13" t="s">
        <v>346</v>
      </c>
      <c r="C363" s="13"/>
      <c r="D363" s="7">
        <v>44274</v>
      </c>
      <c r="E363" s="16">
        <v>44275</v>
      </c>
      <c r="F363" s="16"/>
      <c r="G363" s="22" t="str">
        <f>VLOOKUP($H363,'NO TOCAR'!$A$2:$D$160,3,)</f>
        <v>Limitación al número de personas en reuniones solo en lugares públicos (tanto interiores como exteriores)</v>
      </c>
      <c r="H363" s="15" t="s">
        <v>295</v>
      </c>
      <c r="I363" s="22" t="s">
        <v>291</v>
      </c>
      <c r="J363" s="22" t="s">
        <v>293</v>
      </c>
      <c r="K363" t="s">
        <v>354</v>
      </c>
      <c r="L363" s="13">
        <v>6</v>
      </c>
      <c r="M363" s="12"/>
      <c r="N363" s="14"/>
      <c r="O363" s="14"/>
      <c r="P363" s="14"/>
      <c r="Q363" s="14"/>
    </row>
    <row r="364" spans="1:17" s="33" customFormat="1" ht="29" hidden="1" x14ac:dyDescent="0.35">
      <c r="A364" s="13" t="s">
        <v>345</v>
      </c>
      <c r="B364" s="13" t="s">
        <v>346</v>
      </c>
      <c r="C364" s="24"/>
      <c r="D364" s="7">
        <v>44259</v>
      </c>
      <c r="E364" s="16">
        <v>44260</v>
      </c>
      <c r="F364" s="16"/>
      <c r="G364" s="22" t="str">
        <f>VLOOKUP($H364,'NO TOCAR'!$A$2:$D$160,3,)</f>
        <v>Aforo en eventos profesionales (congresos, encuentros, etc.) en espacios abiertos y cerrados</v>
      </c>
      <c r="H364" s="31" t="s">
        <v>336</v>
      </c>
      <c r="I364" s="22" t="str">
        <f>VLOOKUP($H364,'NO TOCAR'!$A$2:$D$160,2,FALSE)</f>
        <v>Trabajo</v>
      </c>
      <c r="J364" s="22" t="str">
        <f>VLOOKUP($H364,'NO TOCAR'!$A$2:$D$160,4,FALSE)</f>
        <v>TR</v>
      </c>
      <c r="K364" s="32" t="s">
        <v>354</v>
      </c>
      <c r="L364" s="24">
        <v>150</v>
      </c>
      <c r="M364" s="27"/>
      <c r="N364" s="28"/>
      <c r="O364" s="28"/>
      <c r="P364" s="28"/>
      <c r="Q364" s="28"/>
    </row>
    <row r="365" spans="1:17" ht="29" hidden="1" x14ac:dyDescent="0.35">
      <c r="A365" s="13" t="s">
        <v>345</v>
      </c>
      <c r="B365" s="13" t="s">
        <v>346</v>
      </c>
      <c r="C365" s="46"/>
      <c r="D365" s="7">
        <v>44259</v>
      </c>
      <c r="E365" s="30">
        <v>44260</v>
      </c>
      <c r="F365" s="30"/>
      <c r="G365" s="22" t="str">
        <f>VLOOKUP($H365,'NO TOCAR'!$A$2:$D$160,3,)</f>
        <v>Limitación de horario en restaurantes y bares</v>
      </c>
      <c r="H365" s="26" t="s">
        <v>279</v>
      </c>
      <c r="I365" s="22" t="str">
        <f>VLOOKUP($H365,'NO TOCAR'!$A$2:$D$160,2,FALSE)</f>
        <v>Restauración, hostelería y bares</v>
      </c>
      <c r="J365" s="22" t="str">
        <f>VLOOKUP($H365,'NO TOCAR'!$A$2:$D$160,4,FALSE)</f>
        <v>RH</v>
      </c>
      <c r="K365" s="24" t="s">
        <v>382</v>
      </c>
      <c r="L365" s="29">
        <v>0.91666666666666663</v>
      </c>
      <c r="M365" s="49"/>
      <c r="N365" s="49"/>
      <c r="O365" s="49"/>
      <c r="P365" s="49"/>
      <c r="Q365" s="49"/>
    </row>
    <row r="366" spans="1:17" hidden="1" x14ac:dyDescent="0.35">
      <c r="A366" s="13" t="s">
        <v>345</v>
      </c>
      <c r="B366" s="13" t="s">
        <v>346</v>
      </c>
      <c r="C366" s="13"/>
      <c r="D366" s="7">
        <v>44259</v>
      </c>
      <c r="E366" s="30">
        <v>44260</v>
      </c>
      <c r="F366" s="30"/>
      <c r="G366" s="22" t="str">
        <f>VLOOKUP($H366,'NO TOCAR'!$A$2:$D$160,3,)</f>
        <v>Limitación de horario comercio no esencial</v>
      </c>
      <c r="H366" s="31" t="s">
        <v>176</v>
      </c>
      <c r="I366" s="22" t="str">
        <f>VLOOKUP($H366,'NO TOCAR'!$A$2:$D$160,2,FALSE)</f>
        <v>Comercio</v>
      </c>
      <c r="J366" s="22" t="str">
        <f>VLOOKUP($H366,'NO TOCAR'!$A$2:$D$160,4,FALSE)</f>
        <v>CO</v>
      </c>
      <c r="K366" t="s">
        <v>366</v>
      </c>
      <c r="L366" s="29">
        <v>0.91666666666666663</v>
      </c>
      <c r="M366" s="12"/>
      <c r="N366" s="14"/>
      <c r="O366" s="14"/>
      <c r="P366" s="14"/>
      <c r="Q366" s="14"/>
    </row>
  </sheetData>
  <autoFilter ref="A1:Q366">
    <filterColumn colId="9">
      <filters>
        <filter val="AF"/>
      </filters>
    </filterColumn>
  </autoFilter>
  <sortState ref="A2:Q334">
    <sortCondition ref="E2:E366"/>
    <sortCondition ref="F2:F36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filterMode="1">
    <tabColor rgb="FFFF0000"/>
  </sheetPr>
  <dimension ref="A1:D160"/>
  <sheetViews>
    <sheetView workbookViewId="0">
      <selection activeCell="C4" sqref="C4"/>
    </sheetView>
  </sheetViews>
  <sheetFormatPr baseColWidth="10" defaultColWidth="28" defaultRowHeight="31.5" customHeight="1" x14ac:dyDescent="0.35"/>
  <cols>
    <col min="3" max="3" width="47.54296875" customWidth="1"/>
  </cols>
  <sheetData>
    <row r="1" spans="1:4" ht="31.5" customHeight="1" x14ac:dyDescent="0.35">
      <c r="A1" s="18" t="s">
        <v>63</v>
      </c>
      <c r="B1" s="18" t="s">
        <v>60</v>
      </c>
      <c r="C1" s="18" t="s">
        <v>61</v>
      </c>
      <c r="D1" s="18" t="s">
        <v>62</v>
      </c>
    </row>
    <row r="2" spans="1:4" ht="31.5" hidden="1" customHeight="1" x14ac:dyDescent="0.35">
      <c r="A2" s="19" t="s">
        <v>232</v>
      </c>
      <c r="B2" s="19" t="s">
        <v>229</v>
      </c>
      <c r="C2" s="19" t="s">
        <v>230</v>
      </c>
      <c r="D2" s="19" t="s">
        <v>231</v>
      </c>
    </row>
    <row r="3" spans="1:4" ht="31.5" hidden="1" customHeight="1" x14ac:dyDescent="0.35">
      <c r="A3" s="19" t="s">
        <v>18</v>
      </c>
      <c r="B3" s="19" t="s">
        <v>229</v>
      </c>
      <c r="C3" s="19" t="s">
        <v>233</v>
      </c>
      <c r="D3" s="19" t="s">
        <v>231</v>
      </c>
    </row>
    <row r="4" spans="1:4" ht="31.5" customHeight="1" x14ac:dyDescent="0.35">
      <c r="A4" s="21" t="s">
        <v>59</v>
      </c>
      <c r="B4" s="19" t="s">
        <v>291</v>
      </c>
      <c r="C4" s="19" t="s">
        <v>292</v>
      </c>
      <c r="D4" s="19" t="s">
        <v>293</v>
      </c>
    </row>
    <row r="5" spans="1:4" ht="31.5" customHeight="1" x14ac:dyDescent="0.35">
      <c r="A5" s="19" t="s">
        <v>295</v>
      </c>
      <c r="B5" s="19" t="s">
        <v>291</v>
      </c>
      <c r="C5" s="19" t="s">
        <v>294</v>
      </c>
      <c r="D5" s="19" t="s">
        <v>293</v>
      </c>
    </row>
    <row r="6" spans="1:4" ht="31.5" customHeight="1" x14ac:dyDescent="0.35">
      <c r="A6" s="19" t="s">
        <v>297</v>
      </c>
      <c r="B6" s="19" t="s">
        <v>291</v>
      </c>
      <c r="C6" s="19" t="s">
        <v>296</v>
      </c>
      <c r="D6" s="19" t="s">
        <v>293</v>
      </c>
    </row>
    <row r="7" spans="1:4" ht="31.5" customHeight="1" x14ac:dyDescent="0.35">
      <c r="A7" s="20" t="s">
        <v>307</v>
      </c>
      <c r="B7" s="20" t="s">
        <v>291</v>
      </c>
      <c r="C7" s="20" t="s">
        <v>306</v>
      </c>
      <c r="D7" s="20" t="s">
        <v>293</v>
      </c>
    </row>
    <row r="8" spans="1:4" ht="31.5" customHeight="1" x14ac:dyDescent="0.35">
      <c r="A8" s="20" t="s">
        <v>305</v>
      </c>
      <c r="B8" s="20" t="s">
        <v>291</v>
      </c>
      <c r="C8" s="20" t="s">
        <v>304</v>
      </c>
      <c r="D8" s="20" t="s">
        <v>293</v>
      </c>
    </row>
    <row r="9" spans="1:4" ht="31.5" customHeight="1" x14ac:dyDescent="0.35">
      <c r="A9" s="20" t="s">
        <v>309</v>
      </c>
      <c r="B9" s="20" t="s">
        <v>291</v>
      </c>
      <c r="C9" s="20" t="s">
        <v>308</v>
      </c>
      <c r="D9" s="20" t="s">
        <v>293</v>
      </c>
    </row>
    <row r="10" spans="1:4" ht="31.5" customHeight="1" x14ac:dyDescent="0.35">
      <c r="A10" s="19" t="s">
        <v>299</v>
      </c>
      <c r="B10" s="19" t="s">
        <v>291</v>
      </c>
      <c r="C10" s="19" t="s">
        <v>298</v>
      </c>
      <c r="D10" s="19" t="s">
        <v>293</v>
      </c>
    </row>
    <row r="11" spans="1:4" ht="31.5" customHeight="1" x14ac:dyDescent="0.35">
      <c r="A11" s="19" t="s">
        <v>301</v>
      </c>
      <c r="B11" s="19" t="s">
        <v>291</v>
      </c>
      <c r="C11" s="19" t="s">
        <v>300</v>
      </c>
      <c r="D11" s="19" t="s">
        <v>293</v>
      </c>
    </row>
    <row r="12" spans="1:4" ht="31.5" customHeight="1" x14ac:dyDescent="0.35">
      <c r="A12" s="19" t="s">
        <v>303</v>
      </c>
      <c r="B12" s="19" t="s">
        <v>291</v>
      </c>
      <c r="C12" s="19" t="s">
        <v>302</v>
      </c>
      <c r="D12" s="19" t="s">
        <v>293</v>
      </c>
    </row>
    <row r="13" spans="1:4" ht="31.5" hidden="1" customHeight="1" x14ac:dyDescent="0.35">
      <c r="A13" s="19" t="s">
        <v>237</v>
      </c>
      <c r="B13" s="19" t="s">
        <v>234</v>
      </c>
      <c r="C13" s="19" t="s">
        <v>235</v>
      </c>
      <c r="D13" s="19" t="s">
        <v>236</v>
      </c>
    </row>
    <row r="14" spans="1:4" ht="31.5" hidden="1" customHeight="1" x14ac:dyDescent="0.35">
      <c r="A14" s="19" t="s">
        <v>239</v>
      </c>
      <c r="B14" s="19" t="s">
        <v>234</v>
      </c>
      <c r="C14" s="19" t="s">
        <v>238</v>
      </c>
      <c r="D14" s="19" t="s">
        <v>236</v>
      </c>
    </row>
    <row r="15" spans="1:4" ht="31.5" hidden="1" customHeight="1" x14ac:dyDescent="0.35">
      <c r="A15" s="19" t="s">
        <v>241</v>
      </c>
      <c r="B15" s="19" t="s">
        <v>234</v>
      </c>
      <c r="C15" s="19" t="s">
        <v>240</v>
      </c>
      <c r="D15" s="19" t="s">
        <v>236</v>
      </c>
    </row>
    <row r="16" spans="1:4" ht="31.5" hidden="1" customHeight="1" x14ac:dyDescent="0.35">
      <c r="A16" s="19" t="s">
        <v>243</v>
      </c>
      <c r="B16" s="19" t="s">
        <v>234</v>
      </c>
      <c r="C16" s="19" t="s">
        <v>242</v>
      </c>
      <c r="D16" s="19" t="s">
        <v>236</v>
      </c>
    </row>
    <row r="17" spans="1:4" ht="31.5" hidden="1" customHeight="1" x14ac:dyDescent="0.35">
      <c r="A17" s="75" t="s">
        <v>370</v>
      </c>
      <c r="B17" s="75" t="s">
        <v>234</v>
      </c>
      <c r="C17" s="75" t="s">
        <v>371</v>
      </c>
      <c r="D17" s="75" t="s">
        <v>236</v>
      </c>
    </row>
    <row r="18" spans="1:4" ht="31.5" hidden="1" customHeight="1" x14ac:dyDescent="0.35">
      <c r="A18" s="19" t="s">
        <v>245</v>
      </c>
      <c r="B18" s="19" t="s">
        <v>234</v>
      </c>
      <c r="C18" s="19" t="s">
        <v>244</v>
      </c>
      <c r="D18" s="19" t="s">
        <v>236</v>
      </c>
    </row>
    <row r="19" spans="1:4" ht="31.5" hidden="1" customHeight="1" x14ac:dyDescent="0.35">
      <c r="A19" s="19" t="s">
        <v>247</v>
      </c>
      <c r="B19" s="19" t="s">
        <v>234</v>
      </c>
      <c r="C19" s="19" t="s">
        <v>246</v>
      </c>
      <c r="D19" s="19" t="s">
        <v>236</v>
      </c>
    </row>
    <row r="20" spans="1:4" ht="31.5" hidden="1" customHeight="1" x14ac:dyDescent="0.35">
      <c r="A20" s="19" t="s">
        <v>216</v>
      </c>
      <c r="B20" s="19" t="s">
        <v>213</v>
      </c>
      <c r="C20" s="19" t="s">
        <v>214</v>
      </c>
      <c r="D20" s="19" t="s">
        <v>215</v>
      </c>
    </row>
    <row r="21" spans="1:4" ht="31.5" hidden="1" customHeight="1" x14ac:dyDescent="0.35">
      <c r="A21" s="20" t="s">
        <v>221</v>
      </c>
      <c r="B21" s="20" t="s">
        <v>213</v>
      </c>
      <c r="C21" s="20" t="s">
        <v>220</v>
      </c>
      <c r="D21" s="20" t="s">
        <v>215</v>
      </c>
    </row>
    <row r="22" spans="1:4" ht="31.5" hidden="1" customHeight="1" x14ac:dyDescent="0.35">
      <c r="A22" s="19" t="s">
        <v>218</v>
      </c>
      <c r="B22" s="19" t="s">
        <v>213</v>
      </c>
      <c r="C22" s="19" t="s">
        <v>217</v>
      </c>
      <c r="D22" s="19" t="s">
        <v>215</v>
      </c>
    </row>
    <row r="23" spans="1:4" ht="31.5" hidden="1" customHeight="1" x14ac:dyDescent="0.35">
      <c r="A23" s="19" t="s">
        <v>30</v>
      </c>
      <c r="B23" s="19" t="s">
        <v>213</v>
      </c>
      <c r="C23" s="19" t="s">
        <v>219</v>
      </c>
      <c r="D23" s="19" t="s">
        <v>215</v>
      </c>
    </row>
    <row r="24" spans="1:4" ht="31.5" hidden="1" customHeight="1" x14ac:dyDescent="0.35">
      <c r="A24" s="19" t="s">
        <v>322</v>
      </c>
      <c r="B24" s="19" t="s">
        <v>319</v>
      </c>
      <c r="C24" s="19" t="s">
        <v>320</v>
      </c>
      <c r="D24" s="19" t="s">
        <v>321</v>
      </c>
    </row>
    <row r="25" spans="1:4" ht="31.5" hidden="1" customHeight="1" x14ac:dyDescent="0.35">
      <c r="A25" s="19" t="s">
        <v>324</v>
      </c>
      <c r="B25" s="19" t="s">
        <v>319</v>
      </c>
      <c r="C25" s="19" t="s">
        <v>323</v>
      </c>
      <c r="D25" s="19" t="s">
        <v>321</v>
      </c>
    </row>
    <row r="26" spans="1:4" ht="31.5" hidden="1" customHeight="1" x14ac:dyDescent="0.35">
      <c r="A26" s="19" t="s">
        <v>326</v>
      </c>
      <c r="B26" s="19" t="s">
        <v>319</v>
      </c>
      <c r="C26" s="19" t="s">
        <v>325</v>
      </c>
      <c r="D26" s="19" t="s">
        <v>321</v>
      </c>
    </row>
    <row r="27" spans="1:4" ht="31.5" hidden="1" customHeight="1" x14ac:dyDescent="0.35">
      <c r="A27" s="20" t="s">
        <v>334</v>
      </c>
      <c r="B27" s="20" t="s">
        <v>319</v>
      </c>
      <c r="C27" s="20" t="s">
        <v>333</v>
      </c>
      <c r="D27" s="20" t="s">
        <v>321</v>
      </c>
    </row>
    <row r="28" spans="1:4" ht="31.5" hidden="1" customHeight="1" x14ac:dyDescent="0.35">
      <c r="A28" s="19" t="s">
        <v>328</v>
      </c>
      <c r="B28" s="19" t="s">
        <v>319</v>
      </c>
      <c r="C28" s="19" t="s">
        <v>327</v>
      </c>
      <c r="D28" s="19" t="s">
        <v>321</v>
      </c>
    </row>
    <row r="29" spans="1:4" ht="31.5" hidden="1" customHeight="1" x14ac:dyDescent="0.35">
      <c r="A29" s="20" t="s">
        <v>331</v>
      </c>
      <c r="B29" s="20" t="s">
        <v>319</v>
      </c>
      <c r="C29" s="20" t="s">
        <v>330</v>
      </c>
      <c r="D29" s="20" t="s">
        <v>321</v>
      </c>
    </row>
    <row r="30" spans="1:4" ht="31.5" hidden="1" customHeight="1" x14ac:dyDescent="0.35">
      <c r="A30" s="20" t="s">
        <v>336</v>
      </c>
      <c r="B30" s="20" t="s">
        <v>319</v>
      </c>
      <c r="C30" s="20" t="s">
        <v>335</v>
      </c>
      <c r="D30" s="20" t="s">
        <v>321</v>
      </c>
    </row>
    <row r="31" spans="1:4" ht="31.5" hidden="1" customHeight="1" x14ac:dyDescent="0.35">
      <c r="A31" s="19" t="s">
        <v>56</v>
      </c>
      <c r="B31" s="19" t="s">
        <v>319</v>
      </c>
      <c r="C31" s="19" t="s">
        <v>329</v>
      </c>
      <c r="D31" s="19" t="s">
        <v>321</v>
      </c>
    </row>
    <row r="32" spans="1:4" ht="31.5" hidden="1" customHeight="1" x14ac:dyDescent="0.35">
      <c r="A32" s="20" t="s">
        <v>57</v>
      </c>
      <c r="B32" s="20" t="s">
        <v>319</v>
      </c>
      <c r="C32" s="20" t="s">
        <v>332</v>
      </c>
      <c r="D32" s="20" t="s">
        <v>321</v>
      </c>
    </row>
    <row r="33" spans="1:4" ht="31.5" hidden="1" customHeight="1" x14ac:dyDescent="0.35">
      <c r="A33" s="19" t="s">
        <v>164</v>
      </c>
      <c r="B33" s="19" t="s">
        <v>161</v>
      </c>
      <c r="C33" s="19" t="s">
        <v>162</v>
      </c>
      <c r="D33" s="19" t="s">
        <v>163</v>
      </c>
    </row>
    <row r="34" spans="1:4" ht="31.5" hidden="1" customHeight="1" x14ac:dyDescent="0.35">
      <c r="A34" s="19" t="s">
        <v>166</v>
      </c>
      <c r="B34" s="19" t="s">
        <v>161</v>
      </c>
      <c r="C34" s="19" t="s">
        <v>165</v>
      </c>
      <c r="D34" s="19" t="s">
        <v>163</v>
      </c>
    </row>
    <row r="35" spans="1:4" ht="31.5" hidden="1" customHeight="1" x14ac:dyDescent="0.35">
      <c r="A35" s="19" t="s">
        <v>168</v>
      </c>
      <c r="B35" s="19" t="s">
        <v>161</v>
      </c>
      <c r="C35" s="19" t="s">
        <v>167</v>
      </c>
      <c r="D35" s="19" t="s">
        <v>163</v>
      </c>
    </row>
    <row r="36" spans="1:4" ht="31.5" hidden="1" customHeight="1" x14ac:dyDescent="0.35">
      <c r="A36" s="19" t="s">
        <v>176</v>
      </c>
      <c r="B36" s="19" t="s">
        <v>161</v>
      </c>
      <c r="C36" s="19" t="s">
        <v>175</v>
      </c>
      <c r="D36" s="19" t="s">
        <v>163</v>
      </c>
    </row>
    <row r="37" spans="1:4" ht="31.5" hidden="1" customHeight="1" x14ac:dyDescent="0.35">
      <c r="A37" s="19" t="s">
        <v>28</v>
      </c>
      <c r="B37" s="19" t="s">
        <v>161</v>
      </c>
      <c r="C37" s="19" t="s">
        <v>177</v>
      </c>
      <c r="D37" s="19" t="s">
        <v>163</v>
      </c>
    </row>
    <row r="38" spans="1:4" ht="31.5" hidden="1" customHeight="1" x14ac:dyDescent="0.35">
      <c r="A38" s="19" t="s">
        <v>170</v>
      </c>
      <c r="B38" s="19" t="s">
        <v>161</v>
      </c>
      <c r="C38" s="19" t="s">
        <v>169</v>
      </c>
      <c r="D38" s="19" t="s">
        <v>163</v>
      </c>
    </row>
    <row r="39" spans="1:4" ht="31.5" hidden="1" customHeight="1" x14ac:dyDescent="0.35">
      <c r="A39" s="19" t="s">
        <v>172</v>
      </c>
      <c r="B39" s="19" t="s">
        <v>161</v>
      </c>
      <c r="C39" s="19" t="s">
        <v>171</v>
      </c>
      <c r="D39" s="19" t="s">
        <v>163</v>
      </c>
    </row>
    <row r="40" spans="1:4" ht="31.5" hidden="1" customHeight="1" x14ac:dyDescent="0.35">
      <c r="A40" s="19" t="s">
        <v>179</v>
      </c>
      <c r="B40" s="19" t="s">
        <v>161</v>
      </c>
      <c r="C40" s="19" t="s">
        <v>178</v>
      </c>
      <c r="D40" s="19" t="s">
        <v>163</v>
      </c>
    </row>
    <row r="41" spans="1:4" ht="31.5" hidden="1" customHeight="1" x14ac:dyDescent="0.35">
      <c r="A41" s="19" t="s">
        <v>174</v>
      </c>
      <c r="B41" s="19" t="s">
        <v>161</v>
      </c>
      <c r="C41" s="19" t="s">
        <v>173</v>
      </c>
      <c r="D41" s="19" t="s">
        <v>163</v>
      </c>
    </row>
    <row r="42" spans="1:4" ht="31.5" hidden="1" customHeight="1" x14ac:dyDescent="0.35">
      <c r="A42" s="19" t="s">
        <v>29</v>
      </c>
      <c r="B42" s="19" t="s">
        <v>161</v>
      </c>
      <c r="C42" s="19" t="s">
        <v>180</v>
      </c>
      <c r="D42" s="19" t="s">
        <v>163</v>
      </c>
    </row>
    <row r="43" spans="1:4" ht="31.5" hidden="1" customHeight="1" x14ac:dyDescent="0.35">
      <c r="A43" s="20" t="s">
        <v>182</v>
      </c>
      <c r="B43" s="20" t="s">
        <v>161</v>
      </c>
      <c r="C43" s="20" t="s">
        <v>181</v>
      </c>
      <c r="D43" s="20" t="s">
        <v>163</v>
      </c>
    </row>
    <row r="44" spans="1:4" ht="31.5" hidden="1" customHeight="1" x14ac:dyDescent="0.35">
      <c r="A44" s="19" t="s">
        <v>272</v>
      </c>
      <c r="B44" s="19" t="s">
        <v>269</v>
      </c>
      <c r="C44" s="19" t="s">
        <v>270</v>
      </c>
      <c r="D44" s="19" t="s">
        <v>271</v>
      </c>
    </row>
    <row r="45" spans="1:4" ht="31.5" hidden="1" customHeight="1" x14ac:dyDescent="0.35">
      <c r="A45" s="19" t="s">
        <v>274</v>
      </c>
      <c r="B45" s="19" t="s">
        <v>269</v>
      </c>
      <c r="C45" s="19" t="s">
        <v>273</v>
      </c>
      <c r="D45" s="19" t="s">
        <v>271</v>
      </c>
    </row>
    <row r="46" spans="1:4" ht="31.5" hidden="1" customHeight="1" x14ac:dyDescent="0.35">
      <c r="A46" s="19" t="s">
        <v>276</v>
      </c>
      <c r="B46" s="19" t="s">
        <v>269</v>
      </c>
      <c r="C46" s="19" t="s">
        <v>275</v>
      </c>
      <c r="D46" s="19" t="s">
        <v>271</v>
      </c>
    </row>
    <row r="47" spans="1:4" ht="31.5" hidden="1" customHeight="1" x14ac:dyDescent="0.35">
      <c r="A47" s="19" t="s">
        <v>277</v>
      </c>
      <c r="B47" s="19" t="s">
        <v>269</v>
      </c>
      <c r="C47" s="19" t="s">
        <v>259</v>
      </c>
      <c r="D47" s="19" t="s">
        <v>271</v>
      </c>
    </row>
    <row r="48" spans="1:4" ht="31.5" hidden="1" customHeight="1" x14ac:dyDescent="0.35">
      <c r="A48" s="19" t="s">
        <v>279</v>
      </c>
      <c r="B48" s="19" t="s">
        <v>269</v>
      </c>
      <c r="C48" s="19" t="s">
        <v>278</v>
      </c>
      <c r="D48" s="19" t="s">
        <v>271</v>
      </c>
    </row>
    <row r="49" spans="1:4" ht="31.5" hidden="1" customHeight="1" x14ac:dyDescent="0.35">
      <c r="A49" s="19" t="s">
        <v>281</v>
      </c>
      <c r="B49" s="19" t="s">
        <v>269</v>
      </c>
      <c r="C49" s="19" t="s">
        <v>280</v>
      </c>
      <c r="D49" s="19" t="s">
        <v>271</v>
      </c>
    </row>
    <row r="50" spans="1:4" ht="31.5" hidden="1" customHeight="1" x14ac:dyDescent="0.35">
      <c r="A50" s="19" t="s">
        <v>283</v>
      </c>
      <c r="B50" s="19" t="s">
        <v>269</v>
      </c>
      <c r="C50" s="19" t="s">
        <v>282</v>
      </c>
      <c r="D50" s="19" t="s">
        <v>271</v>
      </c>
    </row>
    <row r="51" spans="1:4" ht="31.5" hidden="1" customHeight="1" x14ac:dyDescent="0.35">
      <c r="A51" s="19" t="s">
        <v>285</v>
      </c>
      <c r="B51" s="19" t="s">
        <v>269</v>
      </c>
      <c r="C51" s="19" t="s">
        <v>284</v>
      </c>
      <c r="D51" s="19" t="s">
        <v>271</v>
      </c>
    </row>
    <row r="52" spans="1:4" ht="31.5" hidden="1" customHeight="1" x14ac:dyDescent="0.35">
      <c r="A52" s="19" t="s">
        <v>31</v>
      </c>
      <c r="B52" s="19" t="s">
        <v>269</v>
      </c>
      <c r="C52" s="19" t="s">
        <v>286</v>
      </c>
      <c r="D52" s="19" t="s">
        <v>271</v>
      </c>
    </row>
    <row r="53" spans="1:4" ht="31.5" hidden="1" customHeight="1" x14ac:dyDescent="0.35">
      <c r="A53" s="19" t="s">
        <v>32</v>
      </c>
      <c r="B53" s="19" t="s">
        <v>269</v>
      </c>
      <c r="C53" s="19" t="s">
        <v>287</v>
      </c>
      <c r="D53" s="19" t="s">
        <v>271</v>
      </c>
    </row>
    <row r="54" spans="1:4" ht="31.5" hidden="1" customHeight="1" x14ac:dyDescent="0.35">
      <c r="A54" s="19" t="s">
        <v>33</v>
      </c>
      <c r="B54" s="19" t="s">
        <v>269</v>
      </c>
      <c r="C54" s="19" t="s">
        <v>288</v>
      </c>
      <c r="D54" s="19" t="s">
        <v>271</v>
      </c>
    </row>
    <row r="55" spans="1:4" ht="31.5" hidden="1" customHeight="1" x14ac:dyDescent="0.35">
      <c r="A55" s="19" t="s">
        <v>290</v>
      </c>
      <c r="B55" s="19" t="s">
        <v>269</v>
      </c>
      <c r="C55" s="19" t="s">
        <v>289</v>
      </c>
      <c r="D55" s="19" t="s">
        <v>271</v>
      </c>
    </row>
    <row r="56" spans="1:4" ht="31.5" hidden="1" customHeight="1" x14ac:dyDescent="0.35">
      <c r="A56" s="19" t="s">
        <v>225</v>
      </c>
      <c r="B56" s="19" t="s">
        <v>222</v>
      </c>
      <c r="C56" s="19" t="s">
        <v>223</v>
      </c>
      <c r="D56" s="19" t="s">
        <v>224</v>
      </c>
    </row>
    <row r="57" spans="1:4" ht="31.5" hidden="1" customHeight="1" x14ac:dyDescent="0.35">
      <c r="A57" s="19" t="s">
        <v>227</v>
      </c>
      <c r="B57" s="19" t="s">
        <v>222</v>
      </c>
      <c r="C57" s="19" t="s">
        <v>226</v>
      </c>
      <c r="D57" s="19" t="s">
        <v>224</v>
      </c>
    </row>
    <row r="58" spans="1:4" ht="31.5" hidden="1" customHeight="1" x14ac:dyDescent="0.35">
      <c r="A58" s="19" t="s">
        <v>55</v>
      </c>
      <c r="B58" s="19" t="s">
        <v>222</v>
      </c>
      <c r="C58" s="19" t="s">
        <v>228</v>
      </c>
      <c r="D58" s="19" t="s">
        <v>224</v>
      </c>
    </row>
    <row r="59" spans="1:4" ht="31.5" hidden="1" customHeight="1" x14ac:dyDescent="0.35">
      <c r="A59" s="19" t="s">
        <v>251</v>
      </c>
      <c r="B59" s="19" t="s">
        <v>248</v>
      </c>
      <c r="C59" s="19" t="s">
        <v>249</v>
      </c>
      <c r="D59" s="19" t="s">
        <v>250</v>
      </c>
    </row>
    <row r="60" spans="1:4" ht="31.5" hidden="1" customHeight="1" x14ac:dyDescent="0.35">
      <c r="A60" s="19" t="s">
        <v>253</v>
      </c>
      <c r="B60" s="19" t="s">
        <v>248</v>
      </c>
      <c r="C60" s="19" t="s">
        <v>252</v>
      </c>
      <c r="D60" s="19" t="s">
        <v>250</v>
      </c>
    </row>
    <row r="61" spans="1:4" ht="31.5" hidden="1" customHeight="1" x14ac:dyDescent="0.35">
      <c r="A61" s="19" t="s">
        <v>35</v>
      </c>
      <c r="B61" s="19" t="s">
        <v>248</v>
      </c>
      <c r="C61" s="19" t="s">
        <v>254</v>
      </c>
      <c r="D61" s="19" t="s">
        <v>250</v>
      </c>
    </row>
    <row r="62" spans="1:4" ht="31.5" hidden="1" customHeight="1" x14ac:dyDescent="0.35">
      <c r="A62" s="19" t="s">
        <v>17</v>
      </c>
      <c r="B62" s="19" t="s">
        <v>248</v>
      </c>
      <c r="C62" s="19" t="s">
        <v>255</v>
      </c>
      <c r="D62" s="19" t="s">
        <v>250</v>
      </c>
    </row>
    <row r="63" spans="1:4" ht="31.5" hidden="1" customHeight="1" x14ac:dyDescent="0.35">
      <c r="A63" s="19" t="s">
        <v>36</v>
      </c>
      <c r="B63" s="19" t="s">
        <v>248</v>
      </c>
      <c r="C63" s="19" t="s">
        <v>256</v>
      </c>
      <c r="D63" s="19" t="s">
        <v>250</v>
      </c>
    </row>
    <row r="64" spans="1:4" ht="31.5" hidden="1" customHeight="1" x14ac:dyDescent="0.35">
      <c r="A64" s="19" t="s">
        <v>37</v>
      </c>
      <c r="B64" s="19" t="s">
        <v>248</v>
      </c>
      <c r="C64" s="19" t="s">
        <v>257</v>
      </c>
      <c r="D64" s="19" t="s">
        <v>250</v>
      </c>
    </row>
    <row r="65" spans="1:4" ht="31.5" hidden="1" customHeight="1" x14ac:dyDescent="0.35">
      <c r="A65" s="20" t="s">
        <v>343</v>
      </c>
      <c r="B65" s="20" t="s">
        <v>248</v>
      </c>
      <c r="C65" s="20" t="s">
        <v>344</v>
      </c>
      <c r="D65" s="20" t="s">
        <v>250</v>
      </c>
    </row>
    <row r="66" spans="1:4" ht="31.5" hidden="1" customHeight="1" x14ac:dyDescent="0.35">
      <c r="A66" s="20" t="s">
        <v>34</v>
      </c>
      <c r="B66" s="20" t="s">
        <v>248</v>
      </c>
      <c r="C66" s="20" t="s">
        <v>259</v>
      </c>
      <c r="D66" s="20" t="s">
        <v>250</v>
      </c>
    </row>
    <row r="67" spans="1:4" ht="31.5" hidden="1" customHeight="1" x14ac:dyDescent="0.35">
      <c r="A67" s="20" t="s">
        <v>261</v>
      </c>
      <c r="B67" s="20" t="s">
        <v>248</v>
      </c>
      <c r="C67" s="20" t="s">
        <v>260</v>
      </c>
      <c r="D67" s="20" t="s">
        <v>250</v>
      </c>
    </row>
    <row r="68" spans="1:4" ht="31.5" hidden="1" customHeight="1" x14ac:dyDescent="0.35">
      <c r="A68" s="19" t="s">
        <v>258</v>
      </c>
      <c r="B68" s="19" t="s">
        <v>248</v>
      </c>
      <c r="C68" s="19" t="s">
        <v>372</v>
      </c>
      <c r="D68" s="19" t="s">
        <v>250</v>
      </c>
    </row>
    <row r="69" spans="1:4" ht="31.5" hidden="1" customHeight="1" x14ac:dyDescent="0.35">
      <c r="A69" s="19" t="s">
        <v>107</v>
      </c>
      <c r="B69" s="19" t="s">
        <v>104</v>
      </c>
      <c r="C69" s="19" t="s">
        <v>105</v>
      </c>
      <c r="D69" s="19" t="s">
        <v>106</v>
      </c>
    </row>
    <row r="70" spans="1:4" ht="31.5" hidden="1" customHeight="1" x14ac:dyDescent="0.35">
      <c r="A70" s="19" t="s">
        <v>40</v>
      </c>
      <c r="B70" s="19" t="s">
        <v>104</v>
      </c>
      <c r="C70" s="19" t="s">
        <v>108</v>
      </c>
      <c r="D70" s="19" t="s">
        <v>106</v>
      </c>
    </row>
    <row r="71" spans="1:4" ht="31.5" hidden="1" customHeight="1" x14ac:dyDescent="0.35">
      <c r="A71" s="20" t="s">
        <v>110</v>
      </c>
      <c r="B71" s="20" t="s">
        <v>104</v>
      </c>
      <c r="C71" s="20" t="s">
        <v>109</v>
      </c>
      <c r="D71" s="20" t="s">
        <v>106</v>
      </c>
    </row>
    <row r="72" spans="1:4" ht="31.5" hidden="1" customHeight="1" x14ac:dyDescent="0.35">
      <c r="A72" s="20" t="s">
        <v>38</v>
      </c>
      <c r="B72" s="20" t="s">
        <v>104</v>
      </c>
      <c r="C72" s="20" t="s">
        <v>111</v>
      </c>
      <c r="D72" s="20" t="s">
        <v>106</v>
      </c>
    </row>
    <row r="73" spans="1:4" ht="31.5" hidden="1" customHeight="1" x14ac:dyDescent="0.35">
      <c r="A73" s="19" t="s">
        <v>113</v>
      </c>
      <c r="B73" s="19" t="s">
        <v>104</v>
      </c>
      <c r="C73" s="19" t="s">
        <v>112</v>
      </c>
      <c r="D73" s="19" t="s">
        <v>106</v>
      </c>
    </row>
    <row r="74" spans="1:4" ht="31.5" hidden="1" customHeight="1" x14ac:dyDescent="0.35">
      <c r="A74" s="19" t="s">
        <v>115</v>
      </c>
      <c r="B74" s="19" t="s">
        <v>104</v>
      </c>
      <c r="C74" s="19" t="s">
        <v>114</v>
      </c>
      <c r="D74" s="19" t="s">
        <v>106</v>
      </c>
    </row>
    <row r="75" spans="1:4" ht="31.5" hidden="1" customHeight="1" x14ac:dyDescent="0.35">
      <c r="A75" s="20" t="s">
        <v>117</v>
      </c>
      <c r="B75" s="20" t="s">
        <v>104</v>
      </c>
      <c r="C75" s="20" t="s">
        <v>116</v>
      </c>
      <c r="D75" s="20" t="s">
        <v>106</v>
      </c>
    </row>
    <row r="76" spans="1:4" ht="31.5" hidden="1" customHeight="1" x14ac:dyDescent="0.35">
      <c r="A76" s="20" t="s">
        <v>39</v>
      </c>
      <c r="B76" s="20" t="s">
        <v>104</v>
      </c>
      <c r="C76" s="20" t="s">
        <v>118</v>
      </c>
      <c r="D76" s="20" t="s">
        <v>106</v>
      </c>
    </row>
    <row r="77" spans="1:4" ht="31.5" hidden="1" customHeight="1" x14ac:dyDescent="0.35">
      <c r="A77" s="19" t="s">
        <v>122</v>
      </c>
      <c r="B77" s="19" t="s">
        <v>119</v>
      </c>
      <c r="C77" s="19" t="s">
        <v>120</v>
      </c>
      <c r="D77" s="19" t="s">
        <v>121</v>
      </c>
    </row>
    <row r="78" spans="1:4" ht="31.5" hidden="1" customHeight="1" x14ac:dyDescent="0.35">
      <c r="A78" s="19" t="s">
        <v>124</v>
      </c>
      <c r="B78" s="19" t="s">
        <v>119</v>
      </c>
      <c r="C78" s="19" t="s">
        <v>123</v>
      </c>
      <c r="D78" s="19" t="s">
        <v>121</v>
      </c>
    </row>
    <row r="79" spans="1:4" ht="31.5" hidden="1" customHeight="1" x14ac:dyDescent="0.35">
      <c r="A79" s="19" t="s">
        <v>41</v>
      </c>
      <c r="B79" s="19" t="s">
        <v>119</v>
      </c>
      <c r="C79" s="19" t="s">
        <v>131</v>
      </c>
      <c r="D79" s="19" t="s">
        <v>121</v>
      </c>
    </row>
    <row r="80" spans="1:4" ht="31.5" hidden="1" customHeight="1" x14ac:dyDescent="0.35">
      <c r="A80" s="19" t="s">
        <v>133</v>
      </c>
      <c r="B80" s="19" t="s">
        <v>119</v>
      </c>
      <c r="C80" s="19" t="s">
        <v>132</v>
      </c>
      <c r="D80" s="19" t="s">
        <v>121</v>
      </c>
    </row>
    <row r="81" spans="1:4" ht="31.5" hidden="1" customHeight="1" x14ac:dyDescent="0.35">
      <c r="A81" s="19" t="s">
        <v>135</v>
      </c>
      <c r="B81" s="19" t="s">
        <v>119</v>
      </c>
      <c r="C81" s="19" t="s">
        <v>134</v>
      </c>
      <c r="D81" s="19" t="s">
        <v>121</v>
      </c>
    </row>
    <row r="82" spans="1:4" ht="31.5" hidden="1" customHeight="1" x14ac:dyDescent="0.35">
      <c r="A82" s="19" t="s">
        <v>126</v>
      </c>
      <c r="B82" s="19" t="s">
        <v>119</v>
      </c>
      <c r="C82" s="19" t="s">
        <v>125</v>
      </c>
      <c r="D82" s="19" t="s">
        <v>121</v>
      </c>
    </row>
    <row r="83" spans="1:4" ht="31.5" hidden="1" customHeight="1" x14ac:dyDescent="0.35">
      <c r="A83" s="19" t="s">
        <v>128</v>
      </c>
      <c r="B83" s="19" t="s">
        <v>119</v>
      </c>
      <c r="C83" s="19" t="s">
        <v>127</v>
      </c>
      <c r="D83" s="19" t="s">
        <v>121</v>
      </c>
    </row>
    <row r="84" spans="1:4" ht="31.5" hidden="1" customHeight="1" x14ac:dyDescent="0.35">
      <c r="A84" s="19" t="s">
        <v>42</v>
      </c>
      <c r="B84" s="19" t="s">
        <v>119</v>
      </c>
      <c r="C84" s="19" t="s">
        <v>136</v>
      </c>
      <c r="D84" s="19" t="s">
        <v>121</v>
      </c>
    </row>
    <row r="85" spans="1:4" ht="31.5" hidden="1" customHeight="1" x14ac:dyDescent="0.35">
      <c r="A85" s="19" t="s">
        <v>138</v>
      </c>
      <c r="B85" s="19" t="s">
        <v>119</v>
      </c>
      <c r="C85" s="19" t="s">
        <v>137</v>
      </c>
      <c r="D85" s="19" t="s">
        <v>121</v>
      </c>
    </row>
    <row r="86" spans="1:4" ht="31.5" hidden="1" customHeight="1" x14ac:dyDescent="0.35">
      <c r="A86" s="19" t="s">
        <v>130</v>
      </c>
      <c r="B86" s="19" t="s">
        <v>119</v>
      </c>
      <c r="C86" s="19" t="s">
        <v>129</v>
      </c>
      <c r="D86" s="19" t="s">
        <v>121</v>
      </c>
    </row>
    <row r="87" spans="1:4" ht="31.5" hidden="1" customHeight="1" x14ac:dyDescent="0.35">
      <c r="A87" s="19" t="s">
        <v>140</v>
      </c>
      <c r="B87" s="19" t="s">
        <v>119</v>
      </c>
      <c r="C87" s="19" t="s">
        <v>139</v>
      </c>
      <c r="D87" s="19" t="s">
        <v>121</v>
      </c>
    </row>
    <row r="88" spans="1:4" ht="31.5" hidden="1" customHeight="1" x14ac:dyDescent="0.35">
      <c r="A88" s="19" t="s">
        <v>43</v>
      </c>
      <c r="B88" s="19" t="s">
        <v>119</v>
      </c>
      <c r="C88" s="19" t="s">
        <v>141</v>
      </c>
      <c r="D88" s="19" t="s">
        <v>121</v>
      </c>
    </row>
    <row r="89" spans="1:4" ht="31.5" hidden="1" customHeight="1" x14ac:dyDescent="0.35">
      <c r="A89" s="19" t="s">
        <v>143</v>
      </c>
      <c r="B89" s="19" t="s">
        <v>119</v>
      </c>
      <c r="C89" s="19" t="s">
        <v>142</v>
      </c>
      <c r="D89" s="19" t="s">
        <v>121</v>
      </c>
    </row>
    <row r="90" spans="1:4" ht="31.5" hidden="1" customHeight="1" x14ac:dyDescent="0.35">
      <c r="A90" s="20" t="s">
        <v>149</v>
      </c>
      <c r="B90" s="20" t="s">
        <v>119</v>
      </c>
      <c r="C90" s="20" t="s">
        <v>148</v>
      </c>
      <c r="D90" s="20" t="s">
        <v>121</v>
      </c>
    </row>
    <row r="91" spans="1:4" ht="31.5" hidden="1" customHeight="1" x14ac:dyDescent="0.35">
      <c r="A91" s="19" t="s">
        <v>54</v>
      </c>
      <c r="B91" s="19" t="s">
        <v>119</v>
      </c>
      <c r="C91" s="19" t="s">
        <v>144</v>
      </c>
      <c r="D91" s="19" t="s">
        <v>121</v>
      </c>
    </row>
    <row r="92" spans="1:4" ht="31.5" hidden="1" customHeight="1" x14ac:dyDescent="0.35">
      <c r="A92" s="20" t="s">
        <v>147</v>
      </c>
      <c r="B92" s="20" t="s">
        <v>119</v>
      </c>
      <c r="C92" s="20" t="s">
        <v>146</v>
      </c>
      <c r="D92" s="20" t="s">
        <v>121</v>
      </c>
    </row>
    <row r="93" spans="1:4" ht="31.5" hidden="1" customHeight="1" x14ac:dyDescent="0.35">
      <c r="A93" s="20" t="s">
        <v>53</v>
      </c>
      <c r="B93" s="20" t="s">
        <v>119</v>
      </c>
      <c r="C93" s="20" t="s">
        <v>145</v>
      </c>
      <c r="D93" s="20" t="s">
        <v>121</v>
      </c>
    </row>
    <row r="94" spans="1:4" ht="31.5" hidden="1" customHeight="1" x14ac:dyDescent="0.35">
      <c r="A94" s="19" t="s">
        <v>67</v>
      </c>
      <c r="B94" s="19" t="s">
        <v>64</v>
      </c>
      <c r="C94" s="19" t="s">
        <v>65</v>
      </c>
      <c r="D94" s="19" t="s">
        <v>66</v>
      </c>
    </row>
    <row r="95" spans="1:4" ht="31.5" hidden="1" customHeight="1" x14ac:dyDescent="0.35">
      <c r="A95" s="19" t="s">
        <v>69</v>
      </c>
      <c r="B95" s="19" t="s">
        <v>64</v>
      </c>
      <c r="C95" s="19" t="s">
        <v>68</v>
      </c>
      <c r="D95" s="19" t="s">
        <v>66</v>
      </c>
    </row>
    <row r="96" spans="1:4" ht="31.5" hidden="1" customHeight="1" x14ac:dyDescent="0.35">
      <c r="A96" s="19" t="s">
        <v>46</v>
      </c>
      <c r="B96" s="19" t="s">
        <v>64</v>
      </c>
      <c r="C96" s="19" t="s">
        <v>74</v>
      </c>
      <c r="D96" s="19" t="s">
        <v>66</v>
      </c>
    </row>
    <row r="97" spans="1:4" ht="31.5" hidden="1" customHeight="1" x14ac:dyDescent="0.35">
      <c r="A97" s="19" t="s">
        <v>49</v>
      </c>
      <c r="B97" s="19" t="s">
        <v>64</v>
      </c>
      <c r="C97" s="19" t="s">
        <v>75</v>
      </c>
      <c r="D97" s="19" t="s">
        <v>66</v>
      </c>
    </row>
    <row r="98" spans="1:4" ht="31.5" hidden="1" customHeight="1" x14ac:dyDescent="0.35">
      <c r="A98" s="20" t="s">
        <v>44</v>
      </c>
      <c r="B98" s="20" t="s">
        <v>64</v>
      </c>
      <c r="C98" s="20" t="s">
        <v>85</v>
      </c>
      <c r="D98" s="20" t="s">
        <v>66</v>
      </c>
    </row>
    <row r="99" spans="1:4" ht="31.5" hidden="1" customHeight="1" x14ac:dyDescent="0.35">
      <c r="A99" s="19" t="s">
        <v>45</v>
      </c>
      <c r="B99" s="19" t="s">
        <v>64</v>
      </c>
      <c r="C99" s="19" t="s">
        <v>76</v>
      </c>
      <c r="D99" s="19" t="s">
        <v>66</v>
      </c>
    </row>
    <row r="100" spans="1:4" ht="31.5" hidden="1" customHeight="1" x14ac:dyDescent="0.35">
      <c r="A100" s="19" t="s">
        <v>73</v>
      </c>
      <c r="B100" s="19" t="s">
        <v>64</v>
      </c>
      <c r="C100" s="19" t="s">
        <v>72</v>
      </c>
      <c r="D100" s="19" t="s">
        <v>66</v>
      </c>
    </row>
    <row r="101" spans="1:4" ht="31.5" hidden="1" customHeight="1" x14ac:dyDescent="0.35">
      <c r="A101" s="20" t="s">
        <v>93</v>
      </c>
      <c r="B101" s="20" t="s">
        <v>64</v>
      </c>
      <c r="C101" s="20" t="s">
        <v>92</v>
      </c>
      <c r="D101" s="20" t="s">
        <v>66</v>
      </c>
    </row>
    <row r="102" spans="1:4" ht="31.5" hidden="1" customHeight="1" x14ac:dyDescent="0.35">
      <c r="A102" s="19" t="s">
        <v>71</v>
      </c>
      <c r="B102" s="19" t="s">
        <v>64</v>
      </c>
      <c r="C102" s="19" t="s">
        <v>70</v>
      </c>
      <c r="D102" s="19" t="s">
        <v>66</v>
      </c>
    </row>
    <row r="103" spans="1:4" ht="31.5" hidden="1" customHeight="1" x14ac:dyDescent="0.35">
      <c r="A103" s="20" t="s">
        <v>87</v>
      </c>
      <c r="B103" s="20" t="s">
        <v>64</v>
      </c>
      <c r="C103" s="20" t="s">
        <v>86</v>
      </c>
      <c r="D103" s="20" t="s">
        <v>66</v>
      </c>
    </row>
    <row r="104" spans="1:4" ht="31.5" hidden="1" customHeight="1" x14ac:dyDescent="0.35">
      <c r="A104" s="20" t="s">
        <v>89</v>
      </c>
      <c r="B104" s="20" t="s">
        <v>64</v>
      </c>
      <c r="C104" s="20" t="s">
        <v>88</v>
      </c>
      <c r="D104" s="20" t="s">
        <v>66</v>
      </c>
    </row>
    <row r="105" spans="1:4" ht="31.5" hidden="1" customHeight="1" x14ac:dyDescent="0.35">
      <c r="A105" s="20" t="s">
        <v>47</v>
      </c>
      <c r="B105" s="20" t="s">
        <v>64</v>
      </c>
      <c r="C105" s="20" t="s">
        <v>90</v>
      </c>
      <c r="D105" s="20" t="s">
        <v>66</v>
      </c>
    </row>
    <row r="106" spans="1:4" ht="31.5" hidden="1" customHeight="1" x14ac:dyDescent="0.35">
      <c r="A106" s="20" t="s">
        <v>48</v>
      </c>
      <c r="B106" s="20" t="s">
        <v>64</v>
      </c>
      <c r="C106" s="20" t="s">
        <v>91</v>
      </c>
      <c r="D106" s="20" t="s">
        <v>66</v>
      </c>
    </row>
    <row r="107" spans="1:4" ht="31.5" hidden="1" customHeight="1" x14ac:dyDescent="0.35">
      <c r="A107" s="19" t="s">
        <v>78</v>
      </c>
      <c r="B107" s="19" t="s">
        <v>64</v>
      </c>
      <c r="C107" s="19" t="s">
        <v>77</v>
      </c>
      <c r="D107" s="19" t="s">
        <v>66</v>
      </c>
    </row>
    <row r="108" spans="1:4" ht="31.5" hidden="1" customHeight="1" x14ac:dyDescent="0.35">
      <c r="A108" s="20" t="s">
        <v>95</v>
      </c>
      <c r="B108" s="20" t="s">
        <v>64</v>
      </c>
      <c r="C108" s="20" t="s">
        <v>94</v>
      </c>
      <c r="D108" s="20" t="s">
        <v>66</v>
      </c>
    </row>
    <row r="109" spans="1:4" ht="31.5" hidden="1" customHeight="1" x14ac:dyDescent="0.35">
      <c r="A109" s="20" t="s">
        <v>102</v>
      </c>
      <c r="B109" s="20" t="s">
        <v>64</v>
      </c>
      <c r="C109" s="20" t="s">
        <v>101</v>
      </c>
      <c r="D109" s="20" t="s">
        <v>66</v>
      </c>
    </row>
    <row r="110" spans="1:4" ht="31.5" hidden="1" customHeight="1" x14ac:dyDescent="0.35">
      <c r="A110" s="19" t="s">
        <v>80</v>
      </c>
      <c r="B110" s="19" t="s">
        <v>64</v>
      </c>
      <c r="C110" s="19" t="s">
        <v>79</v>
      </c>
      <c r="D110" s="19" t="s">
        <v>66</v>
      </c>
    </row>
    <row r="111" spans="1:4" ht="31.5" hidden="1" customHeight="1" x14ac:dyDescent="0.35">
      <c r="A111" s="20" t="s">
        <v>50</v>
      </c>
      <c r="B111" s="20" t="s">
        <v>64</v>
      </c>
      <c r="C111" s="20" t="s">
        <v>96</v>
      </c>
      <c r="D111" s="20" t="s">
        <v>66</v>
      </c>
    </row>
    <row r="112" spans="1:4" ht="31.5" hidden="1" customHeight="1" x14ac:dyDescent="0.35">
      <c r="A112" s="20" t="s">
        <v>51</v>
      </c>
      <c r="B112" s="20" t="s">
        <v>64</v>
      </c>
      <c r="C112" s="20" t="s">
        <v>103</v>
      </c>
      <c r="D112" s="20" t="s">
        <v>66</v>
      </c>
    </row>
    <row r="113" spans="1:4" ht="31.5" hidden="1" customHeight="1" x14ac:dyDescent="0.35">
      <c r="A113" s="19" t="s">
        <v>82</v>
      </c>
      <c r="B113" s="19" t="s">
        <v>64</v>
      </c>
      <c r="C113" s="19" t="s">
        <v>81</v>
      </c>
      <c r="D113" s="19" t="s">
        <v>66</v>
      </c>
    </row>
    <row r="114" spans="1:4" ht="31.5" hidden="1" customHeight="1" x14ac:dyDescent="0.35">
      <c r="A114" s="19" t="s">
        <v>84</v>
      </c>
      <c r="B114" s="19" t="s">
        <v>64</v>
      </c>
      <c r="C114" s="19" t="s">
        <v>83</v>
      </c>
      <c r="D114" s="19" t="s">
        <v>66</v>
      </c>
    </row>
    <row r="115" spans="1:4" ht="31.5" hidden="1" customHeight="1" x14ac:dyDescent="0.35">
      <c r="A115" s="20" t="s">
        <v>98</v>
      </c>
      <c r="B115" s="20" t="s">
        <v>64</v>
      </c>
      <c r="C115" s="20" t="s">
        <v>97</v>
      </c>
      <c r="D115" s="20" t="s">
        <v>66</v>
      </c>
    </row>
    <row r="116" spans="1:4" ht="31.5" hidden="1" customHeight="1" x14ac:dyDescent="0.35">
      <c r="A116" s="20" t="s">
        <v>100</v>
      </c>
      <c r="B116" s="20" t="s">
        <v>64</v>
      </c>
      <c r="C116" s="20" t="s">
        <v>99</v>
      </c>
      <c r="D116" s="20" t="s">
        <v>66</v>
      </c>
    </row>
    <row r="117" spans="1:4" ht="31.5" hidden="1" customHeight="1" x14ac:dyDescent="0.35">
      <c r="A117" s="19" t="s">
        <v>265</v>
      </c>
      <c r="B117" s="19" t="s">
        <v>262</v>
      </c>
      <c r="C117" s="19" t="s">
        <v>263</v>
      </c>
      <c r="D117" s="19" t="s">
        <v>264</v>
      </c>
    </row>
    <row r="118" spans="1:4" ht="31.5" hidden="1" customHeight="1" x14ac:dyDescent="0.35">
      <c r="A118" s="19" t="s">
        <v>52</v>
      </c>
      <c r="B118" s="19" t="s">
        <v>262</v>
      </c>
      <c r="C118" s="19" t="s">
        <v>266</v>
      </c>
      <c r="D118" s="19" t="s">
        <v>264</v>
      </c>
    </row>
    <row r="119" spans="1:4" ht="31.5" hidden="1" customHeight="1" x14ac:dyDescent="0.35">
      <c r="A119" s="19" t="s">
        <v>268</v>
      </c>
      <c r="B119" s="19" t="s">
        <v>262</v>
      </c>
      <c r="C119" s="19" t="s">
        <v>267</v>
      </c>
      <c r="D119" s="19" t="s">
        <v>264</v>
      </c>
    </row>
    <row r="120" spans="1:4" ht="31.5" hidden="1" customHeight="1" x14ac:dyDescent="0.35">
      <c r="A120" s="20" t="s">
        <v>373</v>
      </c>
      <c r="B120" s="20" t="s">
        <v>262</v>
      </c>
      <c r="C120" s="20" t="s">
        <v>374</v>
      </c>
      <c r="D120" s="20" t="s">
        <v>264</v>
      </c>
    </row>
    <row r="121" spans="1:4" ht="31.5" hidden="1" customHeight="1" x14ac:dyDescent="0.35">
      <c r="A121" s="19" t="s">
        <v>25</v>
      </c>
      <c r="B121" s="19" t="s">
        <v>150</v>
      </c>
      <c r="C121" s="19" t="s">
        <v>152</v>
      </c>
      <c r="D121" s="19" t="s">
        <v>151</v>
      </c>
    </row>
    <row r="122" spans="1:4" ht="31.5" hidden="1" customHeight="1" x14ac:dyDescent="0.35">
      <c r="A122" s="75" t="s">
        <v>375</v>
      </c>
      <c r="B122" s="75" t="s">
        <v>150</v>
      </c>
      <c r="C122" s="75" t="s">
        <v>376</v>
      </c>
      <c r="D122" s="75" t="s">
        <v>151</v>
      </c>
    </row>
    <row r="123" spans="1:4" ht="31.5" hidden="1" customHeight="1" x14ac:dyDescent="0.35">
      <c r="A123" s="19" t="s">
        <v>23</v>
      </c>
      <c r="B123" s="19" t="s">
        <v>150</v>
      </c>
      <c r="C123" s="19" t="s">
        <v>153</v>
      </c>
      <c r="D123" s="19" t="s">
        <v>151</v>
      </c>
    </row>
    <row r="124" spans="1:4" ht="31.5" hidden="1" customHeight="1" x14ac:dyDescent="0.35">
      <c r="A124" s="19" t="s">
        <v>24</v>
      </c>
      <c r="B124" s="19" t="s">
        <v>150</v>
      </c>
      <c r="C124" s="19" t="s">
        <v>154</v>
      </c>
      <c r="D124" s="19" t="s">
        <v>151</v>
      </c>
    </row>
    <row r="125" spans="1:4" ht="31.5" hidden="1" customHeight="1" x14ac:dyDescent="0.35">
      <c r="A125" s="75" t="s">
        <v>377</v>
      </c>
      <c r="B125" s="75" t="s">
        <v>150</v>
      </c>
      <c r="C125" s="75" t="s">
        <v>378</v>
      </c>
      <c r="D125" s="75" t="s">
        <v>151</v>
      </c>
    </row>
    <row r="126" spans="1:4" ht="31.5" hidden="1" customHeight="1" x14ac:dyDescent="0.35">
      <c r="A126" s="19" t="s">
        <v>26</v>
      </c>
      <c r="B126" s="19" t="s">
        <v>150</v>
      </c>
      <c r="C126" s="19" t="s">
        <v>155</v>
      </c>
      <c r="D126" s="19" t="s">
        <v>151</v>
      </c>
    </row>
    <row r="127" spans="1:4" ht="31.5" hidden="1" customHeight="1" x14ac:dyDescent="0.35">
      <c r="A127" s="19" t="s">
        <v>27</v>
      </c>
      <c r="B127" s="19" t="s">
        <v>150</v>
      </c>
      <c r="C127" s="19" t="s">
        <v>156</v>
      </c>
      <c r="D127" s="19" t="s">
        <v>151</v>
      </c>
    </row>
    <row r="128" spans="1:4" ht="31.5" hidden="1" customHeight="1" x14ac:dyDescent="0.35">
      <c r="A128" s="20" t="s">
        <v>158</v>
      </c>
      <c r="B128" s="20" t="s">
        <v>150</v>
      </c>
      <c r="C128" s="20" t="s">
        <v>157</v>
      </c>
      <c r="D128" s="20" t="s">
        <v>151</v>
      </c>
    </row>
    <row r="129" spans="1:4" ht="31.5" hidden="1" customHeight="1" x14ac:dyDescent="0.35">
      <c r="A129" s="20" t="s">
        <v>160</v>
      </c>
      <c r="B129" s="20" t="s">
        <v>150</v>
      </c>
      <c r="C129" s="20" t="s">
        <v>159</v>
      </c>
      <c r="D129" s="20" t="s">
        <v>151</v>
      </c>
    </row>
    <row r="130" spans="1:4" ht="31.5" hidden="1" customHeight="1" x14ac:dyDescent="0.35">
      <c r="A130" s="19" t="s">
        <v>186</v>
      </c>
      <c r="B130" s="19" t="s">
        <v>183</v>
      </c>
      <c r="C130" s="19" t="s">
        <v>184</v>
      </c>
      <c r="D130" s="19" t="s">
        <v>185</v>
      </c>
    </row>
    <row r="131" spans="1:4" ht="31.5" hidden="1" customHeight="1" x14ac:dyDescent="0.35">
      <c r="A131" s="19" t="s">
        <v>188</v>
      </c>
      <c r="B131" s="19" t="s">
        <v>183</v>
      </c>
      <c r="C131" s="19" t="s">
        <v>187</v>
      </c>
      <c r="D131" s="19" t="s">
        <v>185</v>
      </c>
    </row>
    <row r="132" spans="1:4" ht="31.5" hidden="1" customHeight="1" x14ac:dyDescent="0.35">
      <c r="A132" s="19" t="s">
        <v>190</v>
      </c>
      <c r="B132" s="19" t="s">
        <v>183</v>
      </c>
      <c r="C132" s="19" t="s">
        <v>189</v>
      </c>
      <c r="D132" s="19" t="s">
        <v>185</v>
      </c>
    </row>
    <row r="133" spans="1:4" ht="31.5" hidden="1" customHeight="1" x14ac:dyDescent="0.35">
      <c r="A133" s="19" t="s">
        <v>192</v>
      </c>
      <c r="B133" s="19" t="s">
        <v>183</v>
      </c>
      <c r="C133" s="19" t="s">
        <v>191</v>
      </c>
      <c r="D133" s="19" t="s">
        <v>185</v>
      </c>
    </row>
    <row r="134" spans="1:4" ht="31.5" hidden="1" customHeight="1" x14ac:dyDescent="0.35">
      <c r="A134" s="19" t="s">
        <v>196</v>
      </c>
      <c r="B134" s="19" t="s">
        <v>193</v>
      </c>
      <c r="C134" s="19" t="s">
        <v>194</v>
      </c>
      <c r="D134" s="19" t="s">
        <v>195</v>
      </c>
    </row>
    <row r="135" spans="1:4" ht="31.5" hidden="1" customHeight="1" x14ac:dyDescent="0.35">
      <c r="A135" s="19" t="s">
        <v>198</v>
      </c>
      <c r="B135" s="19" t="s">
        <v>193</v>
      </c>
      <c r="C135" s="19" t="s">
        <v>197</v>
      </c>
      <c r="D135" s="19" t="s">
        <v>195</v>
      </c>
    </row>
    <row r="136" spans="1:4" ht="31.5" hidden="1" customHeight="1" x14ac:dyDescent="0.35">
      <c r="A136" s="20" t="s">
        <v>379</v>
      </c>
      <c r="B136" s="20" t="s">
        <v>193</v>
      </c>
      <c r="C136" s="20" t="s">
        <v>380</v>
      </c>
      <c r="D136" s="20" t="s">
        <v>195</v>
      </c>
    </row>
    <row r="137" spans="1:4" ht="31.5" hidden="1" customHeight="1" x14ac:dyDescent="0.35">
      <c r="A137" s="19" t="s">
        <v>200</v>
      </c>
      <c r="B137" s="19" t="s">
        <v>193</v>
      </c>
      <c r="C137" s="19" t="s">
        <v>199</v>
      </c>
      <c r="D137" s="19" t="s">
        <v>195</v>
      </c>
    </row>
    <row r="138" spans="1:4" ht="31.5" hidden="1" customHeight="1" x14ac:dyDescent="0.35">
      <c r="A138" s="19" t="s">
        <v>202</v>
      </c>
      <c r="B138" s="19" t="s">
        <v>193</v>
      </c>
      <c r="C138" s="19" t="s">
        <v>201</v>
      </c>
      <c r="D138" s="19" t="s">
        <v>195</v>
      </c>
    </row>
    <row r="139" spans="1:4" ht="31.5" hidden="1" customHeight="1" x14ac:dyDescent="0.35">
      <c r="A139" s="19" t="s">
        <v>204</v>
      </c>
      <c r="B139" s="19" t="s">
        <v>193</v>
      </c>
      <c r="C139" s="19" t="s">
        <v>203</v>
      </c>
      <c r="D139" s="19" t="s">
        <v>195</v>
      </c>
    </row>
    <row r="140" spans="1:4" ht="31.5" hidden="1" customHeight="1" x14ac:dyDescent="0.35">
      <c r="A140" s="20" t="s">
        <v>206</v>
      </c>
      <c r="B140" s="20" t="s">
        <v>193</v>
      </c>
      <c r="C140" s="20" t="s">
        <v>205</v>
      </c>
      <c r="D140" s="20" t="s">
        <v>195</v>
      </c>
    </row>
    <row r="141" spans="1:4" ht="31.5" hidden="1" customHeight="1" x14ac:dyDescent="0.35">
      <c r="A141" s="20" t="s">
        <v>208</v>
      </c>
      <c r="B141" s="20" t="s">
        <v>193</v>
      </c>
      <c r="C141" s="20" t="s">
        <v>207</v>
      </c>
      <c r="D141" s="20" t="s">
        <v>195</v>
      </c>
    </row>
    <row r="142" spans="1:4" ht="31.5" hidden="1" customHeight="1" x14ac:dyDescent="0.35">
      <c r="A142" s="20" t="s">
        <v>210</v>
      </c>
      <c r="B142" s="20" t="s">
        <v>193</v>
      </c>
      <c r="C142" s="20" t="s">
        <v>209</v>
      </c>
      <c r="D142" s="20" t="s">
        <v>195</v>
      </c>
    </row>
    <row r="143" spans="1:4" ht="31.5" hidden="1" customHeight="1" x14ac:dyDescent="0.35">
      <c r="A143" s="20" t="s">
        <v>212</v>
      </c>
      <c r="B143" s="20" t="s">
        <v>193</v>
      </c>
      <c r="C143" s="20" t="s">
        <v>211</v>
      </c>
      <c r="D143" s="20" t="s">
        <v>195</v>
      </c>
    </row>
    <row r="144" spans="1:4" ht="31.5" hidden="1" customHeight="1" x14ac:dyDescent="0.35">
      <c r="A144" s="19" t="s">
        <v>313</v>
      </c>
      <c r="B144" s="19" t="s">
        <v>310</v>
      </c>
      <c r="C144" s="19" t="s">
        <v>311</v>
      </c>
      <c r="D144" s="19" t="s">
        <v>312</v>
      </c>
    </row>
    <row r="145" spans="1:4" ht="31.5" hidden="1" customHeight="1" x14ac:dyDescent="0.35">
      <c r="A145" s="19" t="s">
        <v>315</v>
      </c>
      <c r="B145" s="19" t="s">
        <v>310</v>
      </c>
      <c r="C145" s="19" t="s">
        <v>314</v>
      </c>
      <c r="D145" s="19" t="s">
        <v>312</v>
      </c>
    </row>
    <row r="146" spans="1:4" ht="31.5" hidden="1" customHeight="1" x14ac:dyDescent="0.35">
      <c r="A146" s="19" t="s">
        <v>317</v>
      </c>
      <c r="B146" s="19" t="s">
        <v>310</v>
      </c>
      <c r="C146" s="19" t="s">
        <v>316</v>
      </c>
      <c r="D146" s="19" t="s">
        <v>312</v>
      </c>
    </row>
    <row r="147" spans="1:4" ht="31.5" hidden="1" customHeight="1" x14ac:dyDescent="0.35">
      <c r="A147" s="19" t="s">
        <v>58</v>
      </c>
      <c r="B147" s="19" t="s">
        <v>310</v>
      </c>
      <c r="C147" s="19" t="s">
        <v>318</v>
      </c>
      <c r="D147" s="19" t="s">
        <v>312</v>
      </c>
    </row>
    <row r="148" spans="1:4" ht="31.5" hidden="1" customHeight="1" x14ac:dyDescent="0.35">
      <c r="A148" s="19" t="s">
        <v>322</v>
      </c>
      <c r="B148" s="19" t="s">
        <v>319</v>
      </c>
      <c r="C148" s="19" t="s">
        <v>320</v>
      </c>
      <c r="D148" s="19" t="s">
        <v>321</v>
      </c>
    </row>
    <row r="149" spans="1:4" ht="31.5" hidden="1" customHeight="1" x14ac:dyDescent="0.35">
      <c r="A149" s="19" t="s">
        <v>324</v>
      </c>
      <c r="B149" s="19" t="s">
        <v>319</v>
      </c>
      <c r="C149" s="19" t="s">
        <v>323</v>
      </c>
      <c r="D149" s="19" t="s">
        <v>321</v>
      </c>
    </row>
    <row r="150" spans="1:4" ht="31.5" hidden="1" customHeight="1" x14ac:dyDescent="0.35">
      <c r="A150" s="19" t="s">
        <v>326</v>
      </c>
      <c r="B150" s="19" t="s">
        <v>319</v>
      </c>
      <c r="C150" s="19" t="s">
        <v>325</v>
      </c>
      <c r="D150" s="19" t="s">
        <v>321</v>
      </c>
    </row>
    <row r="151" spans="1:4" ht="31.5" hidden="1" customHeight="1" x14ac:dyDescent="0.35">
      <c r="A151" s="19" t="s">
        <v>328</v>
      </c>
      <c r="B151" s="19" t="s">
        <v>319</v>
      </c>
      <c r="C151" s="19" t="s">
        <v>327</v>
      </c>
      <c r="D151" s="19" t="s">
        <v>321</v>
      </c>
    </row>
    <row r="152" spans="1:4" ht="31.5" hidden="1" customHeight="1" x14ac:dyDescent="0.35">
      <c r="A152" s="19" t="s">
        <v>56</v>
      </c>
      <c r="B152" s="19" t="s">
        <v>319</v>
      </c>
      <c r="C152" s="19" t="s">
        <v>329</v>
      </c>
      <c r="D152" s="19" t="s">
        <v>321</v>
      </c>
    </row>
    <row r="153" spans="1:4" ht="31.5" hidden="1" customHeight="1" x14ac:dyDescent="0.35">
      <c r="A153" s="20" t="s">
        <v>331</v>
      </c>
      <c r="B153" s="20" t="s">
        <v>319</v>
      </c>
      <c r="C153" s="20" t="s">
        <v>330</v>
      </c>
      <c r="D153" s="20" t="s">
        <v>321</v>
      </c>
    </row>
    <row r="154" spans="1:4" ht="31.5" hidden="1" customHeight="1" x14ac:dyDescent="0.35">
      <c r="A154" s="20" t="s">
        <v>57</v>
      </c>
      <c r="B154" s="20" t="s">
        <v>319</v>
      </c>
      <c r="C154" s="20" t="s">
        <v>332</v>
      </c>
      <c r="D154" s="20" t="s">
        <v>321</v>
      </c>
    </row>
    <row r="155" spans="1:4" ht="31.5" hidden="1" customHeight="1" x14ac:dyDescent="0.35">
      <c r="A155" s="20" t="s">
        <v>334</v>
      </c>
      <c r="B155" s="20" t="s">
        <v>319</v>
      </c>
      <c r="C155" s="20" t="s">
        <v>333</v>
      </c>
      <c r="D155" s="20" t="s">
        <v>321</v>
      </c>
    </row>
    <row r="156" spans="1:4" ht="31.5" hidden="1" customHeight="1" x14ac:dyDescent="0.35">
      <c r="A156" s="20" t="s">
        <v>336</v>
      </c>
      <c r="B156" s="20" t="s">
        <v>319</v>
      </c>
      <c r="C156" s="20" t="s">
        <v>335</v>
      </c>
      <c r="D156" s="20" t="s">
        <v>321</v>
      </c>
    </row>
    <row r="157" spans="1:4" ht="32.25" hidden="1" customHeight="1" x14ac:dyDescent="0.35">
      <c r="A157" s="20" t="s">
        <v>20</v>
      </c>
      <c r="B157" s="20" t="s">
        <v>337</v>
      </c>
      <c r="C157" s="20" t="s">
        <v>338</v>
      </c>
      <c r="D157" s="20" t="s">
        <v>339</v>
      </c>
    </row>
    <row r="158" spans="1:4" ht="31.5" hidden="1" customHeight="1" x14ac:dyDescent="0.35">
      <c r="A158" s="20" t="s">
        <v>21</v>
      </c>
      <c r="B158" s="20" t="s">
        <v>337</v>
      </c>
      <c r="C158" s="20" t="s">
        <v>340</v>
      </c>
      <c r="D158" s="20" t="s">
        <v>339</v>
      </c>
    </row>
    <row r="159" spans="1:4" ht="31.5" hidden="1" customHeight="1" x14ac:dyDescent="0.35">
      <c r="A159" s="20" t="s">
        <v>22</v>
      </c>
      <c r="B159" s="20" t="s">
        <v>337</v>
      </c>
      <c r="C159" s="20" t="s">
        <v>341</v>
      </c>
      <c r="D159" s="20" t="s">
        <v>339</v>
      </c>
    </row>
    <row r="160" spans="1:4" ht="31.5" hidden="1" customHeight="1" x14ac:dyDescent="0.35">
      <c r="A160" s="20" t="s">
        <v>19</v>
      </c>
      <c r="B160" s="20" t="s">
        <v>337</v>
      </c>
      <c r="C160" s="20" t="s">
        <v>342</v>
      </c>
      <c r="D160" s="20" t="s">
        <v>339</v>
      </c>
    </row>
  </sheetData>
  <autoFilter ref="A1:D160">
    <filterColumn colId="3">
      <filters>
        <filter val="RS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3"/>
  <sheetViews>
    <sheetView tabSelected="1" workbookViewId="0">
      <selection activeCell="C3" sqref="C3"/>
    </sheetView>
  </sheetViews>
  <sheetFormatPr baseColWidth="10" defaultRowHeight="14.5" x14ac:dyDescent="0.35"/>
  <cols>
    <col min="1" max="1" width="15.26953125" customWidth="1"/>
    <col min="2" max="2" width="14.1796875" customWidth="1"/>
    <col min="3" max="3" width="24.54296875" customWidth="1"/>
  </cols>
  <sheetData>
    <row r="1" spans="1:9" x14ac:dyDescent="0.35">
      <c r="A1" s="9" t="s">
        <v>12</v>
      </c>
      <c r="B1" s="9" t="s">
        <v>13</v>
      </c>
      <c r="C1" s="9" t="s">
        <v>14</v>
      </c>
      <c r="D1" s="9" t="s">
        <v>367</v>
      </c>
      <c r="F1" s="73" t="s">
        <v>368</v>
      </c>
      <c r="G1" s="73"/>
      <c r="H1" s="73"/>
      <c r="I1" s="73"/>
    </row>
    <row r="2" spans="1:9" x14ac:dyDescent="0.35">
      <c r="A2" s="10">
        <v>44002</v>
      </c>
      <c r="B2" s="10">
        <v>44184</v>
      </c>
      <c r="C2" s="11" t="s">
        <v>365</v>
      </c>
    </row>
    <row r="3" spans="1:9" x14ac:dyDescent="0.35">
      <c r="A3" s="10">
        <v>44184</v>
      </c>
      <c r="B3" s="10">
        <v>44274</v>
      </c>
      <c r="C3" t="s">
        <v>383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XFD1"/>
    </sheetView>
  </sheetViews>
  <sheetFormatPr baseColWidth="10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inicio</vt:lpstr>
      <vt:lpstr>base</vt:lpstr>
      <vt:lpstr>NO TOCAR</vt:lpstr>
      <vt:lpstr>Actualizaciones</vt:lpstr>
      <vt:lpstr>Hoja1</vt:lpstr>
    </vt:vector>
  </TitlesOfParts>
  <Company>Ministerio de Sanidad, Servicios Sociales e Igualdad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Elena Plans Beriso</dc:creator>
  <cp:lastModifiedBy>Arenal Seco, Francisco</cp:lastModifiedBy>
  <dcterms:created xsi:type="dcterms:W3CDTF">2020-11-25T08:49:27Z</dcterms:created>
  <dcterms:modified xsi:type="dcterms:W3CDTF">2021-03-26T12:05:27Z</dcterms:modified>
</cp:coreProperties>
</file>