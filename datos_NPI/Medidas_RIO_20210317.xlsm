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isco.arenal\Desktop\indicador Impacto MEdidas\TODAS\"/>
    </mc:Choice>
  </mc:AlternateContent>
  <bookViews>
    <workbookView xWindow="0" yWindow="0" windowWidth="25200" windowHeight="11700" activeTab="3"/>
  </bookViews>
  <sheets>
    <sheet name="inicio" sheetId="3" r:id="rId1"/>
    <sheet name="base" sheetId="2" r:id="rId2"/>
    <sheet name="NO TOCAR" sheetId="7" r:id="rId3"/>
    <sheet name="Actualizaciones" sheetId="6" r:id="rId4"/>
  </sheets>
  <definedNames>
    <definedName name="_xlnm._FilterDatabase" localSheetId="1" hidden="1">base!$A$1:$Q$205</definedName>
    <definedName name="_xlnm._FilterDatabase" localSheetId="2" hidden="1">'NO TOCAR'!$A$1:$D$162</definedName>
    <definedName name="Andalucía" localSheetId="3">#REF!</definedName>
    <definedName name="Andalucía">#REF!</definedName>
    <definedName name="Aragón" localSheetId="3">#REF!</definedName>
    <definedName name="Aragón">#REF!</definedName>
    <definedName name="Canarias" localSheetId="3">#REF!</definedName>
    <definedName name="Canarias">#REF!</definedName>
    <definedName name="Castilla_La_Mancha">#REF!</definedName>
    <definedName name="Castilla_y_León">#REF!</definedName>
    <definedName name="Cataluña">#REF!</definedName>
    <definedName name="comunidad_autónoma">#REF!</definedName>
    <definedName name="Comunidad_Valenciana">#REF!</definedName>
    <definedName name="Extremadura">#REF!</definedName>
    <definedName name="Galicia">#REF!</definedName>
    <definedName name="País_Vasco">#REF!</definedName>
  </definedNames>
  <calcPr calcId="162913"/>
</workbook>
</file>

<file path=xl/calcChain.xml><?xml version="1.0" encoding="utf-8"?>
<calcChain xmlns="http://schemas.openxmlformats.org/spreadsheetml/2006/main">
  <c r="G202" i="2" l="1"/>
  <c r="J205" i="2" l="1"/>
  <c r="I205" i="2"/>
  <c r="G205" i="2"/>
  <c r="G204" i="2"/>
  <c r="J203" i="2"/>
  <c r="I203" i="2"/>
  <c r="G203" i="2"/>
  <c r="J202" i="2"/>
  <c r="I202" i="2"/>
  <c r="J200" i="2"/>
  <c r="I200" i="2"/>
  <c r="G200" i="2"/>
  <c r="G199" i="2"/>
  <c r="G198" i="2"/>
  <c r="G196" i="2"/>
  <c r="G145" i="2"/>
  <c r="I145" i="2"/>
  <c r="J145" i="2"/>
  <c r="G197" i="2"/>
  <c r="G195" i="2"/>
  <c r="G194" i="2"/>
  <c r="G193" i="2"/>
  <c r="G192" i="2"/>
  <c r="G179" i="2"/>
  <c r="I179" i="2"/>
  <c r="J179" i="2"/>
  <c r="G187" i="2"/>
  <c r="G186" i="2"/>
  <c r="G185" i="2"/>
  <c r="G184" i="2"/>
  <c r="G183" i="2"/>
  <c r="G182" i="2"/>
  <c r="G181" i="2"/>
  <c r="G180" i="2"/>
  <c r="G177" i="2"/>
  <c r="I177" i="2"/>
  <c r="J177" i="2"/>
  <c r="G178" i="2"/>
  <c r="I178" i="2"/>
  <c r="J178" i="2"/>
  <c r="J176" i="2"/>
  <c r="I176" i="2"/>
  <c r="G176" i="2"/>
  <c r="J175" i="2"/>
  <c r="I175" i="2"/>
  <c r="G175" i="2"/>
  <c r="J174" i="2"/>
  <c r="I174" i="2"/>
  <c r="G174" i="2"/>
  <c r="G173" i="2"/>
  <c r="I173" i="2"/>
  <c r="J173" i="2"/>
  <c r="J172" i="2"/>
  <c r="I172" i="2"/>
  <c r="G172" i="2"/>
  <c r="J171" i="2"/>
  <c r="I171" i="2"/>
  <c r="G171" i="2"/>
  <c r="G170" i="2"/>
  <c r="I170" i="2"/>
  <c r="J170" i="2"/>
  <c r="J169" i="2"/>
  <c r="I169" i="2"/>
  <c r="G169" i="2"/>
  <c r="J168" i="2"/>
  <c r="I168" i="2"/>
  <c r="G168" i="2"/>
  <c r="J167" i="2"/>
  <c r="I167" i="2"/>
  <c r="G167" i="2"/>
  <c r="G163" i="2"/>
  <c r="I163" i="2"/>
  <c r="J163" i="2"/>
  <c r="J165" i="2"/>
  <c r="G165" i="2"/>
  <c r="I165" i="2"/>
  <c r="G164" i="2"/>
  <c r="I164" i="2"/>
  <c r="J164" i="2"/>
  <c r="G162" i="2"/>
  <c r="I162" i="2"/>
  <c r="J162" i="2"/>
  <c r="J161" i="2"/>
  <c r="I161" i="2"/>
  <c r="G161" i="2"/>
  <c r="J160" i="2"/>
  <c r="I160" i="2"/>
  <c r="G160" i="2"/>
  <c r="J159" i="2"/>
  <c r="I159" i="2"/>
  <c r="G159" i="2"/>
  <c r="J158" i="2"/>
  <c r="I158" i="2"/>
  <c r="G158" i="2"/>
  <c r="G157" i="2"/>
  <c r="I157" i="2"/>
  <c r="J157" i="2"/>
  <c r="G156" i="2"/>
  <c r="I156" i="2"/>
  <c r="J156" i="2"/>
  <c r="G155" i="2"/>
  <c r="I155" i="2"/>
  <c r="J155" i="2"/>
  <c r="G154" i="2"/>
  <c r="I154" i="2"/>
  <c r="J154" i="2"/>
  <c r="J153" i="2"/>
  <c r="I153" i="2"/>
  <c r="G153" i="2"/>
  <c r="G152" i="2"/>
  <c r="I152" i="2"/>
  <c r="J152" i="2"/>
  <c r="J151" i="2"/>
  <c r="I151" i="2"/>
  <c r="G151" i="2"/>
  <c r="J150" i="2"/>
  <c r="I150" i="2"/>
  <c r="G150" i="2"/>
  <c r="J149" i="2"/>
  <c r="I149" i="2"/>
  <c r="G149" i="2"/>
  <c r="G148" i="2"/>
  <c r="G147" i="2"/>
  <c r="J146" i="2"/>
  <c r="I146" i="2"/>
  <c r="G146" i="2"/>
  <c r="G144" i="2"/>
  <c r="I144" i="2"/>
  <c r="J144" i="2"/>
  <c r="J143" i="2"/>
  <c r="I143" i="2"/>
  <c r="G143" i="2"/>
  <c r="J142" i="2"/>
  <c r="I142" i="2"/>
  <c r="G142" i="2"/>
  <c r="J141" i="2"/>
  <c r="I141" i="2"/>
  <c r="G141" i="2"/>
  <c r="G137" i="2"/>
  <c r="G140" i="2"/>
  <c r="G139" i="2"/>
  <c r="G138" i="2"/>
  <c r="J136" i="2"/>
  <c r="I136" i="2"/>
  <c r="G136" i="2"/>
  <c r="G135" i="2" l="1"/>
  <c r="G134" i="2"/>
  <c r="G129" i="2"/>
  <c r="J3" i="2"/>
  <c r="I3" i="2"/>
  <c r="G3" i="2"/>
  <c r="J133" i="2"/>
  <c r="I133" i="2"/>
  <c r="G133" i="2"/>
  <c r="J132" i="2"/>
  <c r="I132" i="2"/>
  <c r="G132" i="2"/>
  <c r="G5" i="2"/>
  <c r="J130" i="2"/>
  <c r="I130" i="2"/>
  <c r="G130" i="2"/>
  <c r="J127" i="2"/>
  <c r="I127" i="2"/>
  <c r="G127" i="2"/>
  <c r="J126" i="2"/>
  <c r="I126" i="2"/>
  <c r="G126" i="2"/>
  <c r="J125" i="2"/>
  <c r="I125" i="2"/>
  <c r="G125" i="2"/>
  <c r="J124" i="2"/>
  <c r="I124" i="2"/>
  <c r="G124" i="2"/>
  <c r="J123" i="2"/>
  <c r="I123" i="2"/>
  <c r="G123" i="2"/>
  <c r="I114" i="2" l="1"/>
  <c r="I110" i="2"/>
  <c r="J118" i="2"/>
  <c r="I118" i="2"/>
  <c r="G118" i="2"/>
  <c r="J117" i="2"/>
  <c r="I117" i="2"/>
  <c r="G117" i="2"/>
  <c r="G7" i="2"/>
  <c r="G8" i="2"/>
  <c r="G6" i="2"/>
  <c r="G116" i="2"/>
  <c r="I116" i="2"/>
  <c r="J116" i="2"/>
  <c r="J10" i="2" l="1"/>
  <c r="I10" i="2"/>
  <c r="G10" i="2"/>
  <c r="J9" i="2" l="1"/>
  <c r="I9" i="2"/>
  <c r="G9" i="2"/>
  <c r="J14" i="2" l="1"/>
  <c r="I14" i="2"/>
  <c r="G14" i="2"/>
  <c r="J12" i="2"/>
  <c r="I12" i="2"/>
  <c r="G12" i="2"/>
  <c r="J13" i="2"/>
  <c r="I13" i="2"/>
  <c r="G13" i="2"/>
  <c r="J15" i="2"/>
  <c r="I15" i="2"/>
  <c r="G15" i="2"/>
  <c r="J4" i="2"/>
  <c r="I4" i="2"/>
  <c r="G4" i="2"/>
  <c r="J2" i="2"/>
  <c r="I2" i="2"/>
  <c r="G2" i="2"/>
  <c r="J11" i="2"/>
  <c r="I11" i="2"/>
  <c r="I19" i="2"/>
  <c r="G11" i="2"/>
  <c r="G19" i="2"/>
  <c r="J19" i="2" l="1"/>
  <c r="J20" i="2"/>
  <c r="I20" i="2"/>
  <c r="G20" i="2"/>
  <c r="J18" i="2"/>
  <c r="I18" i="2"/>
  <c r="G18" i="2"/>
  <c r="J17" i="2"/>
  <c r="I17" i="2"/>
  <c r="G17" i="2"/>
  <c r="J16" i="2"/>
  <c r="I16" i="2"/>
  <c r="G16" i="2"/>
  <c r="J25" i="2"/>
  <c r="I25" i="2"/>
  <c r="G25" i="2"/>
  <c r="J23" i="2"/>
  <c r="I23" i="2"/>
  <c r="G23" i="2"/>
  <c r="J27" i="2"/>
  <c r="I27" i="2"/>
  <c r="G27" i="2"/>
  <c r="J24" i="2"/>
  <c r="I24" i="2"/>
  <c r="G24" i="2"/>
  <c r="J22" i="2"/>
  <c r="I22" i="2"/>
  <c r="G22" i="2"/>
  <c r="J26" i="2"/>
  <c r="I26" i="2"/>
  <c r="G26" i="2"/>
  <c r="J21" i="2"/>
  <c r="I21" i="2"/>
  <c r="G21" i="2"/>
  <c r="I28" i="2"/>
  <c r="J28" i="2"/>
  <c r="G28" i="2"/>
  <c r="J51" i="2" l="1"/>
  <c r="J30" i="2"/>
  <c r="J46" i="2"/>
  <c r="J47" i="2"/>
  <c r="J73" i="2"/>
  <c r="J67" i="2"/>
  <c r="J68" i="2"/>
  <c r="J66" i="2"/>
  <c r="J77" i="2"/>
  <c r="J72" i="2"/>
  <c r="J69" i="2"/>
  <c r="J74" i="2"/>
  <c r="J71" i="2"/>
  <c r="J70" i="2"/>
  <c r="J75" i="2"/>
  <c r="J76" i="2"/>
  <c r="J78" i="2"/>
  <c r="J101" i="2"/>
  <c r="J86" i="2"/>
  <c r="J83" i="2"/>
  <c r="J84" i="2"/>
  <c r="J109" i="2"/>
  <c r="J110" i="2"/>
  <c r="J111" i="2"/>
  <c r="J112" i="2"/>
  <c r="J113" i="2"/>
  <c r="J114" i="2"/>
  <c r="J91" i="2"/>
  <c r="J92" i="2"/>
  <c r="J82" i="2"/>
  <c r="J102" i="2"/>
  <c r="J103" i="2"/>
  <c r="J104" i="2"/>
  <c r="J87" i="2"/>
  <c r="J89" i="2"/>
  <c r="J90" i="2"/>
  <c r="J88" i="2"/>
  <c r="J85" i="2"/>
  <c r="J105" i="2"/>
  <c r="J80" i="2"/>
  <c r="J99" i="2"/>
  <c r="J100" i="2"/>
  <c r="J95" i="2"/>
  <c r="J97" i="2"/>
  <c r="J106" i="2"/>
  <c r="J107" i="2"/>
  <c r="J108" i="2"/>
  <c r="J98" i="2"/>
  <c r="J94" i="2"/>
  <c r="J96" i="2"/>
  <c r="J93" i="2"/>
  <c r="J79" i="2"/>
  <c r="J81" i="2"/>
  <c r="J115" i="2"/>
  <c r="J61" i="2"/>
  <c r="I61" i="2"/>
  <c r="G61" i="2"/>
  <c r="J44" i="2" l="1"/>
  <c r="I44" i="2"/>
  <c r="G44" i="2"/>
  <c r="J43" i="2"/>
  <c r="I43" i="2"/>
  <c r="G43" i="2"/>
  <c r="J59" i="2"/>
  <c r="I59" i="2"/>
  <c r="G59" i="2"/>
  <c r="J60" i="2"/>
  <c r="I60" i="2"/>
  <c r="G60" i="2"/>
  <c r="J39" i="2"/>
  <c r="I39" i="2"/>
  <c r="G39" i="2"/>
  <c r="J38" i="2"/>
  <c r="I38" i="2"/>
  <c r="G38" i="2"/>
  <c r="I30" i="2"/>
  <c r="I46" i="2"/>
  <c r="I47" i="2"/>
  <c r="I73" i="2"/>
  <c r="I67" i="2"/>
  <c r="I68" i="2"/>
  <c r="I66" i="2"/>
  <c r="I77" i="2"/>
  <c r="I72" i="2"/>
  <c r="I69" i="2"/>
  <c r="I74" i="2"/>
  <c r="I71" i="2"/>
  <c r="I70" i="2"/>
  <c r="I75" i="2"/>
  <c r="I76" i="2"/>
  <c r="I78" i="2"/>
  <c r="I101" i="2"/>
  <c r="I86" i="2"/>
  <c r="I83" i="2"/>
  <c r="I84" i="2"/>
  <c r="I109" i="2"/>
  <c r="I111" i="2"/>
  <c r="I112" i="2"/>
  <c r="I113" i="2"/>
  <c r="I91" i="2"/>
  <c r="I92" i="2"/>
  <c r="I82" i="2"/>
  <c r="I102" i="2"/>
  <c r="I103" i="2"/>
  <c r="I104" i="2"/>
  <c r="I87" i="2"/>
  <c r="I89" i="2"/>
  <c r="I90" i="2"/>
  <c r="I88" i="2"/>
  <c r="I85" i="2"/>
  <c r="I105" i="2"/>
  <c r="I80" i="2"/>
  <c r="I99" i="2"/>
  <c r="I100" i="2"/>
  <c r="I95" i="2"/>
  <c r="I97" i="2"/>
  <c r="I106" i="2"/>
  <c r="I107" i="2"/>
  <c r="I108" i="2"/>
  <c r="I98" i="2"/>
  <c r="I94" i="2"/>
  <c r="I96" i="2"/>
  <c r="I93" i="2"/>
  <c r="I79" i="2"/>
  <c r="I81" i="2"/>
  <c r="I115" i="2"/>
  <c r="J40" i="2"/>
  <c r="I40" i="2"/>
  <c r="G40" i="2"/>
  <c r="J65" i="2"/>
  <c r="I65" i="2"/>
  <c r="G65" i="2"/>
  <c r="J64" i="2"/>
  <c r="I64" i="2"/>
  <c r="G64" i="2"/>
  <c r="J63" i="2"/>
  <c r="I63" i="2"/>
  <c r="G63" i="2"/>
  <c r="J62" i="2"/>
  <c r="I62" i="2"/>
  <c r="G62" i="2"/>
  <c r="J32" i="2"/>
  <c r="I32" i="2"/>
  <c r="G32" i="2"/>
  <c r="J35" i="2"/>
  <c r="I35" i="2"/>
  <c r="G35" i="2"/>
  <c r="J33" i="2"/>
  <c r="I33" i="2"/>
  <c r="G33" i="2"/>
  <c r="J36" i="2"/>
  <c r="I36" i="2"/>
  <c r="G36" i="2"/>
  <c r="J37" i="2"/>
  <c r="I37" i="2"/>
  <c r="G37" i="2"/>
  <c r="J34" i="2"/>
  <c r="I34" i="2"/>
  <c r="G34" i="2"/>
  <c r="J29" i="2"/>
  <c r="I29" i="2"/>
  <c r="G29" i="2"/>
  <c r="J45" i="2"/>
  <c r="I45" i="2"/>
  <c r="G45" i="2"/>
  <c r="J58" i="2"/>
  <c r="I58" i="2"/>
  <c r="G58" i="2"/>
  <c r="J41" i="2"/>
  <c r="I41" i="2"/>
  <c r="G41" i="2"/>
  <c r="J42" i="2"/>
  <c r="I42" i="2"/>
  <c r="G42" i="2"/>
  <c r="G88" i="2"/>
  <c r="J31" i="2"/>
  <c r="I31" i="2"/>
  <c r="G31" i="2"/>
  <c r="J56" i="2"/>
  <c r="I56" i="2"/>
  <c r="G56" i="2"/>
  <c r="J57" i="2"/>
  <c r="I57" i="2"/>
  <c r="G57" i="2"/>
  <c r="J50" i="2"/>
  <c r="I50" i="2"/>
  <c r="G50" i="2"/>
  <c r="J52" i="2"/>
  <c r="I52" i="2"/>
  <c r="G52" i="2"/>
  <c r="J54" i="2"/>
  <c r="I54" i="2"/>
  <c r="G54" i="2"/>
  <c r="J53" i="2"/>
  <c r="I53" i="2"/>
  <c r="G53" i="2"/>
  <c r="J55" i="2"/>
  <c r="I55" i="2"/>
  <c r="G55" i="2"/>
  <c r="J48" i="2"/>
  <c r="I48" i="2"/>
  <c r="G48" i="2"/>
  <c r="I51" i="2"/>
  <c r="G51" i="2"/>
  <c r="J49" i="2"/>
  <c r="I49" i="2"/>
  <c r="G49" i="2"/>
  <c r="G30" i="2" l="1"/>
  <c r="G46" i="2"/>
  <c r="G73" i="2"/>
  <c r="G67" i="2"/>
  <c r="G68" i="2"/>
  <c r="G66" i="2"/>
  <c r="G77" i="2"/>
  <c r="G72" i="2"/>
  <c r="G69" i="2"/>
  <c r="G74" i="2"/>
  <c r="G71" i="2"/>
  <c r="G70" i="2"/>
  <c r="G75" i="2"/>
  <c r="G76" i="2"/>
  <c r="G78" i="2"/>
  <c r="G101" i="2"/>
  <c r="G86" i="2"/>
  <c r="G83" i="2"/>
  <c r="G84" i="2"/>
  <c r="G109" i="2"/>
  <c r="G110" i="2"/>
  <c r="G111" i="2"/>
  <c r="G112" i="2"/>
  <c r="G113" i="2"/>
  <c r="G114" i="2"/>
  <c r="G91" i="2"/>
  <c r="G92" i="2"/>
  <c r="G82" i="2"/>
  <c r="G102" i="2"/>
  <c r="G103" i="2"/>
  <c r="G104" i="2"/>
  <c r="G87" i="2"/>
  <c r="G89" i="2"/>
  <c r="G90" i="2"/>
  <c r="G85" i="2"/>
  <c r="G105" i="2"/>
  <c r="G80" i="2"/>
  <c r="G99" i="2"/>
  <c r="G100" i="2"/>
  <c r="G95" i="2"/>
  <c r="G97" i="2"/>
  <c r="G106" i="2"/>
  <c r="G107" i="2"/>
  <c r="G108" i="2"/>
  <c r="G98" i="2"/>
  <c r="G94" i="2"/>
  <c r="G96" i="2"/>
  <c r="G93" i="2"/>
  <c r="G79" i="2"/>
  <c r="G81" i="2"/>
  <c r="G115" i="2"/>
  <c r="G47" i="2"/>
</calcChain>
</file>

<file path=xl/comments1.xml><?xml version="1.0" encoding="utf-8"?>
<comments xmlns="http://schemas.openxmlformats.org/spreadsheetml/2006/main">
  <authors>
    <author>Arenal Seco, Francisco</author>
  </authors>
  <commentList>
    <comment ref="A116" authorId="0" shapeId="0">
      <text>
        <r>
          <rPr>
            <b/>
            <sz val="9"/>
            <color indexed="81"/>
            <rFont val="Tahoma"/>
            <family val="2"/>
          </rPr>
          <t>Arenal Seco, Francisco:</t>
        </r>
        <r>
          <rPr>
            <sz val="9"/>
            <color indexed="81"/>
            <rFont val="Tahoma"/>
            <family val="2"/>
          </rPr>
          <t xml:space="preserve">
Si son excepciones navideñas están mal los datos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</rPr>
          <t>Arenal Seco, Francisco:</t>
        </r>
        <r>
          <rPr>
            <sz val="9"/>
            <color indexed="81"/>
            <rFont val="Tahoma"/>
            <family val="2"/>
          </rPr>
          <t xml:space="preserve">
Que hacemos?
</t>
        </r>
      </text>
    </comment>
  </commentList>
</comments>
</file>

<file path=xl/sharedStrings.xml><?xml version="1.0" encoding="utf-8"?>
<sst xmlns="http://schemas.openxmlformats.org/spreadsheetml/2006/main" count="1544" uniqueCount="386">
  <si>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</si>
  <si>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</si>
  <si>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</si>
  <si>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</si>
  <si>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</si>
  <si>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</si>
  <si>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</si>
  <si>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</si>
  <si>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</si>
  <si>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ambito</t>
  </si>
  <si>
    <t>comunidad_autonoma</t>
  </si>
  <si>
    <t>medida_generica</t>
  </si>
  <si>
    <t>desde</t>
  </si>
  <si>
    <t>hasta</t>
  </si>
  <si>
    <t>responsable</t>
  </si>
  <si>
    <t>% afectado (si subprovincial; mín 25%)</t>
  </si>
  <si>
    <t>nivel_educacion</t>
  </si>
  <si>
    <t>Elena Plans</t>
  </si>
  <si>
    <t>ON.4</t>
  </si>
  <si>
    <t>MH.3</t>
  </si>
  <si>
    <t>MH.2</t>
  </si>
  <si>
    <t>GE.4</t>
  </si>
  <si>
    <t>GE.1</t>
  </si>
  <si>
    <t>GE.2</t>
  </si>
  <si>
    <t>GE.3</t>
  </si>
  <si>
    <t>CE.3</t>
  </si>
  <si>
    <t>CE.4</t>
  </si>
  <si>
    <t>CE.2</t>
  </si>
  <si>
    <t>CE.5</t>
  </si>
  <si>
    <t>CE.6</t>
  </si>
  <si>
    <t>CO.8</t>
  </si>
  <si>
    <t>CO.10</t>
  </si>
  <si>
    <t>ED.4</t>
  </si>
  <si>
    <t>RH.9</t>
  </si>
  <si>
    <t>RH.10</t>
  </si>
  <si>
    <t>RH.11</t>
  </si>
  <si>
    <t>ON.9</t>
  </si>
  <si>
    <t>ON.3</t>
  </si>
  <si>
    <t>ON.5</t>
  </si>
  <si>
    <t>ON.6</t>
  </si>
  <si>
    <t>AL.4</t>
  </si>
  <si>
    <t>AL.8</t>
  </si>
  <si>
    <t>AL.2</t>
  </si>
  <si>
    <t>CD.6</t>
  </si>
  <si>
    <t>CD.9</t>
  </si>
  <si>
    <t>CD.12</t>
  </si>
  <si>
    <t>AF.12</t>
  </si>
  <si>
    <t>AF.7</t>
  </si>
  <si>
    <t>AF.5</t>
  </si>
  <si>
    <t>AF.15</t>
  </si>
  <si>
    <t>AF.16</t>
  </si>
  <si>
    <t>AF.6</t>
  </si>
  <si>
    <t>AF.19</t>
  </si>
  <si>
    <t>AF.23</t>
  </si>
  <si>
    <t>PA.2</t>
  </si>
  <si>
    <t>CD.15</t>
  </si>
  <si>
    <t>CD.14</t>
  </si>
  <si>
    <t>LA.3</t>
  </si>
  <si>
    <t>TR.5</t>
  </si>
  <si>
    <t>TR.7</t>
  </si>
  <si>
    <t>TP.4</t>
  </si>
  <si>
    <t>RS.1</t>
  </si>
  <si>
    <t>Media genérica</t>
  </si>
  <si>
    <t>Media concreta</t>
  </si>
  <si>
    <t>Código medida genérica</t>
  </si>
  <si>
    <t>Código medida concreta</t>
  </si>
  <si>
    <t>Deporte y actividad física</t>
  </si>
  <si>
    <t>Cierre de instalaciones y centros deportivos en general</t>
  </si>
  <si>
    <t>AF</t>
  </si>
  <si>
    <t>AF.1</t>
  </si>
  <si>
    <t>Cierre de instalaciones y centros deportivos en zonas interiores (manteniéndose las exteriores)</t>
  </si>
  <si>
    <t>AF.2</t>
  </si>
  <si>
    <t>Cancelación de eventos deportivos salvo sin público / a puerta cerrada</t>
  </si>
  <si>
    <t>AF.3</t>
  </si>
  <si>
    <t>Cancelación / prohibición de actividades deportivas grupales con contacto físico</t>
  </si>
  <si>
    <t>AF.4</t>
  </si>
  <si>
    <t>Limitación de aforo ZONAS INTERIORES de instalaciones y centros deportivos (fuera del ámbito regulado por el Consejo Superior de Deportes)</t>
  </si>
  <si>
    <t>Limitación de aforo ZONAS EXTERIORES de instalaciones y centros deportivos (fuera del ámbito regulado por el Consejo Superior de Deportes)</t>
  </si>
  <si>
    <t>Limitaciones a la actividad fisica grupal en exteriores</t>
  </si>
  <si>
    <t>Cierre de piscinas deportivas</t>
  </si>
  <si>
    <t>AF.8</t>
  </si>
  <si>
    <t>Limitación de aforo piscinas deportivas</t>
  </si>
  <si>
    <t>AF.9</t>
  </si>
  <si>
    <t>Cierre total de estaciones de esquí</t>
  </si>
  <si>
    <t>AF.10</t>
  </si>
  <si>
    <t>Limitación de aforo en estaciones de esquí</t>
  </si>
  <si>
    <t>AF.11</t>
  </si>
  <si>
    <t>Limitaciones a la actividad fisica grupal en interiores</t>
  </si>
  <si>
    <t>Prohibición de asistencia de público en eventos deportivos en exteriores</t>
  </si>
  <si>
    <t>AF.13</t>
  </si>
  <si>
    <t>Prohibición de asistencia de público en eventos deportivos en interiores</t>
  </si>
  <si>
    <t>AF.14</t>
  </si>
  <si>
    <t>Aforo de asistencia de público en eventos deportivos en exteriores</t>
  </si>
  <si>
    <t>Aforo de asistencia de público en eventos deportivos en interiores</t>
  </si>
  <si>
    <t>Limitaciones en actividades deportivas grupales con contacto físico (por ejemplo, en número de personas)</t>
  </si>
  <si>
    <t>AF.17</t>
  </si>
  <si>
    <t>Cierre de piscinas de recreo (por restricciones, no por fin de temporada)</t>
  </si>
  <si>
    <t>AF.18</t>
  </si>
  <si>
    <t xml:space="preserve">Limitación de aforo piscinas de recreo </t>
  </si>
  <si>
    <t>Aforo  ecoturismo</t>
  </si>
  <si>
    <t>AF.20</t>
  </si>
  <si>
    <t>Cierre  ecoturismo</t>
  </si>
  <si>
    <t>AF.21</t>
  </si>
  <si>
    <t>Cierre de playas (por restricciones, no por fin de temporada)</t>
  </si>
  <si>
    <t>AF.22</t>
  </si>
  <si>
    <t xml:space="preserve">Limitación de aforo de playas </t>
  </si>
  <si>
    <t>Alojamientos (hoteles, albergues)</t>
  </si>
  <si>
    <t>Cierre total de alojamientos turísticos</t>
  </si>
  <si>
    <t>AL</t>
  </si>
  <si>
    <t>AL.1</t>
  </si>
  <si>
    <t>Limitación de aforo de alojamientos turísticos</t>
  </si>
  <si>
    <t xml:space="preserve">Cierre de espacios comunes de alojamientos como hoteles </t>
  </si>
  <si>
    <t>AL.3</t>
  </si>
  <si>
    <t>Aforo en espacios comunes de alojamientos como hoteles</t>
  </si>
  <si>
    <t>Cierre de espacios comunes en residencias de estudiantes</t>
  </si>
  <si>
    <t>AL.5</t>
  </si>
  <si>
    <t>Aforo en espacios comunes en residencias de estudiantes</t>
  </si>
  <si>
    <t>AL.6</t>
  </si>
  <si>
    <t>Cierre de espacios comunes de alojamientos como albergues</t>
  </si>
  <si>
    <t>AL.7</t>
  </si>
  <si>
    <t>Aforo en espacios comunes de alojamientos como albergues</t>
  </si>
  <si>
    <t>Cultura y eventos (exc. deportivos)</t>
  </si>
  <si>
    <t>Cierre de bibliotecas, museos y monumentos en general</t>
  </si>
  <si>
    <t>CD</t>
  </si>
  <si>
    <t>CD.1</t>
  </si>
  <si>
    <t>Cierre de bibliotecas, museos y monumentos en interiores, permaneciendo abiertos los monumentos exteriores</t>
  </si>
  <si>
    <t>CD.2</t>
  </si>
  <si>
    <t xml:space="preserve">Cierre de cines, teatros, auditorios, circos de carpa y espacios similares, así como locales y establecimientos destinados a actos y espectáculos culturales </t>
  </si>
  <si>
    <t>CD.3</t>
  </si>
  <si>
    <t>Cierre de actos y espectáculos culturales en locales interiores, permitiéndose los exteriores</t>
  </si>
  <si>
    <t>CD.4</t>
  </si>
  <si>
    <t>Cierre de salas multiusos</t>
  </si>
  <si>
    <t>CD.5</t>
  </si>
  <si>
    <t>Limitación de aforo en bilbiotecas, museos y monumentos en general</t>
  </si>
  <si>
    <t>Limitación de aforo en bilbiotecas, museos y monumentos en espacios interiores (si diferente de los exteriores)</t>
  </si>
  <si>
    <t>CD.7</t>
  </si>
  <si>
    <t>Limitación de aforo museos y monumentos en exteriores (si diferente de los interiores)</t>
  </si>
  <si>
    <t>CD.8</t>
  </si>
  <si>
    <t>Limitación de aforo en cines, teatros, auditorios, circos de carpa y espacios similares, así como locales y establecimientos destinados a actos y espectáculos culturales en interior</t>
  </si>
  <si>
    <t>Limitación de aforo en actos y espectáculos culturales en exteriores</t>
  </si>
  <si>
    <t>CD.10</t>
  </si>
  <si>
    <t>Limitación de aforo en salas multiusos</t>
  </si>
  <si>
    <t>CD.11</t>
  </si>
  <si>
    <t>Prohibición de eventos a partir de cierto número de asistentes</t>
  </si>
  <si>
    <t>Necesidad de autorizacion previa para eventos a partir de cierto número de asistentes</t>
  </si>
  <si>
    <t>CD.13</t>
  </si>
  <si>
    <t>Aforo en festejos taurinos</t>
  </si>
  <si>
    <t>Aforo de zoos y parques de atracciones</t>
  </si>
  <si>
    <t>Cierre de zoos y parques de atracciones</t>
  </si>
  <si>
    <t>CD.16</t>
  </si>
  <si>
    <t>Prohibición de festejos taurinos</t>
  </si>
  <si>
    <t>CD.17</t>
  </si>
  <si>
    <t>Ceremonias religiosas</t>
  </si>
  <si>
    <t>CE</t>
  </si>
  <si>
    <t>Aforo en lugares de culto</t>
  </si>
  <si>
    <t>Aforo velatorios, entierros y ceremonias fúnebres en espacios interiores</t>
  </si>
  <si>
    <t>Aforo en velatorios, entierros y ceremonias fúnebres en espacios exteriores</t>
  </si>
  <si>
    <t>Aforo en otras ceremonias (bodas, bautizos) en espacios interiores</t>
  </si>
  <si>
    <t>Aforo en otras ceremonias (bodas, bautizos) en espacios exteriores</t>
  </si>
  <si>
    <t>Prohibición de coros</t>
  </si>
  <si>
    <t>CE.7</t>
  </si>
  <si>
    <t>Aforo de coros</t>
  </si>
  <si>
    <t>CE.8</t>
  </si>
  <si>
    <t>Comercio</t>
  </si>
  <si>
    <t>Cierre de todo el comercio no esencial</t>
  </si>
  <si>
    <t>CO</t>
  </si>
  <si>
    <t>CO.1</t>
  </si>
  <si>
    <t>Cierre de espacios comerciales según tamaño (p.e. de más de 400 m2)</t>
  </si>
  <si>
    <t>CO.2</t>
  </si>
  <si>
    <t xml:space="preserve">Cierre de actividades comerciales que implican contacto físico con el cliente (permitiendo o no alguna excepción) </t>
  </si>
  <si>
    <t>CO.3</t>
  </si>
  <si>
    <t>Cierre total de centros comerciales</t>
  </si>
  <si>
    <t>CO.4</t>
  </si>
  <si>
    <t>Cierre de zonas comunes dentro de los centros comerciales</t>
  </si>
  <si>
    <t>CO.5</t>
  </si>
  <si>
    <t>Cierre de mercadillos y/o mercados al aire libre</t>
  </si>
  <si>
    <t>CO.6</t>
  </si>
  <si>
    <t>Limitación de horario comercio no esencial</t>
  </si>
  <si>
    <t>CO.7</t>
  </si>
  <si>
    <t>Aforo de locales comerciales en general</t>
  </si>
  <si>
    <t>Aforo de centros comerciales (si diferente al de locales comerciales en general)</t>
  </si>
  <si>
    <t>CO.9</t>
  </si>
  <si>
    <t>Aforo de mercadillos  y/o mercados al aire libre</t>
  </si>
  <si>
    <t>Ampliación de los días y/o horarios de apertura de comercios</t>
  </si>
  <si>
    <t>CO.11</t>
  </si>
  <si>
    <t>Centros recreativos</t>
  </si>
  <si>
    <t xml:space="preserve">Cierre de centros recreativos de mayores (hogares del jubilado) </t>
  </si>
  <si>
    <t>CR</t>
  </si>
  <si>
    <t>CR.1</t>
  </si>
  <si>
    <t xml:space="preserve">Limitación de aforo de centros recreativos de mayores (hogares del jubilado) </t>
  </si>
  <si>
    <t>CR.2</t>
  </si>
  <si>
    <t>Cierre de centros recreativos de jóvenes (ludotecas, centros de ocio juvenil…)</t>
  </si>
  <si>
    <t>CR.3</t>
  </si>
  <si>
    <t>Limitación de aforo de centros recreativos de jóvenes (ludotecas, centros de ocio juvenil…)</t>
  </si>
  <si>
    <t>CR.4</t>
  </si>
  <si>
    <t>Centros sociosanitarios</t>
  </si>
  <si>
    <t>Prohibicion de salidas de residentes</t>
  </si>
  <si>
    <t>CS</t>
  </si>
  <si>
    <t>CS.1</t>
  </si>
  <si>
    <t xml:space="preserve">Limitación de salidas de residentes </t>
  </si>
  <si>
    <t>CS.2</t>
  </si>
  <si>
    <t>Limitación de visitas</t>
  </si>
  <si>
    <t>CS.3</t>
  </si>
  <si>
    <t>Cierre de centros de día sociosanitarios</t>
  </si>
  <si>
    <t>CS.4</t>
  </si>
  <si>
    <t>Limiraciones de aforo en centros de día sociosanitarios</t>
  </si>
  <si>
    <t>CS.5</t>
  </si>
  <si>
    <t>Cribado de nuevos ingresos de residentes</t>
  </si>
  <si>
    <t>CS.6</t>
  </si>
  <si>
    <t>Cribado de trabajadores nuevos o a la vuelta de permisos o vacaciones</t>
  </si>
  <si>
    <t>CS.7</t>
  </si>
  <si>
    <t>Cribados periódicos de residentes</t>
  </si>
  <si>
    <t>CS.8</t>
  </si>
  <si>
    <t>Cribados perioódicos de trabajadores</t>
  </si>
  <si>
    <t>CS.9</t>
  </si>
  <si>
    <t>Educación</t>
  </si>
  <si>
    <t>Cierre de centros educativos (por restricciones o vacaciones)</t>
  </si>
  <si>
    <t>ED</t>
  </si>
  <si>
    <t>ED.1</t>
  </si>
  <si>
    <t>Cierre de academias, autoescuelas y otros centros de formación no reglada (incluidas actividades promovidas por las administraciones locales)</t>
  </si>
  <si>
    <t>ED.3</t>
  </si>
  <si>
    <t>Limitación de aforo de academias, autoescuelas y otros centros de formación no reglada (incluidas actividades promovidas por las administraciones locales)</t>
  </si>
  <si>
    <t>Suspensión de clases presenciales</t>
  </si>
  <si>
    <t>ED.5</t>
  </si>
  <si>
    <t>Locales de apuestas</t>
  </si>
  <si>
    <t>Cierre total delocales de apuestas, bingos etc.</t>
  </si>
  <si>
    <t>LA</t>
  </si>
  <si>
    <t>LA.1</t>
  </si>
  <si>
    <t>Limitación de horario en locles de apuestas, bingos etc.</t>
  </si>
  <si>
    <t>LA.2</t>
  </si>
  <si>
    <t>Aforo en locales de apuestas, bingos etc.</t>
  </si>
  <si>
    <t>Medidas de higiene</t>
  </si>
  <si>
    <t>Mascarilla obligatoria cuando no se cumpla la distancia física</t>
  </si>
  <si>
    <t>MH</t>
  </si>
  <si>
    <t>MH.1</t>
  </si>
  <si>
    <t>Mascarilla obligatoria incluso con distancia física  (con excepciones)</t>
  </si>
  <si>
    <t>Movilidad</t>
  </si>
  <si>
    <t>Confinamiento domiciliario obligatorio</t>
  </si>
  <si>
    <t>MV</t>
  </si>
  <si>
    <t>MV.1</t>
  </si>
  <si>
    <t>Recomendación de permanecer en el domicilio</t>
  </si>
  <si>
    <t>MV.2</t>
  </si>
  <si>
    <t>Limitación de la movilidad nocturna (toque de queda)</t>
  </si>
  <si>
    <t>MV.3</t>
  </si>
  <si>
    <t>Cierre perimetral de entrada y/o salida</t>
  </si>
  <si>
    <t>MV.4</t>
  </si>
  <si>
    <t>Horario preferente paseo personas mayores</t>
  </si>
  <si>
    <t>MV.5</t>
  </si>
  <si>
    <t>Segmentación de la población (p.e. horarios de paseo diferenciados por edades, no solo de mayores)</t>
  </si>
  <si>
    <t>MV.6</t>
  </si>
  <si>
    <t>Ocio nocturno</t>
  </si>
  <si>
    <t>Cierre total del ocio nocturno</t>
  </si>
  <si>
    <t>ON</t>
  </si>
  <si>
    <t>ON.1</t>
  </si>
  <si>
    <t>Cierre del ocio nocturno en locales interiores (permitiendo los exteriores)</t>
  </si>
  <si>
    <t>ON.2</t>
  </si>
  <si>
    <t>Prohibición de pistas de baile (permite uso para estar sentados en mesas)</t>
  </si>
  <si>
    <t>Aforo en locales de ocio nocturno en general</t>
  </si>
  <si>
    <t>Aforo en locales de ocio nocturno en interiores (si diferente de los exteriores)</t>
  </si>
  <si>
    <t>Aforo en locales de ocio nocturno en exteriores (si diferente de los interiores)</t>
  </si>
  <si>
    <t>ON.7</t>
  </si>
  <si>
    <t>Prohibición de consumo en barra</t>
  </si>
  <si>
    <t>Limitación de horario en el ocio nocturno (número de horas hasta un hipotético cierre a las 3:00 am)</t>
  </si>
  <si>
    <t>ON.8</t>
  </si>
  <si>
    <t>Parques</t>
  </si>
  <si>
    <t>Cierre de parques y jardines</t>
  </si>
  <si>
    <t>PA</t>
  </si>
  <si>
    <t>PA.1</t>
  </si>
  <si>
    <t>Cierre de zonas infantiles</t>
  </si>
  <si>
    <t>Limitación de horario en parques y jardines</t>
  </si>
  <si>
    <t>PA.3</t>
  </si>
  <si>
    <t>PD.1</t>
  </si>
  <si>
    <t>Restauración, hostelería y bares</t>
  </si>
  <si>
    <t>Cierre general de restaurantes y bares (SIN permitir servicio para llevar)</t>
  </si>
  <si>
    <t>RH</t>
  </si>
  <si>
    <t>RH.1</t>
  </si>
  <si>
    <t>Cierre general de restaurantes y bares (permitiendo servicio para llevar/consumo en domicilio)</t>
  </si>
  <si>
    <t>RH.2</t>
  </si>
  <si>
    <t xml:space="preserve">Cierre únicamente de zonas interiores de restaurantes y bares </t>
  </si>
  <si>
    <t>RH.3</t>
  </si>
  <si>
    <t>RH.4</t>
  </si>
  <si>
    <t>Limitación de horario en restaurantes y bares</t>
  </si>
  <si>
    <t>RH.5</t>
  </si>
  <si>
    <t>Aforo en terrazas al aire libre</t>
  </si>
  <si>
    <t>RH.6</t>
  </si>
  <si>
    <t>Aforo en zona interiores</t>
  </si>
  <si>
    <t>RH.7</t>
  </si>
  <si>
    <t>Aforo en barra</t>
  </si>
  <si>
    <t>RH.8</t>
  </si>
  <si>
    <t>Ocupación máxima personas por mesa  en general</t>
  </si>
  <si>
    <t>Ocupación máxima personas por mesa  en exteriores (si diferente de interiores)</t>
  </si>
  <si>
    <t>Ocupación máxima personas por mesa  en interiores (si diferente de exteriores)</t>
  </si>
  <si>
    <t>Prohibición de fumar en terrazas</t>
  </si>
  <si>
    <t>RH.12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</si>
  <si>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</si>
  <si>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</si>
  <si>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</si>
  <si>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Limitación al número de personas en reuniones solo en lugares públicos (tanto interiores como exteriores)</t>
  </si>
  <si>
    <t>RS.2</t>
  </si>
  <si>
    <t>Limitación al número de personas en reuniones solo en lugares públicos interiores</t>
  </si>
  <si>
    <t>RS.3</t>
  </si>
  <si>
    <t>Prohibición fumar en vía pública &lt; 2 metros</t>
  </si>
  <si>
    <t>RS.4</t>
  </si>
  <si>
    <t>Prohibicion de comer en vía publica</t>
  </si>
  <si>
    <t>RS.5</t>
  </si>
  <si>
    <t>Prohibición consumo alcohol en vía pública</t>
  </si>
  <si>
    <t>RS.6</t>
  </si>
  <si>
    <t>Recomendación sbre el número de personas que se pueden reunir en cualquier circunstancia (con excepciones como convivientes, transporte público, contexto laboral o similares)</t>
  </si>
  <si>
    <t>RS.7</t>
  </si>
  <si>
    <t>Limitación de encuentros fuera del grupo de convivencia habitual (por ejemplo, durante un horario limitado, en cuyo caso, consignar horas)</t>
  </si>
  <si>
    <t>RS.8</t>
  </si>
  <si>
    <t>Recomendación de reducir encuentros fuera del grupo de convivencia habitual</t>
  </si>
  <si>
    <t>RS.9</t>
  </si>
  <si>
    <t>Transporte público</t>
  </si>
  <si>
    <t>Limitacion de aforo en transporte público</t>
  </si>
  <si>
    <t>TP</t>
  </si>
  <si>
    <t>TP.1</t>
  </si>
  <si>
    <t>Obligacion de uso de mascarillas</t>
  </si>
  <si>
    <t>TP.2</t>
  </si>
  <si>
    <t>Prohibición consumo alimentos/bebidas</t>
  </si>
  <si>
    <t>TP.3</t>
  </si>
  <si>
    <t>Aumento de la frecuencia de transporte público</t>
  </si>
  <si>
    <t>Trabajo</t>
  </si>
  <si>
    <t>Cierre de centros de trabajos no esenciales</t>
  </si>
  <si>
    <t>TR</t>
  </si>
  <si>
    <t>TR.1</t>
  </si>
  <si>
    <t>Obligación de teletrabajar para los empleos en los que sea posible</t>
  </si>
  <si>
    <t>TR.2</t>
  </si>
  <si>
    <t>Promoción del teletrabajo</t>
  </si>
  <si>
    <t>TR.3</t>
  </si>
  <si>
    <t>Suspensión de eventos profesionales (congresos, encuentros, etc.) en espacios abiertos</t>
  </si>
  <si>
    <t>TR.4</t>
  </si>
  <si>
    <t>Aforo en eventos profesionales (congresos, encuentros, etc.) en espacios abiertos</t>
  </si>
  <si>
    <t>Suspensión de eventos profesionales (congresos, encuentros, etc.) en espacios cerrados</t>
  </si>
  <si>
    <t>TR.6</t>
  </si>
  <si>
    <t>Aforo en eventos profesionales (congresos, encuentros, etc.) en espacios cerrados</t>
  </si>
  <si>
    <t>Suspensión de eventos profesionales (congresos, encuentros, etc.) en espacios abiertos y cerrados</t>
  </si>
  <si>
    <t>TR.8</t>
  </si>
  <si>
    <t>Aforo en eventos profesionales (congresos, encuentros, etc.) en espacios abiertos y cerrados</t>
  </si>
  <si>
    <t>TR.9</t>
  </si>
  <si>
    <t>General</t>
  </si>
  <si>
    <t>Aforo en TODOS los espacios CERRADOS (establecimientos, locales de negocio, instalaciones, espacios de uso público)</t>
  </si>
  <si>
    <t>GE</t>
  </si>
  <si>
    <t>Aforo en TODOS los espacios ABIERTOS (establecimientos, locales de negocio, instalaciones, espacios de uso público)</t>
  </si>
  <si>
    <t>Aforo en actividades grupales en TODOS los ámbitos</t>
  </si>
  <si>
    <t>aseos, vestuarios, probadores, salas de lactancia o similares</t>
  </si>
  <si>
    <t>ON.10</t>
  </si>
  <si>
    <t>Ocupación de personas máxima por mesa</t>
  </si>
  <si>
    <t>autonómico</t>
  </si>
  <si>
    <t>porcentaje</t>
  </si>
  <si>
    <t>Rioja_La</t>
  </si>
  <si>
    <t>m2</t>
  </si>
  <si>
    <t>personas</t>
  </si>
  <si>
    <t>PA.4</t>
  </si>
  <si>
    <t>Limitación de AFORO en parques y jardines</t>
  </si>
  <si>
    <t>hora (en formato 24h)</t>
  </si>
  <si>
    <t>CS.11</t>
  </si>
  <si>
    <t>Prohibición de visitas</t>
  </si>
  <si>
    <t>subprovincial</t>
  </si>
  <si>
    <t>https://web.larioja.org/normativa?n=2876</t>
  </si>
  <si>
    <t>Municipio de Arnedo</t>
  </si>
  <si>
    <t>Municipio de Logroño</t>
  </si>
  <si>
    <t>https://web.larioja.org/normativa?n=2916</t>
  </si>
  <si>
    <t>MV.7</t>
  </si>
  <si>
    <t>Restriccion de movilidad interna en el territorio (en niveles inferiores al nivel territorial al que se aplica)</t>
  </si>
  <si>
    <t>Suspensión de fiestas locales y verbenas</t>
  </si>
  <si>
    <t>CE.9</t>
  </si>
  <si>
    <t>Prohibición, restricción solo a convivientes o restricción equivalente en velatorios, entierros y ceremonias fúnebres (interior y exterior)</t>
  </si>
  <si>
    <t>CE.10</t>
  </si>
  <si>
    <t>Prohibición, restricción solo a convivientes o restricción equivalente en otras ceremonias como bodas y bautizos (interior y exterior)</t>
  </si>
  <si>
    <t>53,6</t>
  </si>
  <si>
    <t>Logroño, Lardero y Villamediana de Iregua</t>
  </si>
  <si>
    <t>Tamaño</t>
  </si>
  <si>
    <t>Minorista</t>
  </si>
  <si>
    <t>Gran superficie</t>
  </si>
  <si>
    <t>Dias</t>
  </si>
  <si>
    <t xml:space="preserve">Sabado </t>
  </si>
  <si>
    <t>Domingo</t>
  </si>
  <si>
    <t>CR.5</t>
  </si>
  <si>
    <t>Ocupación máxima por mesa</t>
  </si>
  <si>
    <t>personas mesa</t>
  </si>
  <si>
    <t>Por evento</t>
  </si>
  <si>
    <t>porcentaje abiertas</t>
  </si>
  <si>
    <t>porcentaje cerradas</t>
  </si>
  <si>
    <t>personas fila taxi</t>
  </si>
  <si>
    <t>Francisco Arenal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</si>
</sst>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14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1" fillId="0" borderId="0" xfId="0" applyNumberFormat="1" applyFon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9" fontId="0" fillId="0" borderId="0" xfId="0" applyNumberFormat="1" applyFon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0" fillId="0" borderId="0" xfId="0" quotePrefix="1" applyNumberFormat="1" applyFont="1"/>
    <xf numFmtId="0" fontId="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Fill="1"/>
    <xf numFmtId="14" fontId="0" fillId="0" borderId="0" xfId="0" applyNumberFormat="1" applyFont="1" applyFill="1"/>
    <xf numFmtId="14" fontId="4" fillId="0" borderId="0" xfId="0" applyNumberFormat="1" applyFont="1" applyFill="1" applyAlignment="1">
      <alignment horizontal="center"/>
    </xf>
    <xf numFmtId="0" fontId="0" fillId="0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14" fontId="5" fillId="0" borderId="0" xfId="0" applyNumberFormat="1" applyFont="1" applyFill="1" applyAlignment="1">
      <alignment horizontal="center"/>
    </xf>
    <xf numFmtId="20" fontId="0" fillId="0" borderId="0" xfId="0" applyNumberFormat="1" applyFont="1" applyFill="1"/>
    <xf numFmtId="1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vertical="center" wrapText="1"/>
    </xf>
    <xf numFmtId="14" fontId="0" fillId="0" borderId="0" xfId="0" applyNumberFormat="1" applyFont="1" applyFill="1" applyAlignment="1">
      <alignment horizontal="center" vertical="center" wrapText="1"/>
    </xf>
    <xf numFmtId="20" fontId="0" fillId="0" borderId="0" xfId="0" applyNumberFormat="1" applyFont="1"/>
    <xf numFmtId="0" fontId="3" fillId="0" borderId="0" xfId="0" applyFont="1"/>
    <xf numFmtId="0" fontId="0" fillId="4" borderId="0" xfId="0" applyFont="1" applyFill="1"/>
    <xf numFmtId="14" fontId="0" fillId="4" borderId="0" xfId="0" applyNumberFormat="1" applyFont="1" applyFill="1"/>
    <xf numFmtId="0" fontId="0" fillId="4" borderId="0" xfId="0" applyFont="1" applyFill="1" applyAlignment="1">
      <alignment horizontal="center"/>
    </xf>
    <xf numFmtId="0" fontId="0" fillId="4" borderId="0" xfId="0" applyNumberFormat="1" applyFont="1" applyFill="1"/>
    <xf numFmtId="0" fontId="0" fillId="4" borderId="0" xfId="0" applyFill="1" applyAlignment="1">
      <alignment horizontal="center"/>
    </xf>
    <xf numFmtId="0" fontId="3" fillId="0" borderId="0" xfId="0" applyFont="1" applyAlignment="1">
      <alignment vertical="center" wrapText="1"/>
    </xf>
    <xf numFmtId="14" fontId="3" fillId="0" borderId="0" xfId="0" applyNumberFormat="1" applyFont="1"/>
    <xf numFmtId="0" fontId="3" fillId="0" borderId="0" xfId="0" applyNumberFormat="1" applyFont="1"/>
    <xf numFmtId="0" fontId="3" fillId="0" borderId="0" xfId="0" applyFont="1" applyFill="1"/>
    <xf numFmtId="20" fontId="3" fillId="0" borderId="0" xfId="0" applyNumberFormat="1" applyFont="1"/>
    <xf numFmtId="0" fontId="3" fillId="0" borderId="0" xfId="0" applyFont="1" applyAlignment="1">
      <alignment vertical="center"/>
    </xf>
    <xf numFmtId="1" fontId="3" fillId="0" borderId="0" xfId="0" applyNumberFormat="1" applyFont="1"/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4" fontId="3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left" vertical="top" wrapText="1"/>
    </xf>
    <xf numFmtId="0" fontId="3" fillId="5" borderId="0" xfId="0" applyFont="1" applyFill="1"/>
    <xf numFmtId="0" fontId="0" fillId="5" borderId="0" xfId="0" applyFont="1" applyFill="1"/>
    <xf numFmtId="14" fontId="3" fillId="5" borderId="0" xfId="0" applyNumberFormat="1" applyFont="1" applyFill="1"/>
    <xf numFmtId="0" fontId="3" fillId="5" borderId="0" xfId="0" applyFont="1" applyFill="1" applyAlignment="1">
      <alignment vertical="center"/>
    </xf>
    <xf numFmtId="0" fontId="3" fillId="5" borderId="0" xfId="0" applyNumberFormat="1" applyFont="1" applyFill="1"/>
    <xf numFmtId="0" fontId="0" fillId="5" borderId="0" xfId="0" applyFill="1" applyAlignment="1">
      <alignment horizontal="center"/>
    </xf>
    <xf numFmtId="0" fontId="0" fillId="5" borderId="0" xfId="0" applyFont="1" applyFill="1" applyAlignment="1">
      <alignment horizontal="center"/>
    </xf>
    <xf numFmtId="0" fontId="7" fillId="5" borderId="0" xfId="1" applyFill="1" applyAlignment="1">
      <alignment horizontal="left"/>
    </xf>
    <xf numFmtId="0" fontId="5" fillId="0" borderId="0" xfId="0" applyFont="1" applyFill="1"/>
    <xf numFmtId="0" fontId="5" fillId="0" borderId="0" xfId="0" applyFont="1" applyFill="1" applyAlignment="1">
      <alignment vertical="center"/>
    </xf>
    <xf numFmtId="0" fontId="5" fillId="0" borderId="0" xfId="0" applyNumberFormat="1" applyFont="1" applyFill="1"/>
    <xf numFmtId="1" fontId="5" fillId="0" borderId="0" xfId="0" applyNumberFormat="1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5" fillId="0" borderId="0" xfId="0" applyFont="1"/>
    <xf numFmtId="14" fontId="5" fillId="0" borderId="0" xfId="0" applyNumberFormat="1" applyFont="1" applyFill="1"/>
    <xf numFmtId="14" fontId="5" fillId="0" borderId="0" xfId="0" applyNumberFormat="1" applyFont="1"/>
    <xf numFmtId="0" fontId="5" fillId="0" borderId="0" xfId="0" applyFont="1" applyAlignment="1">
      <alignment vertical="center" wrapText="1"/>
    </xf>
    <xf numFmtId="0" fontId="5" fillId="0" borderId="0" xfId="0" applyNumberFormat="1" applyFont="1"/>
    <xf numFmtId="20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4" fontId="0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3</xdr:row>
          <xdr:rowOff>165100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workbookViewId="0">
      <selection activeCell="F13" sqref="F13"/>
    </sheetView>
  </sheetViews>
  <sheetFormatPr baseColWidth="10" defaultColWidth="11.453125" defaultRowHeight="14.5" x14ac:dyDescent="0.35"/>
  <cols>
    <col min="1" max="16384" width="11.453125" style="5"/>
  </cols>
  <sheetData>
    <row r="4" spans="2:6" x14ac:dyDescent="0.35">
      <c r="B4" s="6"/>
      <c r="C4" s="6"/>
      <c r="D4" s="6"/>
      <c r="E4" s="6"/>
      <c r="F4" s="6"/>
    </row>
    <row r="5" spans="2:6" x14ac:dyDescent="0.35">
      <c r="B5" s="6"/>
      <c r="C5" s="6"/>
      <c r="D5" s="6"/>
      <c r="E5" s="6"/>
      <c r="F5" s="6"/>
    </row>
    <row r="6" spans="2:6" x14ac:dyDescent="0.35">
      <c r="B6" s="6"/>
      <c r="C6" s="6"/>
      <c r="D6" s="6"/>
      <c r="E6" s="6"/>
      <c r="F6" s="6"/>
    </row>
    <row r="7" spans="2:6" x14ac:dyDescent="0.35">
      <c r="B7" s="6"/>
      <c r="C7" s="6"/>
      <c r="D7" s="6"/>
      <c r="E7" s="6"/>
      <c r="F7" s="6"/>
    </row>
    <row r="8" spans="2:6" x14ac:dyDescent="0.35">
      <c r="B8" s="6"/>
      <c r="C8" s="6"/>
      <c r="D8" s="6"/>
      <c r="E8" s="6"/>
      <c r="F8" s="6"/>
    </row>
    <row r="9" spans="2:6" x14ac:dyDescent="0.35">
      <c r="B9" s="6"/>
      <c r="C9" s="6"/>
      <c r="D9" s="6"/>
      <c r="E9" s="6"/>
      <c r="F9" s="6"/>
    </row>
    <row r="10" spans="2:6" x14ac:dyDescent="0.35">
      <c r="B10" s="6"/>
      <c r="C10" s="6"/>
      <c r="D10" s="6"/>
      <c r="E10" s="6"/>
      <c r="F10" s="6"/>
    </row>
    <row r="11" spans="2:6" x14ac:dyDescent="0.35">
      <c r="B11" s="6"/>
      <c r="C11" s="6"/>
      <c r="D11" s="6"/>
      <c r="E11" s="6"/>
      <c r="F11" s="6"/>
    </row>
    <row r="12" spans="2:6" x14ac:dyDescent="0.35">
      <c r="B12" s="6"/>
      <c r="C12" s="6"/>
      <c r="D12" s="6"/>
      <c r="E12" s="6"/>
      <c r="F12" s="6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184150</xdr:colOff>
                    <xdr:row>3</xdr:row>
                    <xdr:rowOff>165100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Q325"/>
  <sheetViews>
    <sheetView zoomScale="70" zoomScaleNormal="70" workbookViewId="0">
      <selection activeCell="G203" sqref="G203"/>
    </sheetView>
  </sheetViews>
  <sheetFormatPr baseColWidth="10" defaultRowHeight="14.5" x14ac:dyDescent="0.35"/>
  <cols>
    <col min="3" max="3" width="21" bestFit="1" customWidth="1"/>
    <col min="4" max="4" width="24" style="24" customWidth="1"/>
    <col min="5" max="5" width="11.453125" style="24"/>
    <col min="6" max="6" width="11.453125" style="14"/>
    <col min="7" max="7" width="88.1796875" style="32" customWidth="1"/>
    <col min="8" max="8" width="11.453125" style="9"/>
    <col min="9" max="9" width="15.26953125" customWidth="1"/>
    <col min="11" max="11" width="17.1796875" bestFit="1" customWidth="1"/>
  </cols>
  <sheetData>
    <row r="1" spans="1:17" s="2" customFormat="1" x14ac:dyDescent="0.35">
      <c r="A1" s="2" t="s">
        <v>9</v>
      </c>
      <c r="B1" s="2" t="s">
        <v>10</v>
      </c>
      <c r="C1" s="2" t="s">
        <v>0</v>
      </c>
      <c r="D1" s="2" t="s">
        <v>8</v>
      </c>
      <c r="E1" s="4" t="s">
        <v>1</v>
      </c>
      <c r="F1" s="4" t="s">
        <v>2</v>
      </c>
      <c r="G1" s="30" t="s">
        <v>5</v>
      </c>
      <c r="H1" s="7" t="s">
        <v>4</v>
      </c>
      <c r="I1" s="2" t="s">
        <v>11</v>
      </c>
      <c r="J1" s="2" t="s">
        <v>3</v>
      </c>
      <c r="K1" s="2" t="s">
        <v>7</v>
      </c>
      <c r="L1" s="2" t="s">
        <v>6</v>
      </c>
      <c r="M1" s="18" t="s">
        <v>15</v>
      </c>
      <c r="N1" s="4" t="s">
        <v>16</v>
      </c>
      <c r="O1" s="4"/>
      <c r="P1" s="4"/>
      <c r="Q1" s="4"/>
    </row>
    <row r="2" spans="1:17" s="19" customFormat="1" ht="14.5" customHeight="1" x14ac:dyDescent="0.35">
      <c r="A2" s="45" t="s">
        <v>348</v>
      </c>
      <c r="B2" s="45" t="s">
        <v>350</v>
      </c>
      <c r="D2" s="52">
        <v>44201</v>
      </c>
      <c r="E2" s="52">
        <v>44203</v>
      </c>
      <c r="F2" s="34">
        <v>44217</v>
      </c>
      <c r="G2" s="51" t="str">
        <f>VLOOKUP(H2,'NO TOCAR'!$A$2:$D$162,3,FALSE)</f>
        <v>Limitación de la movilidad nocturna (toque de queda)</v>
      </c>
      <c r="H2" s="53" t="s">
        <v>243</v>
      </c>
      <c r="I2" s="54" t="str">
        <f>VLOOKUP(H2,'NO TOCAR'!$A$2:$D$162,2,FALSE)</f>
        <v>Movilidad</v>
      </c>
      <c r="J2" s="54" t="str">
        <f>VLOOKUP(H2,'NO TOCAR'!$A$2:$D$162,4,FALSE)</f>
        <v>MV</v>
      </c>
      <c r="K2" s="45" t="s">
        <v>355</v>
      </c>
      <c r="L2" s="55">
        <v>0.91666666666666663</v>
      </c>
      <c r="M2" s="18"/>
      <c r="N2" s="20"/>
      <c r="O2" s="59"/>
      <c r="P2" s="20"/>
      <c r="Q2" s="20"/>
    </row>
    <row r="3" spans="1:17" s="70" customFormat="1" ht="14.5" customHeight="1" x14ac:dyDescent="0.35">
      <c r="A3" s="70" t="s">
        <v>348</v>
      </c>
      <c r="B3" s="70" t="s">
        <v>350</v>
      </c>
      <c r="D3" s="22">
        <v>44217</v>
      </c>
      <c r="E3" s="22">
        <v>44218</v>
      </c>
      <c r="F3" s="39">
        <v>44248</v>
      </c>
      <c r="G3" s="71" t="str">
        <f>VLOOKUP(H3,'NO TOCAR'!$A$2:$D$162,3,FALSE)</f>
        <v>Limitación al número de personas que se pueden reunir en cualquier circunstancia (con excepciones como convivientes, transporte público, contexto laboral o similares)</v>
      </c>
      <c r="H3" s="72" t="s">
        <v>61</v>
      </c>
      <c r="I3" s="70" t="str">
        <f>VLOOKUP(H3,'NO TOCAR'!$A$2:$D$162,2,FALSE)</f>
        <v>Relaciones sociales</v>
      </c>
      <c r="J3" s="70" t="str">
        <f>VLOOKUP(H3,'NO TOCAR'!$A$2:$D$162,4,FALSE)</f>
        <v>RS</v>
      </c>
      <c r="K3" s="70" t="s">
        <v>352</v>
      </c>
      <c r="L3" s="73">
        <v>0</v>
      </c>
      <c r="M3" s="74"/>
      <c r="N3" s="74"/>
      <c r="O3" s="75" t="s">
        <v>359</v>
      </c>
      <c r="P3" s="74"/>
      <c r="Q3" s="74"/>
    </row>
    <row r="4" spans="1:17" s="19" customFormat="1" ht="14.5" customHeight="1" x14ac:dyDescent="0.35">
      <c r="A4" s="45" t="s">
        <v>348</v>
      </c>
      <c r="B4" s="45" t="s">
        <v>350</v>
      </c>
      <c r="D4" s="52">
        <v>44201</v>
      </c>
      <c r="E4" s="52">
        <v>44203</v>
      </c>
      <c r="F4" s="22">
        <v>44217</v>
      </c>
      <c r="G4" s="56" t="str">
        <f>VLOOKUP(H4,'NO TOCAR'!$A$2:$D$162,3,FALSE)</f>
        <v>Limitación al número de personas que se pueden reunir en cualquier circunstancia (con excepciones como convivientes, transporte público, contexto laboral o similares)</v>
      </c>
      <c r="H4" s="53" t="s">
        <v>61</v>
      </c>
      <c r="I4" s="54" t="str">
        <f>VLOOKUP(H4,'NO TOCAR'!$A$2:$D$162,2,FALSE)</f>
        <v>Relaciones sociales</v>
      </c>
      <c r="J4" s="54" t="str">
        <f>VLOOKUP(H4,'NO TOCAR'!$A$2:$D$162,4,FALSE)</f>
        <v>RS</v>
      </c>
      <c r="K4" s="45" t="s">
        <v>352</v>
      </c>
      <c r="L4" s="57">
        <v>4</v>
      </c>
      <c r="M4" s="18"/>
      <c r="N4" s="20"/>
      <c r="O4" s="59" t="s">
        <v>359</v>
      </c>
      <c r="P4" s="20"/>
      <c r="Q4" s="20"/>
    </row>
    <row r="5" spans="1:17" s="19" customFormat="1" x14ac:dyDescent="0.35">
      <c r="A5" s="19" t="s">
        <v>348</v>
      </c>
      <c r="B5" s="19" t="s">
        <v>350</v>
      </c>
      <c r="D5" s="10">
        <v>44202</v>
      </c>
      <c r="E5" s="10">
        <v>44203</v>
      </c>
      <c r="F5" s="22">
        <v>44211</v>
      </c>
      <c r="G5" s="33" t="str">
        <f>VLOOKUP(H5,'NO TOCAR'!$A$2:$D$162,3,FALSE)</f>
        <v>Cierre total delocales de apuestas, bingos etc.</v>
      </c>
      <c r="H5" s="21" t="s">
        <v>227</v>
      </c>
      <c r="I5" s="33" t="s">
        <v>224</v>
      </c>
      <c r="J5" s="33" t="s">
        <v>226</v>
      </c>
      <c r="K5" s="19" t="s">
        <v>355</v>
      </c>
      <c r="L5" s="44">
        <v>0.91666666666666663</v>
      </c>
      <c r="M5" s="18"/>
      <c r="N5" s="20"/>
      <c r="O5" s="20"/>
      <c r="P5" s="20"/>
      <c r="Q5" s="20"/>
    </row>
    <row r="6" spans="1:17" s="19" customFormat="1" ht="14.5" customHeight="1" x14ac:dyDescent="0.35">
      <c r="A6" s="19" t="s">
        <v>348</v>
      </c>
      <c r="B6" s="19" t="s">
        <v>350</v>
      </c>
      <c r="D6" s="10">
        <v>44202</v>
      </c>
      <c r="E6" s="10">
        <v>44203</v>
      </c>
      <c r="F6" s="22">
        <v>44211</v>
      </c>
      <c r="G6" s="33" t="str">
        <f>VLOOKUP(H6,'NO TOCAR'!$A$2:$D$162,3,FALSE)</f>
        <v>Limitación de horario en restaurantes y bares</v>
      </c>
      <c r="H6" s="21" t="s">
        <v>282</v>
      </c>
      <c r="I6" s="33" t="s">
        <v>272</v>
      </c>
      <c r="J6" s="33" t="s">
        <v>274</v>
      </c>
      <c r="K6" s="19" t="s">
        <v>355</v>
      </c>
      <c r="L6" s="44">
        <v>0.91666666666666663</v>
      </c>
      <c r="M6" s="18"/>
      <c r="N6" s="20"/>
      <c r="O6" s="20"/>
      <c r="P6" s="20"/>
      <c r="Q6" s="20"/>
    </row>
    <row r="7" spans="1:17" s="19" customFormat="1" ht="14.5" customHeight="1" x14ac:dyDescent="0.35">
      <c r="A7" s="19" t="s">
        <v>348</v>
      </c>
      <c r="B7" s="19" t="s">
        <v>350</v>
      </c>
      <c r="C7" s="33"/>
      <c r="D7" s="10">
        <v>44202</v>
      </c>
      <c r="E7" s="10">
        <v>44203</v>
      </c>
      <c r="F7" s="22">
        <v>44217</v>
      </c>
      <c r="G7" s="33" t="str">
        <f>VLOOKUP(H7,'NO TOCAR'!$A$2:$D$162,3,FALSE)</f>
        <v>Aforo de locales comerciales en general</v>
      </c>
      <c r="H7" s="21" t="s">
        <v>30</v>
      </c>
      <c r="I7" s="27" t="s">
        <v>163</v>
      </c>
      <c r="J7" s="33" t="s">
        <v>165</v>
      </c>
      <c r="K7" s="19" t="s">
        <v>349</v>
      </c>
      <c r="L7" s="25">
        <v>0.5</v>
      </c>
      <c r="M7" s="37"/>
      <c r="N7" s="38"/>
      <c r="O7" s="38"/>
      <c r="P7" s="38"/>
      <c r="Q7" s="38"/>
    </row>
    <row r="8" spans="1:17" s="19" customFormat="1" ht="14.5" customHeight="1" x14ac:dyDescent="0.35">
      <c r="A8" s="19" t="s">
        <v>348</v>
      </c>
      <c r="B8" s="19" t="s">
        <v>350</v>
      </c>
      <c r="C8" s="33"/>
      <c r="D8" s="10">
        <v>44202</v>
      </c>
      <c r="E8" s="10">
        <v>44203</v>
      </c>
      <c r="F8" s="22">
        <v>44223</v>
      </c>
      <c r="G8" s="33" t="str">
        <f>VLOOKUP(H8,'NO TOCAR'!$A$2:$D$162,3,FALSE)</f>
        <v>Cierre de zonas comunes dentro de los centros comerciales</v>
      </c>
      <c r="H8" s="21" t="s">
        <v>174</v>
      </c>
      <c r="I8" s="27" t="s">
        <v>163</v>
      </c>
      <c r="J8" s="33" t="s">
        <v>165</v>
      </c>
      <c r="L8" s="44"/>
      <c r="M8" s="37"/>
      <c r="N8" s="38"/>
      <c r="O8" s="38"/>
      <c r="P8" s="38"/>
      <c r="Q8" s="38"/>
    </row>
    <row r="9" spans="1:17" s="19" customFormat="1" ht="14.5" customHeight="1" x14ac:dyDescent="0.35">
      <c r="A9" s="45" t="s">
        <v>348</v>
      </c>
      <c r="B9" s="45" t="s">
        <v>350</v>
      </c>
      <c r="D9" s="52">
        <v>44181</v>
      </c>
      <c r="E9" s="52">
        <v>44181</v>
      </c>
      <c r="F9" s="52">
        <v>43837</v>
      </c>
      <c r="G9" s="56" t="str">
        <f>VLOOKUP(H9,'NO TOCAR'!$A$2:$D$162,3,FALSE)</f>
        <v>Limitación al número de personas que se pueden reunir en cualquier circunstancia (con excepciones como convivientes, transporte público, contexto laboral o similares)</v>
      </c>
      <c r="H9" s="53" t="s">
        <v>61</v>
      </c>
      <c r="I9" s="54" t="str">
        <f>VLOOKUP(H9,'NO TOCAR'!$A$2:$D$162,2,FALSE)</f>
        <v>Relaciones sociales</v>
      </c>
      <c r="J9" s="54" t="str">
        <f>VLOOKUP(H9,'NO TOCAR'!$A$2:$D$162,4,FALSE)</f>
        <v>RS</v>
      </c>
      <c r="K9" s="45" t="s">
        <v>352</v>
      </c>
      <c r="L9" s="57">
        <v>10</v>
      </c>
      <c r="M9" s="18"/>
      <c r="N9" s="20"/>
      <c r="O9" s="59" t="s">
        <v>362</v>
      </c>
      <c r="P9" s="20"/>
      <c r="Q9" s="20"/>
    </row>
    <row r="10" spans="1:17" s="19" customFormat="1" ht="14.5" customHeight="1" x14ac:dyDescent="0.35">
      <c r="A10" s="45" t="s">
        <v>348</v>
      </c>
      <c r="B10" s="45" t="s">
        <v>350</v>
      </c>
      <c r="C10" s="45"/>
      <c r="D10" s="52">
        <v>44160</v>
      </c>
      <c r="E10" s="52">
        <v>44164</v>
      </c>
      <c r="F10" s="52">
        <v>44203</v>
      </c>
      <c r="G10" s="51" t="str">
        <f>VLOOKUP(H10,'NO TOCAR'!$A$2:$D$162,3,FALSE)</f>
        <v>Limitación de la movilidad nocturna (toque de queda)</v>
      </c>
      <c r="H10" s="53" t="s">
        <v>243</v>
      </c>
      <c r="I10" s="54" t="str">
        <f>VLOOKUP(H10,'NO TOCAR'!$A$2:$D$162,2,FALSE)</f>
        <v>Movilidad</v>
      </c>
      <c r="J10" s="54" t="str">
        <f>VLOOKUP(H10,'NO TOCAR'!$A$2:$D$162,4,FALSE)</f>
        <v>MV</v>
      </c>
      <c r="K10" s="45" t="s">
        <v>355</v>
      </c>
      <c r="L10" s="55">
        <v>0.95833333333333337</v>
      </c>
      <c r="M10" s="18"/>
      <c r="N10" s="20"/>
      <c r="O10" s="59"/>
      <c r="P10" s="20"/>
      <c r="Q10" s="20"/>
    </row>
    <row r="11" spans="1:17" s="19" customFormat="1" ht="14.5" customHeight="1" x14ac:dyDescent="0.35">
      <c r="A11" s="45" t="s">
        <v>348</v>
      </c>
      <c r="B11" s="45" t="s">
        <v>350</v>
      </c>
      <c r="C11" s="45"/>
      <c r="D11" s="52">
        <v>44132</v>
      </c>
      <c r="E11" s="52">
        <v>44133</v>
      </c>
      <c r="F11" s="52">
        <v>44164</v>
      </c>
      <c r="G11" s="51" t="str">
        <f>VLOOKUP(H11,'NO TOCAR'!$A$2:$D$162,3,FALSE)</f>
        <v>Limitación de la movilidad nocturna (toque de queda)</v>
      </c>
      <c r="H11" s="53" t="s">
        <v>243</v>
      </c>
      <c r="I11" s="54" t="str">
        <f>VLOOKUP(H11,'NO TOCAR'!$A$2:$D$162,2,FALSE)</f>
        <v>Movilidad</v>
      </c>
      <c r="J11" s="54" t="str">
        <f>VLOOKUP(H11,'NO TOCAR'!$A$2:$D$162,4,FALSE)</f>
        <v>MV</v>
      </c>
      <c r="K11" s="45" t="s">
        <v>355</v>
      </c>
      <c r="L11" s="55">
        <v>0.91666666666666663</v>
      </c>
      <c r="M11" s="18"/>
      <c r="N11" s="20"/>
      <c r="O11" s="59" t="s">
        <v>359</v>
      </c>
      <c r="P11" s="20"/>
      <c r="Q11" s="20"/>
    </row>
    <row r="12" spans="1:17" s="19" customFormat="1" ht="14.5" customHeight="1" x14ac:dyDescent="0.35">
      <c r="A12" s="45" t="s">
        <v>358</v>
      </c>
      <c r="B12" s="45" t="s">
        <v>350</v>
      </c>
      <c r="D12" s="52">
        <v>44132</v>
      </c>
      <c r="E12" s="52">
        <v>44133</v>
      </c>
      <c r="F12" s="52">
        <v>44174</v>
      </c>
      <c r="G12" s="56" t="str">
        <f>VLOOKUP(H12,'NO TOCAR'!$A$2:$D$162,3,FALSE)</f>
        <v>Cierre perimetral de entrada y/o salida</v>
      </c>
      <c r="H12" s="49" t="s">
        <v>245</v>
      </c>
      <c r="I12" s="54" t="str">
        <f>VLOOKUP(H12,'NO TOCAR'!$A$2:$D$162,2,FALSE)</f>
        <v>Movilidad</v>
      </c>
      <c r="J12" s="54" t="str">
        <f>VLOOKUP(H12,'NO TOCAR'!$A$2:$D$162,4,FALSE)</f>
        <v>MV</v>
      </c>
      <c r="M12" s="18"/>
      <c r="N12" s="20"/>
      <c r="O12" s="59" t="s">
        <v>360</v>
      </c>
      <c r="P12" s="20"/>
      <c r="Q12" s="20"/>
    </row>
    <row r="13" spans="1:17" s="19" customFormat="1" ht="14.5" customHeight="1" x14ac:dyDescent="0.35">
      <c r="A13" s="45" t="s">
        <v>358</v>
      </c>
      <c r="B13" s="45" t="s">
        <v>350</v>
      </c>
      <c r="D13" s="52">
        <v>44132</v>
      </c>
      <c r="E13" s="52">
        <v>44133</v>
      </c>
      <c r="F13" s="52">
        <v>44164</v>
      </c>
      <c r="G13" s="56" t="str">
        <f>VLOOKUP(H13,'NO TOCAR'!$A$2:$D$162,3,FALSE)</f>
        <v>Cierre perimetral de entrada y/o salida</v>
      </c>
      <c r="H13" s="49" t="s">
        <v>245</v>
      </c>
      <c r="I13" s="54" t="str">
        <f>VLOOKUP(H13,'NO TOCAR'!$A$2:$D$162,2,FALSE)</f>
        <v>Movilidad</v>
      </c>
      <c r="J13" s="54" t="str">
        <f>VLOOKUP(H13,'NO TOCAR'!$A$2:$D$162,4,FALSE)</f>
        <v>MV</v>
      </c>
      <c r="M13" s="18"/>
      <c r="N13" s="20"/>
      <c r="O13" s="59" t="s">
        <v>361</v>
      </c>
      <c r="P13" s="20"/>
      <c r="Q13" s="20"/>
    </row>
    <row r="14" spans="1:17" s="19" customFormat="1" ht="14.5" customHeight="1" x14ac:dyDescent="0.35">
      <c r="A14" s="45" t="s">
        <v>358</v>
      </c>
      <c r="B14" s="45" t="s">
        <v>350</v>
      </c>
      <c r="D14" s="52">
        <v>44132</v>
      </c>
      <c r="E14" s="52">
        <v>44133</v>
      </c>
      <c r="F14" s="52">
        <v>44167</v>
      </c>
      <c r="G14" s="56" t="str">
        <f>VLOOKUP(H14,'NO TOCAR'!$A$2:$D$162,3,FALSE)</f>
        <v>Cierre general de restaurantes y bares (permitiendo servicio para llevar/consumo en domicilio)</v>
      </c>
      <c r="H14" s="28" t="s">
        <v>277</v>
      </c>
      <c r="I14" s="54" t="str">
        <f>VLOOKUP(H14,'NO TOCAR'!$A$2:$D$162,2,FALSE)</f>
        <v>Restauración, hostelería y bares</v>
      </c>
      <c r="J14" s="54" t="str">
        <f>VLOOKUP(H14,'NO TOCAR'!$A$2:$D$162,4,FALSE)</f>
        <v>RH</v>
      </c>
      <c r="M14" s="18"/>
      <c r="N14" s="20"/>
      <c r="O14" s="59" t="s">
        <v>360</v>
      </c>
      <c r="P14" s="20"/>
      <c r="Q14" s="20"/>
    </row>
    <row r="15" spans="1:17" s="63" customFormat="1" ht="14.5" customHeight="1" x14ac:dyDescent="0.35">
      <c r="A15" s="45" t="s">
        <v>358</v>
      </c>
      <c r="B15" s="45" t="s">
        <v>350</v>
      </c>
      <c r="C15" s="19"/>
      <c r="D15" s="52">
        <v>44132</v>
      </c>
      <c r="E15" s="52">
        <v>44133</v>
      </c>
      <c r="F15" s="52">
        <v>44164</v>
      </c>
      <c r="G15" s="56" t="str">
        <f>VLOOKUP(H15,'NO TOCAR'!$A$2:$D$162,3,FALSE)</f>
        <v>Cierre general de restaurantes y bares (permitiendo servicio para llevar/consumo en domicilio)</v>
      </c>
      <c r="H15" s="28" t="s">
        <v>277</v>
      </c>
      <c r="I15" s="54" t="str">
        <f>VLOOKUP(H15,'NO TOCAR'!$A$2:$D$162,2,FALSE)</f>
        <v>Restauración, hostelería y bares</v>
      </c>
      <c r="J15" s="54" t="str">
        <f>VLOOKUP(H15,'NO TOCAR'!$A$2:$D$162,4,FALSE)</f>
        <v>RH</v>
      </c>
      <c r="K15" s="19"/>
      <c r="L15" s="19"/>
      <c r="M15" s="18"/>
      <c r="N15" s="20"/>
      <c r="O15" s="59" t="s">
        <v>361</v>
      </c>
      <c r="P15" s="20"/>
      <c r="Q15" s="20"/>
    </row>
    <row r="16" spans="1:17" s="19" customFormat="1" ht="14.5" customHeight="1" x14ac:dyDescent="0.35">
      <c r="A16" s="19" t="s">
        <v>348</v>
      </c>
      <c r="B16" s="19" t="s">
        <v>350</v>
      </c>
      <c r="D16" s="10">
        <v>44126</v>
      </c>
      <c r="E16" s="22">
        <v>44126</v>
      </c>
      <c r="F16" s="22">
        <v>44217</v>
      </c>
      <c r="G16" s="33" t="str">
        <f>VLOOKUP(H16,'NO TOCAR'!$A$2:$D$162,3,FALSE)</f>
        <v>Prohibición de consumo en barra</v>
      </c>
      <c r="H16" s="21" t="s">
        <v>280</v>
      </c>
      <c r="I16" s="33" t="str">
        <f>VLOOKUP(H16,'NO TOCAR'!$A$2:$D$162,2,FALSE)</f>
        <v>Restauración, hostelería y bares</v>
      </c>
      <c r="J16" s="33" t="str">
        <f>VLOOKUP(H16,'NO TOCAR'!$A$2:$D$162,4,FALSE)</f>
        <v>RH</v>
      </c>
      <c r="M16" s="18"/>
      <c r="N16" s="20"/>
      <c r="O16" s="20"/>
      <c r="P16" s="20"/>
      <c r="Q16" s="20"/>
    </row>
    <row r="17" spans="1:17" s="19" customFormat="1" ht="14.5" customHeight="1" x14ac:dyDescent="0.35">
      <c r="A17" s="19" t="s">
        <v>348</v>
      </c>
      <c r="B17" s="19" t="s">
        <v>350</v>
      </c>
      <c r="D17" s="10">
        <v>44126</v>
      </c>
      <c r="E17" s="22">
        <v>44126</v>
      </c>
      <c r="F17" s="22">
        <v>44202</v>
      </c>
      <c r="G17" s="33" t="str">
        <f>VLOOKUP(H17,'NO TOCAR'!$A$2:$D$162,3,FALSE)</f>
        <v>Ocupación máxima personas por mesa  en general</v>
      </c>
      <c r="H17" s="21" t="s">
        <v>33</v>
      </c>
      <c r="I17" s="33" t="str">
        <f>VLOOKUP(H17,'NO TOCAR'!$A$2:$D$162,2,FALSE)</f>
        <v>Restauración, hostelería y bares</v>
      </c>
      <c r="J17" s="33" t="str">
        <f>VLOOKUP(H17,'NO TOCAR'!$A$2:$D$162,4,FALSE)</f>
        <v>RH</v>
      </c>
      <c r="K17" s="19" t="s">
        <v>352</v>
      </c>
      <c r="L17" s="19">
        <v>6</v>
      </c>
      <c r="M17" s="18"/>
      <c r="N17" s="20"/>
      <c r="O17" s="20"/>
      <c r="P17" s="20"/>
      <c r="Q17" s="20"/>
    </row>
    <row r="18" spans="1:17" s="19" customFormat="1" ht="14.5" customHeight="1" x14ac:dyDescent="0.35">
      <c r="A18" s="19" t="s">
        <v>348</v>
      </c>
      <c r="B18" s="19" t="s">
        <v>350</v>
      </c>
      <c r="D18" s="10">
        <v>44126</v>
      </c>
      <c r="E18" s="22">
        <v>44126</v>
      </c>
      <c r="F18" s="22"/>
      <c r="G18" s="33" t="str">
        <f>VLOOKUP(H18,'NO TOCAR'!$A$2:$D$162,3,FALSE)</f>
        <v>Limitaciones a la actividad fisica grupal en exteriores</v>
      </c>
      <c r="H18" s="21" t="s">
        <v>47</v>
      </c>
      <c r="I18" s="33" t="str">
        <f>VLOOKUP(H18,'NO TOCAR'!$A$2:$D$162,2,FALSE)</f>
        <v>Deporte y actividad física</v>
      </c>
      <c r="J18" s="33" t="str">
        <f>VLOOKUP(H18,'NO TOCAR'!$A$2:$D$162,4,FALSE)</f>
        <v>AF</v>
      </c>
      <c r="K18" s="19" t="s">
        <v>352</v>
      </c>
      <c r="L18" s="19">
        <v>6</v>
      </c>
      <c r="M18" s="18"/>
      <c r="N18" s="20"/>
      <c r="O18" s="20"/>
      <c r="P18" s="20"/>
      <c r="Q18" s="20"/>
    </row>
    <row r="19" spans="1:17" s="19" customFormat="1" ht="14.5" customHeight="1" x14ac:dyDescent="0.35">
      <c r="A19" s="19" t="s">
        <v>348</v>
      </c>
      <c r="B19" s="19" t="s">
        <v>350</v>
      </c>
      <c r="D19" s="10">
        <v>44126</v>
      </c>
      <c r="E19" s="22">
        <v>44126</v>
      </c>
      <c r="F19" s="58">
        <v>44132</v>
      </c>
      <c r="G19" s="33" t="str">
        <f>VLOOKUP(H19,'NO TOCAR'!$A$2:$D$162,3,FALSE)</f>
        <v>Limitación de horario en restaurantes y bares</v>
      </c>
      <c r="H19" s="21" t="s">
        <v>282</v>
      </c>
      <c r="I19" s="33" t="str">
        <f>VLOOKUP(H19,'NO TOCAR'!$A$2:$D$162,2,FALSE)</f>
        <v>Restauración, hostelería y bares</v>
      </c>
      <c r="J19" s="33" t="str">
        <f>VLOOKUP(H19,'NO TOCAR'!$A$2:$D$162,4,FALSE)</f>
        <v>RH</v>
      </c>
      <c r="K19" s="19" t="s">
        <v>355</v>
      </c>
      <c r="L19" s="44">
        <v>0.875</v>
      </c>
      <c r="M19" s="18"/>
      <c r="N19" s="20"/>
      <c r="O19" s="20"/>
      <c r="P19" s="20"/>
      <c r="Q19" s="20"/>
    </row>
    <row r="20" spans="1:17" s="19" customFormat="1" ht="14.5" customHeight="1" x14ac:dyDescent="0.35">
      <c r="A20" s="19" t="s">
        <v>348</v>
      </c>
      <c r="B20" s="19" t="s">
        <v>350</v>
      </c>
      <c r="D20" s="10">
        <v>44126</v>
      </c>
      <c r="E20" s="22">
        <v>44126</v>
      </c>
      <c r="F20" s="58">
        <v>44132</v>
      </c>
      <c r="G20" s="33" t="str">
        <f>VLOOKUP(H20,'NO TOCAR'!$A$2:$D$162,3,FALSE)</f>
        <v>Limitación de horario comercio no esencial</v>
      </c>
      <c r="H20" s="21" t="s">
        <v>178</v>
      </c>
      <c r="I20" s="33" t="str">
        <f>VLOOKUP(H20,'NO TOCAR'!$A$2:$D$162,2,FALSE)</f>
        <v>Comercio</v>
      </c>
      <c r="J20" s="33" t="str">
        <f>VLOOKUP(H20,'NO TOCAR'!$A$2:$D$162,4,FALSE)</f>
        <v>CO</v>
      </c>
      <c r="K20" s="19" t="s">
        <v>355</v>
      </c>
      <c r="L20" s="44">
        <v>0.875</v>
      </c>
      <c r="M20" s="18"/>
      <c r="N20" s="20"/>
      <c r="O20" s="20"/>
      <c r="P20" s="20"/>
      <c r="Q20" s="20"/>
    </row>
    <row r="21" spans="1:17" s="19" customFormat="1" ht="14.5" customHeight="1" x14ac:dyDescent="0.35">
      <c r="A21" s="19" t="s">
        <v>348</v>
      </c>
      <c r="B21" s="19" t="s">
        <v>350</v>
      </c>
      <c r="D21" s="10">
        <v>44126</v>
      </c>
      <c r="E21" s="22">
        <v>44126</v>
      </c>
      <c r="F21" s="22"/>
      <c r="G21" s="33" t="str">
        <f>VLOOKUP(H21,'NO TOCAR'!$A$2:$D$162,3,FALSE)</f>
        <v>Cierre perimetral de entrada y/o salida</v>
      </c>
      <c r="H21" s="21" t="s">
        <v>245</v>
      </c>
      <c r="I21" s="33" t="str">
        <f>VLOOKUP(H21,'NO TOCAR'!$A$2:$D$162,2,FALSE)</f>
        <v>Movilidad</v>
      </c>
      <c r="J21" s="33" t="str">
        <f>VLOOKUP(H21,'NO TOCAR'!$A$2:$D$162,4,FALSE)</f>
        <v>MV</v>
      </c>
      <c r="M21" s="18"/>
      <c r="N21" s="20"/>
      <c r="O21" s="20"/>
      <c r="P21" s="20"/>
      <c r="Q21" s="20"/>
    </row>
    <row r="22" spans="1:17" s="19" customFormat="1" ht="14.5" customHeight="1" x14ac:dyDescent="0.35">
      <c r="A22" s="19" t="s">
        <v>348</v>
      </c>
      <c r="B22" s="19" t="s">
        <v>350</v>
      </c>
      <c r="D22" s="10">
        <v>44126</v>
      </c>
      <c r="E22" s="22">
        <v>44126</v>
      </c>
      <c r="F22" s="22">
        <v>44217</v>
      </c>
      <c r="G22" s="33" t="str">
        <f>VLOOKUP(H22,'NO TOCAR'!$A$2:$D$162,3,FALSE)</f>
        <v>Aforo velatorios, entierros y ceremonias fúnebres en espacios interiores</v>
      </c>
      <c r="H22" s="21" t="s">
        <v>25</v>
      </c>
      <c r="I22" s="33" t="str">
        <f>VLOOKUP(H22,'NO TOCAR'!$A$2:$D$162,2,FALSE)</f>
        <v>Ceremonias religiosas</v>
      </c>
      <c r="J22" s="33" t="str">
        <f>VLOOKUP(H22,'NO TOCAR'!$A$2:$D$162,4,FALSE)</f>
        <v>CE</v>
      </c>
      <c r="K22" s="19" t="s">
        <v>352</v>
      </c>
      <c r="L22" s="19">
        <v>10</v>
      </c>
      <c r="M22" s="18"/>
      <c r="N22" s="20"/>
      <c r="O22" s="20"/>
      <c r="P22" s="20"/>
      <c r="Q22" s="20"/>
    </row>
    <row r="23" spans="1:17" s="46" customFormat="1" ht="14.5" customHeight="1" x14ac:dyDescent="0.35">
      <c r="A23" s="19" t="s">
        <v>348</v>
      </c>
      <c r="B23" s="19" t="s">
        <v>350</v>
      </c>
      <c r="C23" s="19"/>
      <c r="D23" s="10">
        <v>44126</v>
      </c>
      <c r="E23" s="22">
        <v>44126</v>
      </c>
      <c r="F23" s="22">
        <v>44217</v>
      </c>
      <c r="G23" s="33" t="str">
        <f>VLOOKUP(H23,'NO TOCAR'!$A$2:$D$162,3,FALSE)</f>
        <v>Aforo en zona interiores</v>
      </c>
      <c r="H23" s="21" t="s">
        <v>286</v>
      </c>
      <c r="I23" s="33" t="str">
        <f>VLOOKUP(H23,'NO TOCAR'!$A$2:$D$162,2,FALSE)</f>
        <v>Restauración, hostelería y bares</v>
      </c>
      <c r="J23" s="33" t="str">
        <f>VLOOKUP(H23,'NO TOCAR'!$A$2:$D$162,4,FALSE)</f>
        <v>RH</v>
      </c>
      <c r="K23" s="19" t="s">
        <v>349</v>
      </c>
      <c r="L23" s="19">
        <v>50</v>
      </c>
      <c r="M23" s="18"/>
      <c r="N23" s="20"/>
      <c r="O23" s="20"/>
      <c r="P23" s="20"/>
      <c r="Q23" s="20"/>
    </row>
    <row r="24" spans="1:17" s="46" customFormat="1" ht="14.5" customHeight="1" x14ac:dyDescent="0.35">
      <c r="A24" s="19" t="s">
        <v>348</v>
      </c>
      <c r="B24" s="19" t="s">
        <v>350</v>
      </c>
      <c r="C24" s="19"/>
      <c r="D24" s="10">
        <v>44126</v>
      </c>
      <c r="E24" s="22">
        <v>44126</v>
      </c>
      <c r="F24" s="22">
        <v>44217</v>
      </c>
      <c r="G24" s="33" t="str">
        <f>VLOOKUP(H24,'NO TOCAR'!$A$2:$D$162,3,FALSE)</f>
        <v>Aforo en velatorios, entierros y ceremonias fúnebres en espacios exteriores</v>
      </c>
      <c r="H24" s="21" t="s">
        <v>26</v>
      </c>
      <c r="I24" s="33" t="str">
        <f>VLOOKUP(H24,'NO TOCAR'!$A$2:$D$162,2,FALSE)</f>
        <v>Ceremonias religiosas</v>
      </c>
      <c r="J24" s="33" t="str">
        <f>VLOOKUP(H24,'NO TOCAR'!$A$2:$D$162,4,FALSE)</f>
        <v>CE</v>
      </c>
      <c r="K24" s="19" t="s">
        <v>352</v>
      </c>
      <c r="L24" s="19">
        <v>15</v>
      </c>
      <c r="M24" s="18"/>
      <c r="N24" s="20"/>
      <c r="O24" s="20"/>
      <c r="P24" s="20"/>
      <c r="Q24" s="20"/>
    </row>
    <row r="25" spans="1:17" s="46" customFormat="1" ht="14.5" customHeight="1" x14ac:dyDescent="0.35">
      <c r="A25" s="19" t="s">
        <v>348</v>
      </c>
      <c r="B25" s="19" t="s">
        <v>350</v>
      </c>
      <c r="C25" s="19"/>
      <c r="D25" s="10">
        <v>44126</v>
      </c>
      <c r="E25" s="22">
        <v>44126</v>
      </c>
      <c r="F25" s="22">
        <v>44217</v>
      </c>
      <c r="G25" s="33" t="str">
        <f>VLOOKUP(H25,'NO TOCAR'!$A$2:$D$162,3,FALSE)</f>
        <v>Aforo en terrazas al aire libre</v>
      </c>
      <c r="H25" s="21" t="s">
        <v>284</v>
      </c>
      <c r="I25" s="33" t="str">
        <f>VLOOKUP(H25,'NO TOCAR'!$A$2:$D$162,2,FALSE)</f>
        <v>Restauración, hostelería y bares</v>
      </c>
      <c r="J25" s="33" t="str">
        <f>VLOOKUP(H25,'NO TOCAR'!$A$2:$D$162,4,FALSE)</f>
        <v>RH</v>
      </c>
      <c r="K25" s="19" t="s">
        <v>349</v>
      </c>
      <c r="L25" s="19">
        <v>60</v>
      </c>
      <c r="M25" s="18"/>
      <c r="N25" s="20"/>
      <c r="O25" s="20"/>
      <c r="P25" s="20"/>
      <c r="Q25" s="20"/>
    </row>
    <row r="26" spans="1:17" s="46" customFormat="1" ht="14.5" customHeight="1" x14ac:dyDescent="0.35">
      <c r="A26" s="19" t="s">
        <v>348</v>
      </c>
      <c r="B26" s="19" t="s">
        <v>350</v>
      </c>
      <c r="C26" s="19"/>
      <c r="D26" s="10">
        <v>44126</v>
      </c>
      <c r="E26" s="22">
        <v>44126</v>
      </c>
      <c r="F26" s="22">
        <v>44217</v>
      </c>
      <c r="G26" s="33" t="str">
        <f>VLOOKUP(H26,'NO TOCAR'!$A$2:$D$162,3,FALSE)</f>
        <v>Aforo en lugares de culto</v>
      </c>
      <c r="H26" s="21" t="s">
        <v>27</v>
      </c>
      <c r="I26" s="33" t="str">
        <f>VLOOKUP(H26,'NO TOCAR'!$A$2:$D$162,2,FALSE)</f>
        <v>Ceremonias religiosas</v>
      </c>
      <c r="J26" s="33" t="str">
        <f>VLOOKUP(H26,'NO TOCAR'!$A$2:$D$162,4,FALSE)</f>
        <v>CE</v>
      </c>
      <c r="K26" s="19" t="s">
        <v>349</v>
      </c>
      <c r="L26" s="19">
        <v>33</v>
      </c>
      <c r="M26" s="18"/>
      <c r="N26" s="20"/>
      <c r="O26" s="20"/>
      <c r="P26" s="20"/>
      <c r="Q26" s="20"/>
    </row>
    <row r="27" spans="1:17" s="46" customFormat="1" ht="14.5" customHeight="1" x14ac:dyDescent="0.35">
      <c r="A27" s="19" t="s">
        <v>348</v>
      </c>
      <c r="B27" s="19" t="s">
        <v>350</v>
      </c>
      <c r="C27" s="19"/>
      <c r="D27" s="10">
        <v>44126</v>
      </c>
      <c r="E27" s="22">
        <v>44126</v>
      </c>
      <c r="F27" s="10">
        <v>44202</v>
      </c>
      <c r="G27" s="33" t="str">
        <f>VLOOKUP(H27,'NO TOCAR'!$A$2:$D$162,3,FALSE)</f>
        <v>Aforo de locales comerciales en general</v>
      </c>
      <c r="H27" s="21" t="s">
        <v>30</v>
      </c>
      <c r="I27" s="33" t="str">
        <f>VLOOKUP(H27,'NO TOCAR'!$A$2:$D$162,2,FALSE)</f>
        <v>Comercio</v>
      </c>
      <c r="J27" s="33" t="str">
        <f>VLOOKUP(H27,'NO TOCAR'!$A$2:$D$162,4,FALSE)</f>
        <v>CO</v>
      </c>
      <c r="K27" s="19" t="s">
        <v>349</v>
      </c>
      <c r="L27" s="19">
        <v>50</v>
      </c>
      <c r="M27" s="18"/>
      <c r="N27" s="20"/>
      <c r="O27" s="20"/>
      <c r="P27" s="20"/>
      <c r="Q27" s="20"/>
    </row>
    <row r="28" spans="1:17" s="46" customFormat="1" ht="14.5" customHeight="1" x14ac:dyDescent="0.35">
      <c r="A28" s="46" t="s">
        <v>358</v>
      </c>
      <c r="B28" s="46" t="s">
        <v>350</v>
      </c>
      <c r="D28" s="47">
        <v>44104</v>
      </c>
      <c r="E28" s="47">
        <v>44105</v>
      </c>
      <c r="F28" s="60">
        <v>44188</v>
      </c>
      <c r="G28" s="46" t="str">
        <f>VLOOKUP(H28,'NO TOCAR'!$A$2:$D$162,3,FALSE)</f>
        <v>Cierre perimetral de entrada y/o salida</v>
      </c>
      <c r="H28" s="49" t="s">
        <v>245</v>
      </c>
      <c r="I28" s="46" t="str">
        <f>VLOOKUP(H28,'NO TOCAR'!$A$2:$D$162,2,FALSE)</f>
        <v>Movilidad</v>
      </c>
      <c r="J28" s="46" t="str">
        <f>VLOOKUP(H28,'NO TOCAR'!$A$2:$D$162,4,FALSE)</f>
        <v>MV</v>
      </c>
      <c r="M28" s="50">
        <v>1.2</v>
      </c>
      <c r="N28" s="48"/>
      <c r="O28" s="48"/>
      <c r="P28" s="48"/>
      <c r="Q28" s="20"/>
    </row>
    <row r="29" spans="1:17" s="19" customFormat="1" ht="14.5" customHeight="1" x14ac:dyDescent="0.35">
      <c r="A29" s="19" t="s">
        <v>348</v>
      </c>
      <c r="B29" s="19" t="s">
        <v>350</v>
      </c>
      <c r="D29" s="10">
        <v>44076</v>
      </c>
      <c r="E29" s="22">
        <v>44076</v>
      </c>
      <c r="F29" s="22">
        <v>44126</v>
      </c>
      <c r="G29" s="33" t="str">
        <f>VLOOKUP(H29,'NO TOCAR'!$A$2:$D$162,3,FALSE)</f>
        <v>Limitaciones a la actividad fisica grupal en exteriores</v>
      </c>
      <c r="H29" s="21" t="s">
        <v>47</v>
      </c>
      <c r="I29" s="33" t="str">
        <f>VLOOKUP(H29,'NO TOCAR'!$A$2:$D$162,2,FALSE)</f>
        <v>Deporte y actividad física</v>
      </c>
      <c r="J29" s="33" t="str">
        <f>VLOOKUP(H29,'NO TOCAR'!$A$2:$D$162,4,FALSE)</f>
        <v>AF</v>
      </c>
      <c r="K29" s="19" t="s">
        <v>352</v>
      </c>
      <c r="L29" s="19">
        <v>20</v>
      </c>
      <c r="M29" s="18"/>
      <c r="N29" s="20"/>
      <c r="O29" s="20"/>
      <c r="P29" s="20"/>
      <c r="Q29" s="20"/>
    </row>
    <row r="30" spans="1:17" s="19" customFormat="1" ht="14.5" customHeight="1" x14ac:dyDescent="0.35">
      <c r="A30" s="19" t="s">
        <v>348</v>
      </c>
      <c r="B30" s="19" t="s">
        <v>350</v>
      </c>
      <c r="D30" s="10">
        <v>44076</v>
      </c>
      <c r="E30" s="22">
        <v>44076</v>
      </c>
      <c r="F30" s="22">
        <v>44217</v>
      </c>
      <c r="G30" s="33" t="str">
        <f>VLOOKUP(H30,'NO TOCAR'!$A$2:$D$162,3,FALSE)</f>
        <v>Limitación de visitas</v>
      </c>
      <c r="H30" s="21" t="s">
        <v>202</v>
      </c>
      <c r="I30" s="33" t="str">
        <f>VLOOKUP(H30,'NO TOCAR'!$A$2:$D$162,2,FALSE)</f>
        <v>Centros sociosanitarios</v>
      </c>
      <c r="J30" s="33" t="str">
        <f>VLOOKUP(H30,'NO TOCAR'!$A$2:$D$162,4,FALSE)</f>
        <v>CS</v>
      </c>
      <c r="K30" s="19" t="s">
        <v>352</v>
      </c>
      <c r="L30" s="19">
        <v>1</v>
      </c>
      <c r="M30" s="18"/>
      <c r="N30" s="20"/>
      <c r="O30" s="20"/>
      <c r="P30" s="20"/>
      <c r="Q30" s="20"/>
    </row>
    <row r="31" spans="1:17" s="19" customFormat="1" x14ac:dyDescent="0.35">
      <c r="A31" s="19" t="s">
        <v>348</v>
      </c>
      <c r="B31" s="19" t="s">
        <v>350</v>
      </c>
      <c r="D31" s="10">
        <v>44076</v>
      </c>
      <c r="E31" s="22">
        <v>44076</v>
      </c>
      <c r="F31" s="22">
        <v>44201</v>
      </c>
      <c r="G31" s="33" t="str">
        <f>VLOOKUP(H31,'NO TOCAR'!$A$2:$D$162,3,FALSE)</f>
        <v>Limitación de horario en locles de apuestas, bingos etc.</v>
      </c>
      <c r="H31" s="21" t="s">
        <v>229</v>
      </c>
      <c r="I31" s="33" t="str">
        <f>VLOOKUP(H31,'NO TOCAR'!$A$2:$D$162,2,FALSE)</f>
        <v>Locales de apuestas</v>
      </c>
      <c r="J31" s="33" t="str">
        <f>VLOOKUP(H31,'NO TOCAR'!$A$2:$D$162,4,FALSE)</f>
        <v>LA</v>
      </c>
      <c r="K31" s="19" t="s">
        <v>355</v>
      </c>
      <c r="L31" s="44">
        <v>4.1666666666666664E-2</v>
      </c>
      <c r="M31" s="18"/>
      <c r="N31" s="20"/>
      <c r="O31" s="20"/>
      <c r="P31" s="20"/>
      <c r="Q31" s="20"/>
    </row>
    <row r="32" spans="1:17" s="19" customFormat="1" ht="14.5" customHeight="1" x14ac:dyDescent="0.35">
      <c r="A32" s="19" t="s">
        <v>348</v>
      </c>
      <c r="B32" s="19" t="s">
        <v>350</v>
      </c>
      <c r="D32" s="10">
        <v>44076</v>
      </c>
      <c r="E32" s="22">
        <v>44076</v>
      </c>
      <c r="F32" s="22">
        <v>44217</v>
      </c>
      <c r="G32" s="33" t="str">
        <f>VLOOKUP(H32,'NO TOCAR'!$A$2:$D$162,3,FALSE)</f>
        <v>Limitación de aforo ZONAS INTERIORES de instalaciones y centros deportivos (fuera del ámbito regulado por el Consejo Superior de Deportes)</v>
      </c>
      <c r="H32" s="21" t="s">
        <v>48</v>
      </c>
      <c r="I32" s="33" t="str">
        <f>VLOOKUP(H32,'NO TOCAR'!$A$2:$D$162,2,FALSE)</f>
        <v>Deporte y actividad física</v>
      </c>
      <c r="J32" s="33" t="str">
        <f>VLOOKUP(H32,'NO TOCAR'!$A$2:$D$162,4,FALSE)</f>
        <v>AF</v>
      </c>
      <c r="K32" s="19" t="s">
        <v>351</v>
      </c>
      <c r="L32" s="19">
        <v>1.5</v>
      </c>
      <c r="M32" s="18"/>
      <c r="N32" s="20"/>
      <c r="O32" s="20"/>
      <c r="P32" s="20"/>
      <c r="Q32" s="20"/>
    </row>
    <row r="33" spans="1:17" s="19" customFormat="1" ht="14.5" customHeight="1" x14ac:dyDescent="0.35">
      <c r="A33" s="19" t="s">
        <v>348</v>
      </c>
      <c r="B33" s="19" t="s">
        <v>350</v>
      </c>
      <c r="D33" s="10">
        <v>44076</v>
      </c>
      <c r="E33" s="22">
        <v>44076</v>
      </c>
      <c r="F33" s="22">
        <v>44202</v>
      </c>
      <c r="G33" s="33" t="str">
        <f>VLOOKUP(H33,'NO TOCAR'!$A$2:$D$162,3,FALSE)</f>
        <v>Limitación de aforo ZONAS INTERIORES de instalaciones y centros deportivos (fuera del ámbito regulado por el Consejo Superior de Deportes)</v>
      </c>
      <c r="H33" s="21" t="s">
        <v>48</v>
      </c>
      <c r="I33" s="33" t="str">
        <f>VLOOKUP(H33,'NO TOCAR'!$A$2:$D$162,2,FALSE)</f>
        <v>Deporte y actividad física</v>
      </c>
      <c r="J33" s="33" t="str">
        <f>VLOOKUP(H33,'NO TOCAR'!$A$2:$D$162,4,FALSE)</f>
        <v>AF</v>
      </c>
      <c r="K33" s="19" t="s">
        <v>349</v>
      </c>
      <c r="L33" s="19">
        <v>50</v>
      </c>
      <c r="M33" s="18"/>
      <c r="N33" s="20"/>
      <c r="O33" s="20"/>
      <c r="P33" s="20"/>
      <c r="Q33" s="20"/>
    </row>
    <row r="34" spans="1:17" s="19" customFormat="1" ht="14.5" customHeight="1" x14ac:dyDescent="0.35">
      <c r="A34" s="19" t="s">
        <v>348</v>
      </c>
      <c r="B34" s="19" t="s">
        <v>350</v>
      </c>
      <c r="D34" s="10">
        <v>44076</v>
      </c>
      <c r="E34" s="22">
        <v>44076</v>
      </c>
      <c r="F34" s="22">
        <v>44202</v>
      </c>
      <c r="G34" s="33" t="str">
        <f>VLOOKUP(H34,'NO TOCAR'!$A$2:$D$162,3,FALSE)</f>
        <v>Limitación de aforo ZONAS INTERIORES de instalaciones y centros deportivos (fuera del ámbito regulado por el Consejo Superior de Deportes)</v>
      </c>
      <c r="H34" s="21" t="s">
        <v>48</v>
      </c>
      <c r="I34" s="33" t="str">
        <f>VLOOKUP(H34,'NO TOCAR'!$A$2:$D$162,2,FALSE)</f>
        <v>Deporte y actividad física</v>
      </c>
      <c r="J34" s="33" t="str">
        <f>VLOOKUP(H34,'NO TOCAR'!$A$2:$D$162,4,FALSE)</f>
        <v>AF</v>
      </c>
      <c r="K34" s="19" t="s">
        <v>352</v>
      </c>
      <c r="L34" s="19">
        <v>15</v>
      </c>
      <c r="M34" s="18"/>
      <c r="N34" s="20"/>
      <c r="O34" s="20"/>
      <c r="P34" s="20"/>
      <c r="Q34" s="20"/>
    </row>
    <row r="35" spans="1:17" s="19" customFormat="1" ht="14.5" customHeight="1" x14ac:dyDescent="0.35">
      <c r="A35" s="19" t="s">
        <v>348</v>
      </c>
      <c r="B35" s="19" t="s">
        <v>350</v>
      </c>
      <c r="D35" s="10">
        <v>44076</v>
      </c>
      <c r="E35" s="22">
        <v>44076</v>
      </c>
      <c r="F35" s="22">
        <v>44217</v>
      </c>
      <c r="G35" s="33" t="str">
        <f>VLOOKUP(H35,'NO TOCAR'!$A$2:$D$162,3,FALSE)</f>
        <v>Limitación de aforo ZONAS EXTERIORES de instalaciones y centros deportivos (fuera del ámbito regulado por el Consejo Superior de Deportes)</v>
      </c>
      <c r="H35" s="21" t="s">
        <v>51</v>
      </c>
      <c r="I35" s="33" t="str">
        <f>VLOOKUP(H35,'NO TOCAR'!$A$2:$D$162,2,FALSE)</f>
        <v>Deporte y actividad física</v>
      </c>
      <c r="J35" s="33" t="str">
        <f>VLOOKUP(H35,'NO TOCAR'!$A$2:$D$162,4,FALSE)</f>
        <v>AF</v>
      </c>
      <c r="K35" s="19" t="s">
        <v>351</v>
      </c>
      <c r="L35" s="19">
        <v>1.5</v>
      </c>
      <c r="M35" s="18"/>
      <c r="N35" s="20"/>
      <c r="O35" s="20"/>
      <c r="P35" s="20"/>
      <c r="Q35" s="20"/>
    </row>
    <row r="36" spans="1:17" s="19" customFormat="1" ht="14.5" customHeight="1" x14ac:dyDescent="0.35">
      <c r="A36" s="19" t="s">
        <v>348</v>
      </c>
      <c r="B36" s="19" t="s">
        <v>350</v>
      </c>
      <c r="D36" s="10">
        <v>44076</v>
      </c>
      <c r="E36" s="22">
        <v>44076</v>
      </c>
      <c r="F36" s="22">
        <v>44202</v>
      </c>
      <c r="G36" s="33" t="str">
        <f>VLOOKUP(H36,'NO TOCAR'!$A$2:$D$162,3,FALSE)</f>
        <v>Limitación de aforo ZONAS EXTERIORES de instalaciones y centros deportivos (fuera del ámbito regulado por el Consejo Superior de Deportes)</v>
      </c>
      <c r="H36" s="21" t="s">
        <v>51</v>
      </c>
      <c r="I36" s="33" t="str">
        <f>VLOOKUP(H36,'NO TOCAR'!$A$2:$D$162,2,FALSE)</f>
        <v>Deporte y actividad física</v>
      </c>
      <c r="J36" s="33" t="str">
        <f>VLOOKUP(H36,'NO TOCAR'!$A$2:$D$162,4,FALSE)</f>
        <v>AF</v>
      </c>
      <c r="K36" s="19" t="s">
        <v>349</v>
      </c>
      <c r="L36" s="19">
        <v>50</v>
      </c>
      <c r="M36" s="18"/>
      <c r="N36" s="20"/>
      <c r="O36" s="20"/>
      <c r="P36" s="20"/>
      <c r="Q36" s="20"/>
    </row>
    <row r="37" spans="1:17" s="19" customFormat="1" ht="14.5" customHeight="1" x14ac:dyDescent="0.35">
      <c r="A37" s="19" t="s">
        <v>348</v>
      </c>
      <c r="B37" s="19" t="s">
        <v>350</v>
      </c>
      <c r="D37" s="10">
        <v>44076</v>
      </c>
      <c r="E37" s="22">
        <v>44076</v>
      </c>
      <c r="F37" s="22">
        <v>44202</v>
      </c>
      <c r="G37" s="33" t="str">
        <f>VLOOKUP(H37,'NO TOCAR'!$A$2:$D$162,3,FALSE)</f>
        <v>Limitación de aforo ZONAS EXTERIORES de instalaciones y centros deportivos (fuera del ámbito regulado por el Consejo Superior de Deportes)</v>
      </c>
      <c r="H37" s="21" t="s">
        <v>51</v>
      </c>
      <c r="I37" s="33" t="str">
        <f>VLOOKUP(H37,'NO TOCAR'!$A$2:$D$162,2,FALSE)</f>
        <v>Deporte y actividad física</v>
      </c>
      <c r="J37" s="33" t="str">
        <f>VLOOKUP(H37,'NO TOCAR'!$A$2:$D$162,4,FALSE)</f>
        <v>AF</v>
      </c>
      <c r="K37" s="19" t="s">
        <v>352</v>
      </c>
      <c r="L37" s="19">
        <v>20</v>
      </c>
      <c r="M37" s="18"/>
      <c r="N37" s="20"/>
      <c r="O37" s="20"/>
      <c r="P37" s="20"/>
      <c r="Q37" s="20"/>
    </row>
    <row r="38" spans="1:17" s="19" customFormat="1" ht="14.5" customHeight="1" x14ac:dyDescent="0.35">
      <c r="A38" s="19" t="s">
        <v>348</v>
      </c>
      <c r="B38" s="19" t="s">
        <v>350</v>
      </c>
      <c r="D38" s="10">
        <v>44076</v>
      </c>
      <c r="E38" s="22">
        <v>44076</v>
      </c>
      <c r="F38" s="22">
        <v>44202</v>
      </c>
      <c r="G38" s="33" t="str">
        <f>VLOOKUP(H38,'NO TOCAR'!$A$2:$D$162,3,FALSE)</f>
        <v>Limitación de aforo piscinas deportivas</v>
      </c>
      <c r="H38" s="21" t="s">
        <v>82</v>
      </c>
      <c r="I38" s="33" t="str">
        <f>VLOOKUP(H38,'NO TOCAR'!$A$2:$D$162,2,FALSE)</f>
        <v>Deporte y actividad física</v>
      </c>
      <c r="J38" s="33" t="str">
        <f>VLOOKUP(H38,'NO TOCAR'!$A$2:$D$162,4,FALSE)</f>
        <v>AF</v>
      </c>
      <c r="K38" s="19" t="s">
        <v>349</v>
      </c>
      <c r="L38" s="19">
        <v>50</v>
      </c>
      <c r="M38" s="18"/>
      <c r="N38" s="20"/>
      <c r="O38" s="20"/>
      <c r="P38" s="20"/>
      <c r="Q38" s="20"/>
    </row>
    <row r="39" spans="1:17" s="19" customFormat="1" ht="14.5" customHeight="1" x14ac:dyDescent="0.35">
      <c r="A39" s="19" t="s">
        <v>348</v>
      </c>
      <c r="B39" s="19" t="s">
        <v>350</v>
      </c>
      <c r="D39" s="10">
        <v>44076</v>
      </c>
      <c r="E39" s="22">
        <v>44076</v>
      </c>
      <c r="F39" s="22">
        <v>44202</v>
      </c>
      <c r="G39" s="33" t="str">
        <f>VLOOKUP(H39,'NO TOCAR'!$A$2:$D$162,3,FALSE)</f>
        <v xml:space="preserve">Limitación de aforo piscinas de recreo </v>
      </c>
      <c r="H39" s="21" t="s">
        <v>52</v>
      </c>
      <c r="I39" s="33" t="str">
        <f>VLOOKUP(H39,'NO TOCAR'!$A$2:$D$162,2,FALSE)</f>
        <v>Deporte y actividad física</v>
      </c>
      <c r="J39" s="33" t="str">
        <f>VLOOKUP(H39,'NO TOCAR'!$A$2:$D$162,4,FALSE)</f>
        <v>AF</v>
      </c>
      <c r="K39" s="19" t="s">
        <v>349</v>
      </c>
      <c r="L39" s="19">
        <v>50</v>
      </c>
      <c r="M39" s="18"/>
      <c r="N39" s="20"/>
      <c r="O39" s="20"/>
      <c r="P39" s="20"/>
      <c r="Q39" s="20"/>
    </row>
    <row r="40" spans="1:17" s="19" customFormat="1" ht="14.5" customHeight="1" x14ac:dyDescent="0.35">
      <c r="A40" s="19" t="s">
        <v>348</v>
      </c>
      <c r="B40" s="19" t="s">
        <v>350</v>
      </c>
      <c r="D40" s="10">
        <v>44076</v>
      </c>
      <c r="E40" s="22">
        <v>44076</v>
      </c>
      <c r="F40" s="22"/>
      <c r="G40" s="33" t="str">
        <f>VLOOKUP(H40,'NO TOCAR'!$A$2:$D$162,3,FALSE)</f>
        <v>Limitación de AFORO en parques y jardines</v>
      </c>
      <c r="H40" s="21" t="s">
        <v>353</v>
      </c>
      <c r="I40" s="33" t="str">
        <f>VLOOKUP(H40,'NO TOCAR'!$A$2:$D$162,2,FALSE)</f>
        <v>Parques</v>
      </c>
      <c r="J40" s="33" t="str">
        <f>VLOOKUP(H40,'NO TOCAR'!$A$2:$D$162,4,FALSE)</f>
        <v>PA</v>
      </c>
      <c r="K40" s="19" t="s">
        <v>351</v>
      </c>
      <c r="L40" s="19">
        <v>4</v>
      </c>
      <c r="M40" s="18"/>
      <c r="N40" s="20"/>
      <c r="O40" s="20"/>
      <c r="P40" s="20"/>
      <c r="Q40" s="20"/>
    </row>
    <row r="41" spans="1:17" s="19" customFormat="1" ht="14.5" customHeight="1" x14ac:dyDescent="0.35">
      <c r="A41" s="19" t="s">
        <v>348</v>
      </c>
      <c r="B41" s="19" t="s">
        <v>350</v>
      </c>
      <c r="D41" s="10">
        <v>44076</v>
      </c>
      <c r="E41" s="22">
        <v>44076</v>
      </c>
      <c r="F41" s="22">
        <v>44217</v>
      </c>
      <c r="G41" s="33" t="str">
        <f>VLOOKUP(H41,'NO TOCAR'!$A$2:$D$162,3,FALSE)</f>
        <v>Limitación de aforo en cines, teatros, auditorios, circos de carpa y espacios similares, así como locales y establecimientos destinados a actos y espectáculos culturales en interior</v>
      </c>
      <c r="H41" s="21" t="s">
        <v>44</v>
      </c>
      <c r="I41" s="33" t="str">
        <f>VLOOKUP(H41,'NO TOCAR'!$A$2:$D$162,2,FALSE)</f>
        <v>Cultura y eventos (exc. deportivos)</v>
      </c>
      <c r="J41" s="33" t="str">
        <f>VLOOKUP(H41,'NO TOCAR'!$A$2:$D$162,4,FALSE)</f>
        <v>CD</v>
      </c>
      <c r="K41" s="19" t="s">
        <v>349</v>
      </c>
      <c r="L41" s="19">
        <v>50</v>
      </c>
      <c r="M41" s="18"/>
      <c r="N41" s="20"/>
      <c r="O41" s="20"/>
      <c r="P41" s="20"/>
      <c r="Q41" s="20"/>
    </row>
    <row r="42" spans="1:17" s="19" customFormat="1" ht="14.5" customHeight="1" x14ac:dyDescent="0.35">
      <c r="A42" s="19" t="s">
        <v>348</v>
      </c>
      <c r="B42" s="19" t="s">
        <v>350</v>
      </c>
      <c r="D42" s="10">
        <v>44076</v>
      </c>
      <c r="E42" s="22">
        <v>44076</v>
      </c>
      <c r="F42" s="22">
        <v>44217</v>
      </c>
      <c r="G42" s="33" t="str">
        <f>VLOOKUP(H42,'NO TOCAR'!$A$2:$D$162,3,FALSE)</f>
        <v>Limitación de aforo en bilbiotecas, museos y monumentos en general</v>
      </c>
      <c r="H42" s="21" t="s">
        <v>43</v>
      </c>
      <c r="I42" s="33" t="str">
        <f>VLOOKUP(H42,'NO TOCAR'!$A$2:$D$162,2,FALSE)</f>
        <v>Cultura y eventos (exc. deportivos)</v>
      </c>
      <c r="J42" s="33" t="str">
        <f>VLOOKUP(H42,'NO TOCAR'!$A$2:$D$162,4,FALSE)</f>
        <v>CD</v>
      </c>
      <c r="K42" s="19" t="s">
        <v>349</v>
      </c>
      <c r="L42" s="19">
        <v>50</v>
      </c>
      <c r="M42" s="18"/>
      <c r="N42" s="20"/>
      <c r="O42" s="20"/>
      <c r="P42" s="20"/>
      <c r="Q42" s="20"/>
    </row>
    <row r="43" spans="1:17" s="19" customFormat="1" ht="14.5" customHeight="1" x14ac:dyDescent="0.35">
      <c r="A43" s="19" t="s">
        <v>348</v>
      </c>
      <c r="B43" s="19" t="s">
        <v>350</v>
      </c>
      <c r="D43" s="10">
        <v>44076</v>
      </c>
      <c r="E43" s="22">
        <v>44076</v>
      </c>
      <c r="F43" s="22">
        <v>44217</v>
      </c>
      <c r="G43" s="33" t="str">
        <f>VLOOKUP(H43,'NO TOCAR'!$A$2:$D$162,3,FALSE)</f>
        <v>Limitación de aforo en actos y espectáculos culturales en exteriores</v>
      </c>
      <c r="H43" s="21" t="s">
        <v>140</v>
      </c>
      <c r="I43" s="33" t="str">
        <f>VLOOKUP(H43,'NO TOCAR'!$A$2:$D$162,2,FALSE)</f>
        <v>Cultura y eventos (exc. deportivos)</v>
      </c>
      <c r="J43" s="33" t="str">
        <f>VLOOKUP(H43,'NO TOCAR'!$A$2:$D$162,4,FALSE)</f>
        <v>CD</v>
      </c>
      <c r="K43" s="19" t="s">
        <v>352</v>
      </c>
      <c r="L43" s="19">
        <v>100</v>
      </c>
      <c r="M43" s="18"/>
      <c r="N43" s="20"/>
      <c r="O43" s="20"/>
      <c r="P43" s="20"/>
      <c r="Q43" s="20"/>
    </row>
    <row r="44" spans="1:17" s="19" customFormat="1" ht="14.5" customHeight="1" x14ac:dyDescent="0.35">
      <c r="A44" s="19" t="s">
        <v>348</v>
      </c>
      <c r="B44" s="19" t="s">
        <v>350</v>
      </c>
      <c r="D44" s="10">
        <v>44076</v>
      </c>
      <c r="E44" s="22">
        <v>44076</v>
      </c>
      <c r="F44" s="22">
        <v>44217</v>
      </c>
      <c r="G44" s="33" t="str">
        <f>VLOOKUP(H44,'NO TOCAR'!$A$2:$D$162,3,FALSE)</f>
        <v>Limitación de aforo en actos y espectáculos culturales en exteriores</v>
      </c>
      <c r="H44" s="21" t="s">
        <v>140</v>
      </c>
      <c r="I44" s="33" t="str">
        <f>VLOOKUP(H44,'NO TOCAR'!$A$2:$D$162,2,FALSE)</f>
        <v>Cultura y eventos (exc. deportivos)</v>
      </c>
      <c r="J44" s="33" t="str">
        <f>VLOOKUP(H44,'NO TOCAR'!$A$2:$D$162,4,FALSE)</f>
        <v>CD</v>
      </c>
      <c r="K44" s="19" t="s">
        <v>349</v>
      </c>
      <c r="L44" s="19">
        <v>50</v>
      </c>
      <c r="M44" s="18"/>
      <c r="N44" s="20"/>
      <c r="O44" s="20"/>
      <c r="P44" s="20"/>
      <c r="Q44" s="20"/>
    </row>
    <row r="45" spans="1:17" s="19" customFormat="1" ht="14.5" customHeight="1" x14ac:dyDescent="0.35">
      <c r="A45" s="19" t="s">
        <v>348</v>
      </c>
      <c r="B45" s="19" t="s">
        <v>350</v>
      </c>
      <c r="D45" s="10">
        <v>44076</v>
      </c>
      <c r="E45" s="22">
        <v>44076</v>
      </c>
      <c r="F45" s="22">
        <v>44248</v>
      </c>
      <c r="G45" s="33" t="str">
        <f>VLOOKUP(H45,'NO TOCAR'!$A$2:$D$162,3,FALSE)</f>
        <v>Limitación de aforo de academias, autoescuelas y otros centros de formación no reglada (incluidas actividades promovidas por las administraciones locales)</v>
      </c>
      <c r="H45" s="21" t="s">
        <v>32</v>
      </c>
      <c r="I45" s="33" t="str">
        <f>VLOOKUP(H45,'NO TOCAR'!$A$2:$D$162,2,FALSE)</f>
        <v>Educación</v>
      </c>
      <c r="J45" s="33" t="str">
        <f>VLOOKUP(H45,'NO TOCAR'!$A$2:$D$162,4,FALSE)</f>
        <v>ED</v>
      </c>
      <c r="K45" s="19" t="s">
        <v>349</v>
      </c>
      <c r="L45" s="19">
        <v>50</v>
      </c>
      <c r="M45" s="18"/>
      <c r="N45" s="20"/>
      <c r="O45" s="20"/>
      <c r="P45" s="20"/>
      <c r="Q45" s="20"/>
    </row>
    <row r="46" spans="1:17" s="19" customFormat="1" ht="14.5" customHeight="1" x14ac:dyDescent="0.35">
      <c r="A46" s="19" t="s">
        <v>348</v>
      </c>
      <c r="B46" s="19" t="s">
        <v>350</v>
      </c>
      <c r="D46" s="10">
        <v>44076</v>
      </c>
      <c r="E46" s="22">
        <v>44076</v>
      </c>
      <c r="F46" s="22"/>
      <c r="G46" s="33" t="str">
        <f>VLOOKUP(H46,'NO TOCAR'!$A$2:$D$162,3,FALSE)</f>
        <v>aseos, vestuarios, probadores, salas de lactancia o similares</v>
      </c>
      <c r="H46" s="21" t="s">
        <v>21</v>
      </c>
      <c r="I46" s="33" t="str">
        <f>VLOOKUP(H46,'NO TOCAR'!$A$2:$D$162,2,FALSE)</f>
        <v>General</v>
      </c>
      <c r="J46" s="33" t="str">
        <f>VLOOKUP(H46,'NO TOCAR'!$A$2:$D$162,4,FALSE)</f>
        <v>GE</v>
      </c>
      <c r="K46" s="19" t="s">
        <v>351</v>
      </c>
      <c r="L46" s="19">
        <v>4</v>
      </c>
      <c r="M46" s="18"/>
      <c r="N46" s="20"/>
      <c r="O46" s="20"/>
      <c r="P46" s="20"/>
      <c r="Q46" s="20"/>
    </row>
    <row r="47" spans="1:17" s="19" customFormat="1" ht="14.5" customHeight="1" x14ac:dyDescent="0.35">
      <c r="A47" s="19" t="s">
        <v>348</v>
      </c>
      <c r="B47" s="19" t="s">
        <v>350</v>
      </c>
      <c r="D47" s="10">
        <v>44076</v>
      </c>
      <c r="E47" s="22">
        <v>44076</v>
      </c>
      <c r="F47" s="22"/>
      <c r="G47" s="33" t="str">
        <f>VLOOKUP(H47,'NO TOCAR'!$A$2:$D$162,3,FALSE)</f>
        <v>aseos, vestuarios, probadores, salas de lactancia o similares</v>
      </c>
      <c r="H47" s="21" t="s">
        <v>21</v>
      </c>
      <c r="I47" s="33" t="str">
        <f>VLOOKUP(H47,'NO TOCAR'!$A$2:$D$162,2,FALSE)</f>
        <v>General</v>
      </c>
      <c r="J47" s="33" t="str">
        <f>VLOOKUP(H47,'NO TOCAR'!$A$2:$D$162,4,FALSE)</f>
        <v>GE</v>
      </c>
      <c r="K47" s="19" t="s">
        <v>349</v>
      </c>
      <c r="L47" s="19">
        <v>50</v>
      </c>
      <c r="M47" s="18"/>
      <c r="N47" s="20"/>
      <c r="O47" s="20"/>
      <c r="P47" s="20"/>
      <c r="Q47" s="20"/>
    </row>
    <row r="48" spans="1:17" s="19" customFormat="1" ht="14.5" customHeight="1" x14ac:dyDescent="0.35">
      <c r="A48" s="19" t="s">
        <v>348</v>
      </c>
      <c r="B48" s="19" t="s">
        <v>350</v>
      </c>
      <c r="D48" s="10">
        <v>44076</v>
      </c>
      <c r="E48" s="22">
        <v>44076</v>
      </c>
      <c r="F48" s="10">
        <v>44126</v>
      </c>
      <c r="G48" s="33" t="str">
        <f>VLOOKUP(H48,'NO TOCAR'!$A$2:$D$162,3,FALSE)</f>
        <v>Aforo velatorios, entierros y ceremonias fúnebres en espacios interiores</v>
      </c>
      <c r="H48" s="21" t="s">
        <v>25</v>
      </c>
      <c r="I48" s="33" t="str">
        <f>VLOOKUP(H48,'NO TOCAR'!$A$2:$D$162,2,FALSE)</f>
        <v>Ceremonias religiosas</v>
      </c>
      <c r="J48" s="33" t="str">
        <f>VLOOKUP(H48,'NO TOCAR'!$A$2:$D$162,4,FALSE)</f>
        <v>CE</v>
      </c>
      <c r="K48" s="19" t="s">
        <v>352</v>
      </c>
      <c r="L48" s="19">
        <v>15</v>
      </c>
      <c r="M48" s="18"/>
      <c r="N48" s="20"/>
      <c r="O48" s="20"/>
      <c r="P48" s="20"/>
      <c r="Q48" s="20"/>
    </row>
    <row r="49" spans="1:17" s="19" customFormat="1" ht="14.5" customHeight="1" x14ac:dyDescent="0.35">
      <c r="A49" s="19" t="s">
        <v>348</v>
      </c>
      <c r="B49" s="19" t="s">
        <v>350</v>
      </c>
      <c r="D49" s="10">
        <v>44076</v>
      </c>
      <c r="E49" s="22">
        <v>44076</v>
      </c>
      <c r="F49" s="10">
        <v>44126</v>
      </c>
      <c r="G49" s="33" t="str">
        <f>VLOOKUP(H49,'NO TOCAR'!$A$2:$D$162,3,FALSE)</f>
        <v>Aforo velatorios, entierros y ceremonias fúnebres en espacios interiores</v>
      </c>
      <c r="H49" s="21" t="s">
        <v>25</v>
      </c>
      <c r="I49" s="33" t="str">
        <f>VLOOKUP(H49,'NO TOCAR'!$A$2:$D$162,2,FALSE)</f>
        <v>Ceremonias religiosas</v>
      </c>
      <c r="J49" s="33" t="str">
        <f>VLOOKUP(H49,'NO TOCAR'!$A$2:$D$162,4,FALSE)</f>
        <v>CE</v>
      </c>
      <c r="K49" s="19" t="s">
        <v>349</v>
      </c>
      <c r="L49" s="19">
        <v>25</v>
      </c>
      <c r="M49" s="18"/>
      <c r="N49" s="20"/>
      <c r="O49" s="20"/>
      <c r="P49" s="20"/>
      <c r="Q49" s="20"/>
    </row>
    <row r="50" spans="1:17" s="63" customFormat="1" ht="14.5" customHeight="1" x14ac:dyDescent="0.35">
      <c r="A50" s="19" t="s">
        <v>348</v>
      </c>
      <c r="B50" s="19" t="s">
        <v>350</v>
      </c>
      <c r="C50" s="19"/>
      <c r="D50" s="10">
        <v>44076</v>
      </c>
      <c r="E50" s="22">
        <v>44076</v>
      </c>
      <c r="F50" s="22">
        <v>44217</v>
      </c>
      <c r="G50" s="33" t="str">
        <f>VLOOKUP(H50,'NO TOCAR'!$A$2:$D$162,3,FALSE)</f>
        <v>Aforo en zona interiores</v>
      </c>
      <c r="H50" s="21" t="s">
        <v>286</v>
      </c>
      <c r="I50" s="33" t="str">
        <f>VLOOKUP(H50,'NO TOCAR'!$A$2:$D$162,2,FALSE)</f>
        <v>Restauración, hostelería y bares</v>
      </c>
      <c r="J50" s="33" t="str">
        <f>VLOOKUP(H50,'NO TOCAR'!$A$2:$D$162,4,FALSE)</f>
        <v>RH</v>
      </c>
      <c r="K50" s="19" t="s">
        <v>352</v>
      </c>
      <c r="L50" s="19">
        <v>30</v>
      </c>
      <c r="M50" s="18"/>
      <c r="N50" s="20"/>
      <c r="O50" s="20"/>
      <c r="P50" s="20"/>
      <c r="Q50" s="20"/>
    </row>
    <row r="51" spans="1:17" s="19" customFormat="1" ht="14.5" customHeight="1" x14ac:dyDescent="0.35">
      <c r="A51" s="19" t="s">
        <v>348</v>
      </c>
      <c r="B51" s="19" t="s">
        <v>350</v>
      </c>
      <c r="D51" s="10">
        <v>44076</v>
      </c>
      <c r="E51" s="22">
        <v>44076</v>
      </c>
      <c r="F51" s="10">
        <v>44126</v>
      </c>
      <c r="G51" s="33" t="str">
        <f>VLOOKUP(H51,'NO TOCAR'!$A$2:$D$162,3,FALSE)</f>
        <v>Aforo en velatorios, entierros y ceremonias fúnebres en espacios exteriores</v>
      </c>
      <c r="H51" s="21" t="s">
        <v>26</v>
      </c>
      <c r="I51" s="33" t="str">
        <f>VLOOKUP(H51,'NO TOCAR'!$A$2:$D$162,2,FALSE)</f>
        <v>Ceremonias religiosas</v>
      </c>
      <c r="J51" s="33" t="str">
        <f>VLOOKUP(H51,'NO TOCAR'!$A$2:$D$162,4,FALSE)</f>
        <v>CE</v>
      </c>
      <c r="K51" s="19" t="s">
        <v>352</v>
      </c>
      <c r="L51" s="19">
        <v>25</v>
      </c>
      <c r="M51" s="18"/>
      <c r="N51" s="20"/>
      <c r="O51" s="20"/>
      <c r="P51" s="20"/>
      <c r="Q51" s="20"/>
    </row>
    <row r="52" spans="1:17" s="19" customFormat="1" ht="14.5" customHeight="1" x14ac:dyDescent="0.35">
      <c r="A52" s="19" t="s">
        <v>348</v>
      </c>
      <c r="B52" s="19" t="s">
        <v>350</v>
      </c>
      <c r="D52" s="10">
        <v>44076</v>
      </c>
      <c r="E52" s="22">
        <v>44076</v>
      </c>
      <c r="F52" s="22">
        <v>44217</v>
      </c>
      <c r="G52" s="33" t="str">
        <f>VLOOKUP(H52,'NO TOCAR'!$A$2:$D$162,3,FALSE)</f>
        <v>Aforo en terrazas al aire libre</v>
      </c>
      <c r="H52" s="21" t="s">
        <v>284</v>
      </c>
      <c r="I52" s="33" t="str">
        <f>VLOOKUP(H52,'NO TOCAR'!$A$2:$D$162,2,FALSE)</f>
        <v>Restauración, hostelería y bares</v>
      </c>
      <c r="J52" s="33" t="str">
        <f>VLOOKUP(H52,'NO TOCAR'!$A$2:$D$162,4,FALSE)</f>
        <v>RH</v>
      </c>
      <c r="K52" s="19" t="s">
        <v>352</v>
      </c>
      <c r="L52" s="19">
        <v>50</v>
      </c>
      <c r="M52" s="18"/>
      <c r="N52" s="20"/>
      <c r="O52" s="20"/>
      <c r="P52" s="20"/>
      <c r="Q52" s="20"/>
    </row>
    <row r="53" spans="1:17" s="19" customFormat="1" ht="14.5" customHeight="1" x14ac:dyDescent="0.35">
      <c r="A53" s="19" t="s">
        <v>348</v>
      </c>
      <c r="B53" s="19" t="s">
        <v>350</v>
      </c>
      <c r="D53" s="10">
        <v>44076</v>
      </c>
      <c r="E53" s="22">
        <v>44076</v>
      </c>
      <c r="F53" s="22">
        <v>44217</v>
      </c>
      <c r="G53" s="33" t="str">
        <f>VLOOKUP(H53,'NO TOCAR'!$A$2:$D$162,3,FALSE)</f>
        <v>Aforo en otras ceremonias (bodas, bautizos) en espacios interiores</v>
      </c>
      <c r="H53" s="21" t="s">
        <v>28</v>
      </c>
      <c r="I53" s="33" t="str">
        <f>VLOOKUP(H53,'NO TOCAR'!$A$2:$D$162,2,FALSE)</f>
        <v>Ceremonias religiosas</v>
      </c>
      <c r="J53" s="33" t="str">
        <f>VLOOKUP(H53,'NO TOCAR'!$A$2:$D$162,4,FALSE)</f>
        <v>CE</v>
      </c>
      <c r="K53" s="19" t="s">
        <v>349</v>
      </c>
      <c r="L53" s="19">
        <v>50</v>
      </c>
      <c r="M53" s="18"/>
      <c r="N53" s="20"/>
      <c r="O53" s="20"/>
      <c r="P53" s="20"/>
      <c r="Q53" s="48"/>
    </row>
    <row r="54" spans="1:17" s="19" customFormat="1" ht="14.5" customHeight="1" x14ac:dyDescent="0.35">
      <c r="A54" s="19" t="s">
        <v>348</v>
      </c>
      <c r="B54" s="19" t="s">
        <v>350</v>
      </c>
      <c r="D54" s="10">
        <v>44076</v>
      </c>
      <c r="E54" s="22">
        <v>44076</v>
      </c>
      <c r="F54" s="22">
        <v>44217</v>
      </c>
      <c r="G54" s="33" t="str">
        <f>VLOOKUP(H54,'NO TOCAR'!$A$2:$D$162,3,FALSE)</f>
        <v>Aforo en otras ceremonias (bodas, bautizos) en espacios exteriores</v>
      </c>
      <c r="H54" s="21" t="s">
        <v>29</v>
      </c>
      <c r="I54" s="33" t="str">
        <f>VLOOKUP(H54,'NO TOCAR'!$A$2:$D$162,2,FALSE)</f>
        <v>Ceremonias religiosas</v>
      </c>
      <c r="J54" s="33" t="str">
        <f>VLOOKUP(H54,'NO TOCAR'!$A$2:$D$162,4,FALSE)</f>
        <v>CE</v>
      </c>
      <c r="K54" s="19" t="s">
        <v>349</v>
      </c>
      <c r="L54" s="19">
        <v>50</v>
      </c>
      <c r="M54" s="18"/>
      <c r="N54" s="20"/>
      <c r="O54" s="20"/>
      <c r="P54" s="20"/>
      <c r="Q54" s="48"/>
    </row>
    <row r="55" spans="1:17" s="19" customFormat="1" ht="14.5" customHeight="1" x14ac:dyDescent="0.35">
      <c r="A55" s="19" t="s">
        <v>348</v>
      </c>
      <c r="B55" s="19" t="s">
        <v>350</v>
      </c>
      <c r="D55" s="10">
        <v>44076</v>
      </c>
      <c r="E55" s="22">
        <v>44076</v>
      </c>
      <c r="F55" s="10">
        <v>44126</v>
      </c>
      <c r="G55" s="33" t="str">
        <f>VLOOKUP(H55,'NO TOCAR'!$A$2:$D$162,3,FALSE)</f>
        <v>Aforo en lugares de culto</v>
      </c>
      <c r="H55" s="21" t="s">
        <v>27</v>
      </c>
      <c r="I55" s="33" t="str">
        <f>VLOOKUP(H55,'NO TOCAR'!$A$2:$D$162,2,FALSE)</f>
        <v>Ceremonias religiosas</v>
      </c>
      <c r="J55" s="33" t="str">
        <f>VLOOKUP(H55,'NO TOCAR'!$A$2:$D$162,4,FALSE)</f>
        <v>CE</v>
      </c>
      <c r="K55" s="19" t="s">
        <v>349</v>
      </c>
      <c r="L55" s="19">
        <v>50</v>
      </c>
      <c r="M55" s="18"/>
      <c r="N55" s="20"/>
      <c r="O55" s="20"/>
      <c r="P55" s="20"/>
      <c r="Q55" s="48"/>
    </row>
    <row r="56" spans="1:17" s="19" customFormat="1" x14ac:dyDescent="0.35">
      <c r="A56" s="19" t="s">
        <v>348</v>
      </c>
      <c r="B56" s="19" t="s">
        <v>350</v>
      </c>
      <c r="D56" s="10">
        <v>44076</v>
      </c>
      <c r="E56" s="22">
        <v>44076</v>
      </c>
      <c r="F56" s="10">
        <v>44202</v>
      </c>
      <c r="G56" s="33" t="str">
        <f>VLOOKUP(H56,'NO TOCAR'!$A$2:$D$162,3,FALSE)</f>
        <v>Aforo en locales de apuestas, bingos etc.</v>
      </c>
      <c r="H56" s="21" t="s">
        <v>57</v>
      </c>
      <c r="I56" s="33" t="str">
        <f>VLOOKUP(H56,'NO TOCAR'!$A$2:$D$162,2,FALSE)</f>
        <v>Locales de apuestas</v>
      </c>
      <c r="J56" s="33" t="str">
        <f>VLOOKUP(H56,'NO TOCAR'!$A$2:$D$162,4,FALSE)</f>
        <v>LA</v>
      </c>
      <c r="K56" s="19" t="s">
        <v>352</v>
      </c>
      <c r="L56" s="19">
        <v>25</v>
      </c>
      <c r="M56" s="18"/>
      <c r="N56" s="20"/>
      <c r="O56" s="20"/>
      <c r="P56" s="20"/>
      <c r="Q56" s="20"/>
    </row>
    <row r="57" spans="1:17" s="19" customFormat="1" x14ac:dyDescent="0.35">
      <c r="A57" s="19" t="s">
        <v>348</v>
      </c>
      <c r="B57" s="19" t="s">
        <v>350</v>
      </c>
      <c r="D57" s="10">
        <v>44076</v>
      </c>
      <c r="E57" s="22">
        <v>44076</v>
      </c>
      <c r="F57" s="10">
        <v>44202</v>
      </c>
      <c r="G57" s="33" t="str">
        <f>VLOOKUP(H57,'NO TOCAR'!$A$2:$D$162,3,FALSE)</f>
        <v>Aforo en locales de apuestas, bingos etc.</v>
      </c>
      <c r="H57" s="21" t="s">
        <v>57</v>
      </c>
      <c r="I57" s="33" t="str">
        <f>VLOOKUP(H57,'NO TOCAR'!$A$2:$D$162,2,FALSE)</f>
        <v>Locales de apuestas</v>
      </c>
      <c r="J57" s="33" t="str">
        <f>VLOOKUP(H57,'NO TOCAR'!$A$2:$D$162,4,FALSE)</f>
        <v>LA</v>
      </c>
      <c r="K57" s="19" t="s">
        <v>349</v>
      </c>
      <c r="L57" s="19">
        <v>50</v>
      </c>
      <c r="M57" s="18"/>
      <c r="N57" s="20"/>
      <c r="O57" s="20"/>
      <c r="P57" s="20"/>
      <c r="Q57" s="20"/>
    </row>
    <row r="58" spans="1:17" s="19" customFormat="1" ht="14.5" customHeight="1" x14ac:dyDescent="0.35">
      <c r="A58" s="19" t="s">
        <v>348</v>
      </c>
      <c r="B58" s="19" t="s">
        <v>350</v>
      </c>
      <c r="D58" s="10">
        <v>44076</v>
      </c>
      <c r="E58" s="22">
        <v>44076</v>
      </c>
      <c r="F58" s="22">
        <v>44217</v>
      </c>
      <c r="G58" s="33" t="str">
        <f>VLOOKUP(H58,'NO TOCAR'!$A$2:$D$162,3,FALSE)</f>
        <v>Aforo en festejos taurinos</v>
      </c>
      <c r="H58" s="21" t="s">
        <v>56</v>
      </c>
      <c r="I58" s="33" t="str">
        <f>VLOOKUP(H58,'NO TOCAR'!$A$2:$D$162,2,FALSE)</f>
        <v>Cultura y eventos (exc. deportivos)</v>
      </c>
      <c r="J58" s="33" t="str">
        <f>VLOOKUP(H58,'NO TOCAR'!$A$2:$D$162,4,FALSE)</f>
        <v>CD</v>
      </c>
      <c r="K58" s="19" t="s">
        <v>349</v>
      </c>
      <c r="L58" s="19">
        <v>50</v>
      </c>
      <c r="M58" s="18"/>
      <c r="N58" s="20"/>
      <c r="O58" s="20"/>
      <c r="P58" s="20"/>
      <c r="Q58" s="20"/>
    </row>
    <row r="59" spans="1:17" s="19" customFormat="1" ht="14.5" customHeight="1" x14ac:dyDescent="0.35">
      <c r="A59" s="19" t="s">
        <v>348</v>
      </c>
      <c r="B59" s="19" t="s">
        <v>350</v>
      </c>
      <c r="D59" s="10">
        <v>44076</v>
      </c>
      <c r="E59" s="22">
        <v>44076</v>
      </c>
      <c r="F59" s="22">
        <v>44248</v>
      </c>
      <c r="G59" s="33" t="str">
        <f>VLOOKUP(H59,'NO TOCAR'!$A$2:$D$162,3,FALSE)</f>
        <v>Aforo en eventos profesionales (congresos, encuentros, etc.) en espacios abiertos y cerrados</v>
      </c>
      <c r="H59" s="21" t="s">
        <v>339</v>
      </c>
      <c r="I59" s="33" t="str">
        <f>VLOOKUP(H59,'NO TOCAR'!$A$2:$D$162,2,FALSE)</f>
        <v>Trabajo</v>
      </c>
      <c r="J59" s="33" t="str">
        <f>VLOOKUP(H59,'NO TOCAR'!$A$2:$D$162,4,FALSE)</f>
        <v>TR</v>
      </c>
      <c r="K59" s="19" t="s">
        <v>352</v>
      </c>
      <c r="L59" s="19">
        <v>100</v>
      </c>
      <c r="M59" s="18"/>
      <c r="N59" s="20"/>
      <c r="O59" s="20"/>
      <c r="P59" s="20"/>
      <c r="Q59" s="20"/>
    </row>
    <row r="60" spans="1:17" s="19" customFormat="1" ht="14.5" customHeight="1" x14ac:dyDescent="0.35">
      <c r="A60" s="19" t="s">
        <v>348</v>
      </c>
      <c r="B60" s="19" t="s">
        <v>350</v>
      </c>
      <c r="D60" s="10">
        <v>44076</v>
      </c>
      <c r="E60" s="22">
        <v>44076</v>
      </c>
      <c r="F60" s="22">
        <v>44248</v>
      </c>
      <c r="G60" s="33" t="str">
        <f>VLOOKUP(H60,'NO TOCAR'!$A$2:$D$162,3,FALSE)</f>
        <v>Aforo en eventos profesionales (congresos, encuentros, etc.) en espacios abiertos y cerrados</v>
      </c>
      <c r="H60" s="21" t="s">
        <v>339</v>
      </c>
      <c r="I60" s="33" t="str">
        <f>VLOOKUP(H60,'NO TOCAR'!$A$2:$D$162,2,FALSE)</f>
        <v>Trabajo</v>
      </c>
      <c r="J60" s="33" t="str">
        <f>VLOOKUP(H60,'NO TOCAR'!$A$2:$D$162,4,FALSE)</f>
        <v>TR</v>
      </c>
      <c r="K60" s="19" t="s">
        <v>349</v>
      </c>
      <c r="L60" s="19">
        <v>75</v>
      </c>
      <c r="M60" s="18"/>
      <c r="N60" s="20"/>
      <c r="O60" s="20"/>
      <c r="P60" s="20"/>
      <c r="Q60" s="20"/>
    </row>
    <row r="61" spans="1:17" s="19" customFormat="1" ht="14.5" customHeight="1" x14ac:dyDescent="0.35">
      <c r="A61" s="19" t="s">
        <v>348</v>
      </c>
      <c r="B61" s="19" t="s">
        <v>350</v>
      </c>
      <c r="D61" s="10">
        <v>44076</v>
      </c>
      <c r="E61" s="22">
        <v>44076</v>
      </c>
      <c r="F61" s="22">
        <v>44248</v>
      </c>
      <c r="G61" s="33" t="str">
        <f>VLOOKUP(H61,'NO TOCAR'!$A$2:$D$162,3,FALSE)</f>
        <v>Aforo en espacios comunes de alojamientos como albergues</v>
      </c>
      <c r="H61" s="21" t="s">
        <v>41</v>
      </c>
      <c r="I61" s="33" t="str">
        <f>VLOOKUP(H61,'NO TOCAR'!$A$2:$D$162,2,FALSE)</f>
        <v>Alojamientos (hoteles, albergues)</v>
      </c>
      <c r="J61" s="33" t="str">
        <f>VLOOKUP(H61,'NO TOCAR'!$A$2:$D$162,4,FALSE)</f>
        <v>AL</v>
      </c>
      <c r="K61" s="19" t="s">
        <v>349</v>
      </c>
      <c r="L61" s="19">
        <v>40</v>
      </c>
      <c r="M61" s="18"/>
      <c r="N61" s="20"/>
      <c r="O61" s="20"/>
      <c r="P61" s="20"/>
      <c r="Q61" s="20"/>
    </row>
    <row r="62" spans="1:17" s="19" customFormat="1" ht="14.5" customHeight="1" x14ac:dyDescent="0.35">
      <c r="A62" s="19" t="s">
        <v>348</v>
      </c>
      <c r="B62" s="19" t="s">
        <v>350</v>
      </c>
      <c r="D62" s="10">
        <v>44076</v>
      </c>
      <c r="E62" s="22">
        <v>44076</v>
      </c>
      <c r="F62" s="22">
        <v>44217</v>
      </c>
      <c r="G62" s="33" t="str">
        <f>VLOOKUP(H62,'NO TOCAR'!$A$2:$D$162,3,FALSE)</f>
        <v>Aforo de asistencia de público en eventos deportivos en interiores</v>
      </c>
      <c r="H62" s="21" t="s">
        <v>50</v>
      </c>
      <c r="I62" s="33" t="str">
        <f>VLOOKUP(H62,'NO TOCAR'!$A$2:$D$162,2,FALSE)</f>
        <v>Deporte y actividad física</v>
      </c>
      <c r="J62" s="33" t="str">
        <f>VLOOKUP(H62,'NO TOCAR'!$A$2:$D$162,4,FALSE)</f>
        <v>AF</v>
      </c>
      <c r="K62" s="19" t="s">
        <v>351</v>
      </c>
      <c r="L62" s="19">
        <v>1.5</v>
      </c>
      <c r="M62" s="18"/>
      <c r="N62" s="20"/>
      <c r="O62" s="20"/>
      <c r="P62" s="20"/>
      <c r="Q62" s="20"/>
    </row>
    <row r="63" spans="1:17" s="19" customFormat="1" ht="14.5" customHeight="1" x14ac:dyDescent="0.35">
      <c r="A63" s="19" t="s">
        <v>348</v>
      </c>
      <c r="B63" s="19" t="s">
        <v>350</v>
      </c>
      <c r="D63" s="10">
        <v>44076</v>
      </c>
      <c r="E63" s="22">
        <v>44076</v>
      </c>
      <c r="F63" s="22">
        <v>44217</v>
      </c>
      <c r="G63" s="33" t="str">
        <f>VLOOKUP(H63,'NO TOCAR'!$A$2:$D$162,3,FALSE)</f>
        <v>Aforo de asistencia de público en eventos deportivos en interiores</v>
      </c>
      <c r="H63" s="21" t="s">
        <v>50</v>
      </c>
      <c r="I63" s="33" t="str">
        <f>VLOOKUP(H63,'NO TOCAR'!$A$2:$D$162,2,FALSE)</f>
        <v>Deporte y actividad física</v>
      </c>
      <c r="J63" s="33" t="str">
        <f>VLOOKUP(H63,'NO TOCAR'!$A$2:$D$162,4,FALSE)</f>
        <v>AF</v>
      </c>
      <c r="K63" s="19" t="s">
        <v>349</v>
      </c>
      <c r="L63" s="19">
        <v>50</v>
      </c>
      <c r="M63" s="18"/>
      <c r="N63" s="20"/>
      <c r="O63" s="20"/>
      <c r="P63" s="20"/>
      <c r="Q63" s="20"/>
    </row>
    <row r="64" spans="1:17" s="19" customFormat="1" ht="14.5" customHeight="1" x14ac:dyDescent="0.35">
      <c r="A64" s="19" t="s">
        <v>348</v>
      </c>
      <c r="B64" s="19" t="s">
        <v>350</v>
      </c>
      <c r="D64" s="10">
        <v>44076</v>
      </c>
      <c r="E64" s="22">
        <v>44076</v>
      </c>
      <c r="F64" s="22">
        <v>44217</v>
      </c>
      <c r="G64" s="33" t="str">
        <f>VLOOKUP(H64,'NO TOCAR'!$A$2:$D$162,3,FALSE)</f>
        <v>Aforo de asistencia de público en eventos deportivos en exteriores</v>
      </c>
      <c r="H64" s="21" t="s">
        <v>49</v>
      </c>
      <c r="I64" s="33" t="str">
        <f>VLOOKUP(H64,'NO TOCAR'!$A$2:$D$162,2,FALSE)</f>
        <v>Deporte y actividad física</v>
      </c>
      <c r="J64" s="33" t="str">
        <f>VLOOKUP(H64,'NO TOCAR'!$A$2:$D$162,4,FALSE)</f>
        <v>AF</v>
      </c>
      <c r="K64" s="19" t="s">
        <v>351</v>
      </c>
      <c r="L64" s="19">
        <v>1.5</v>
      </c>
      <c r="M64" s="18"/>
      <c r="N64" s="20"/>
      <c r="O64" s="20"/>
      <c r="P64" s="20"/>
      <c r="Q64" s="20"/>
    </row>
    <row r="65" spans="1:17" s="19" customFormat="1" ht="14.5" customHeight="1" x14ac:dyDescent="0.35">
      <c r="A65" s="19" t="s">
        <v>348</v>
      </c>
      <c r="B65" s="19" t="s">
        <v>350</v>
      </c>
      <c r="D65" s="10">
        <v>44076</v>
      </c>
      <c r="E65" s="22">
        <v>44076</v>
      </c>
      <c r="F65" s="22">
        <v>44217</v>
      </c>
      <c r="G65" s="33" t="str">
        <f>VLOOKUP(H65,'NO TOCAR'!$A$2:$D$162,3,FALSE)</f>
        <v>Aforo de asistencia de público en eventos deportivos en exteriores</v>
      </c>
      <c r="H65" s="21" t="s">
        <v>49</v>
      </c>
      <c r="I65" s="33" t="str">
        <f>VLOOKUP(H65,'NO TOCAR'!$A$2:$D$162,2,FALSE)</f>
        <v>Deporte y actividad física</v>
      </c>
      <c r="J65" s="33" t="str">
        <f>VLOOKUP(H65,'NO TOCAR'!$A$2:$D$162,4,FALSE)</f>
        <v>AF</v>
      </c>
      <c r="K65" s="19" t="s">
        <v>349</v>
      </c>
      <c r="L65" s="19">
        <v>50</v>
      </c>
      <c r="M65" s="18"/>
      <c r="N65" s="20"/>
      <c r="O65" s="20"/>
      <c r="P65" s="20"/>
      <c r="Q65" s="20"/>
    </row>
    <row r="66" spans="1:17" s="19" customFormat="1" ht="14.5" customHeight="1" x14ac:dyDescent="0.35">
      <c r="A66" s="19" t="s">
        <v>348</v>
      </c>
      <c r="B66" s="19" t="s">
        <v>350</v>
      </c>
      <c r="D66" s="10">
        <v>44058</v>
      </c>
      <c r="E66" s="10">
        <v>44058</v>
      </c>
      <c r="F66" s="20"/>
      <c r="G66" s="33" t="e">
        <f>VLOOKUP(H66,'NO TOCAR'!$A$2:$D$162,3,FALSE)</f>
        <v>#N/A</v>
      </c>
      <c r="H66" s="21" t="s">
        <v>271</v>
      </c>
      <c r="I66" s="33" t="e">
        <f>VLOOKUP(H66,'NO TOCAR'!$A$2:$D$162,2,FALSE)</f>
        <v>#N/A</v>
      </c>
      <c r="J66" s="33" t="e">
        <f>VLOOKUP(H66,'NO TOCAR'!$A$2:$D$162,4,FALSE)</f>
        <v>#N/A</v>
      </c>
      <c r="L66" s="44"/>
      <c r="M66" s="18"/>
      <c r="N66" s="20"/>
      <c r="O66" s="20"/>
      <c r="P66" s="20"/>
      <c r="Q66" s="20"/>
    </row>
    <row r="67" spans="1:17" s="19" customFormat="1" ht="14.5" customHeight="1" x14ac:dyDescent="0.35">
      <c r="A67" s="19" t="s">
        <v>348</v>
      </c>
      <c r="B67" s="19" t="s">
        <v>350</v>
      </c>
      <c r="D67" s="10">
        <v>44058</v>
      </c>
      <c r="E67" s="10">
        <v>44058</v>
      </c>
      <c r="F67" s="20"/>
      <c r="G67" s="33" t="str">
        <f>VLOOKUP(H67,'NO TOCAR'!$A$2:$D$162,3,FALSE)</f>
        <v>Prohibición fumar en vía pública &lt; 2 metros</v>
      </c>
      <c r="H67" s="21" t="s">
        <v>302</v>
      </c>
      <c r="I67" s="33" t="str">
        <f>VLOOKUP(H67,'NO TOCAR'!$A$2:$D$162,2,FALSE)</f>
        <v>Relaciones sociales</v>
      </c>
      <c r="J67" s="33" t="str">
        <f>VLOOKUP(H67,'NO TOCAR'!$A$2:$D$162,4,FALSE)</f>
        <v>RS</v>
      </c>
      <c r="L67" s="44"/>
      <c r="M67" s="18"/>
      <c r="N67" s="20"/>
      <c r="O67" s="20"/>
      <c r="P67" s="20"/>
      <c r="Q67" s="20"/>
    </row>
    <row r="68" spans="1:17" s="19" customFormat="1" ht="14.5" customHeight="1" x14ac:dyDescent="0.35">
      <c r="A68" s="19" t="s">
        <v>348</v>
      </c>
      <c r="B68" s="19" t="s">
        <v>350</v>
      </c>
      <c r="D68" s="10">
        <v>44058</v>
      </c>
      <c r="E68" s="10">
        <v>44058</v>
      </c>
      <c r="F68" s="20"/>
      <c r="G68" s="33" t="str">
        <f>VLOOKUP(H68,'NO TOCAR'!$A$2:$D$162,3,FALSE)</f>
        <v>Prohibición consumo alcohol en vía pública</v>
      </c>
      <c r="H68" s="21" t="s">
        <v>306</v>
      </c>
      <c r="I68" s="33" t="str">
        <f>VLOOKUP(H68,'NO TOCAR'!$A$2:$D$162,2,FALSE)</f>
        <v>Relaciones sociales</v>
      </c>
      <c r="J68" s="33" t="str">
        <f>VLOOKUP(H68,'NO TOCAR'!$A$2:$D$162,4,FALSE)</f>
        <v>RS</v>
      </c>
      <c r="L68" s="44"/>
      <c r="M68" s="18"/>
      <c r="N68" s="20"/>
      <c r="O68" s="20"/>
      <c r="P68" s="20"/>
      <c r="Q68" s="20"/>
    </row>
    <row r="69" spans="1:17" s="19" customFormat="1" ht="14.5" customHeight="1" x14ac:dyDescent="0.35">
      <c r="A69" s="19" t="s">
        <v>348</v>
      </c>
      <c r="B69" s="19" t="s">
        <v>350</v>
      </c>
      <c r="D69" s="10">
        <v>44058</v>
      </c>
      <c r="E69" s="10">
        <v>44058</v>
      </c>
      <c r="F69" s="10">
        <v>44126</v>
      </c>
      <c r="G69" s="33" t="str">
        <f>VLOOKUP(H69,'NO TOCAR'!$A$2:$D$162,3,FALSE)</f>
        <v>Ocupación máxima personas por mesa  en general</v>
      </c>
      <c r="H69" s="21" t="s">
        <v>33</v>
      </c>
      <c r="I69" s="33" t="str">
        <f>VLOOKUP(H69,'NO TOCAR'!$A$2:$D$162,2,FALSE)</f>
        <v>Restauración, hostelería y bares</v>
      </c>
      <c r="J69" s="33" t="str">
        <f>VLOOKUP(H69,'NO TOCAR'!$A$2:$D$162,4,FALSE)</f>
        <v>RH</v>
      </c>
      <c r="K69" s="19" t="s">
        <v>352</v>
      </c>
      <c r="L69" s="19">
        <v>10</v>
      </c>
      <c r="M69" s="18"/>
      <c r="N69" s="20"/>
      <c r="O69" s="20"/>
      <c r="P69" s="20"/>
      <c r="Q69" s="20"/>
    </row>
    <row r="70" spans="1:17" s="19" customFormat="1" ht="14.5" customHeight="1" x14ac:dyDescent="0.35">
      <c r="A70" s="19" t="s">
        <v>348</v>
      </c>
      <c r="B70" s="19" t="s">
        <v>350</v>
      </c>
      <c r="D70" s="10">
        <v>44058</v>
      </c>
      <c r="E70" s="10">
        <v>44058</v>
      </c>
      <c r="F70" s="10">
        <v>44105</v>
      </c>
      <c r="G70" s="33" t="str">
        <f>VLOOKUP(H70,'NO TOCAR'!$A$2:$D$162,3,FALSE)</f>
        <v>Limitación de visitas</v>
      </c>
      <c r="H70" s="21" t="s">
        <v>202</v>
      </c>
      <c r="I70" s="33" t="str">
        <f>VLOOKUP(H70,'NO TOCAR'!$A$2:$D$162,2,FALSE)</f>
        <v>Centros sociosanitarios</v>
      </c>
      <c r="J70" s="33" t="str">
        <f>VLOOKUP(H70,'NO TOCAR'!$A$2:$D$162,4,FALSE)</f>
        <v>CS</v>
      </c>
      <c r="K70" s="19" t="s">
        <v>352</v>
      </c>
      <c r="L70" s="19">
        <v>1</v>
      </c>
      <c r="M70" s="18"/>
      <c r="N70" s="20"/>
      <c r="O70" s="20"/>
      <c r="P70" s="20"/>
      <c r="Q70" s="20"/>
    </row>
    <row r="71" spans="1:17" s="19" customFormat="1" ht="14.5" customHeight="1" x14ac:dyDescent="0.35">
      <c r="A71" s="19" t="s">
        <v>348</v>
      </c>
      <c r="B71" s="19" t="s">
        <v>350</v>
      </c>
      <c r="D71" s="10">
        <v>44058</v>
      </c>
      <c r="E71" s="10">
        <v>44058</v>
      </c>
      <c r="F71" s="22">
        <v>44217</v>
      </c>
      <c r="G71" s="33" t="str">
        <f>VLOOKUP(H71,'NO TOCAR'!$A$2:$D$162,3,FALSE)</f>
        <v xml:space="preserve">Limitación de salidas de residentes </v>
      </c>
      <c r="H71" s="21" t="s">
        <v>200</v>
      </c>
      <c r="I71" s="33" t="str">
        <f>VLOOKUP(H71,'NO TOCAR'!$A$2:$D$162,2,FALSE)</f>
        <v>Centros sociosanitarios</v>
      </c>
      <c r="J71" s="33" t="str">
        <f>VLOOKUP(H71,'NO TOCAR'!$A$2:$D$162,4,FALSE)</f>
        <v>CS</v>
      </c>
      <c r="M71" s="18"/>
      <c r="N71" s="20"/>
      <c r="O71" s="20"/>
      <c r="P71" s="20"/>
      <c r="Q71" s="20"/>
    </row>
    <row r="72" spans="1:17" s="19" customFormat="1" ht="14.5" customHeight="1" x14ac:dyDescent="0.35">
      <c r="A72" s="19" t="s">
        <v>348</v>
      </c>
      <c r="B72" s="19" t="s">
        <v>350</v>
      </c>
      <c r="D72" s="10">
        <v>44058</v>
      </c>
      <c r="E72" s="22">
        <v>44058</v>
      </c>
      <c r="F72" s="22">
        <v>44201</v>
      </c>
      <c r="G72" s="33" t="str">
        <f>VLOOKUP(H72,'NO TOCAR'!$A$2:$D$162,3,FALSE)</f>
        <v>Limitación de horario en restaurantes y bares</v>
      </c>
      <c r="H72" s="21" t="s">
        <v>282</v>
      </c>
      <c r="I72" s="33" t="str">
        <f>VLOOKUP(H72,'NO TOCAR'!$A$2:$D$162,2,FALSE)</f>
        <v>Restauración, hostelería y bares</v>
      </c>
      <c r="J72" s="33" t="str">
        <f>VLOOKUP(H72,'NO TOCAR'!$A$2:$D$162,4,FALSE)</f>
        <v>RH</v>
      </c>
      <c r="K72" s="19" t="s">
        <v>355</v>
      </c>
      <c r="L72" s="44">
        <v>4.1666666666666664E-2</v>
      </c>
      <c r="M72" s="18"/>
      <c r="N72" s="20"/>
      <c r="O72" s="20"/>
      <c r="P72" s="20"/>
      <c r="Q72" s="20"/>
    </row>
    <row r="73" spans="1:17" s="19" customFormat="1" ht="14.5" customHeight="1" x14ac:dyDescent="0.35">
      <c r="A73" s="19" t="s">
        <v>348</v>
      </c>
      <c r="B73" s="19" t="s">
        <v>350</v>
      </c>
      <c r="D73" s="10">
        <v>44058</v>
      </c>
      <c r="E73" s="10">
        <v>44058</v>
      </c>
      <c r="F73" s="22">
        <v>44217</v>
      </c>
      <c r="G73" s="33" t="str">
        <f>VLOOKUP(H73,'NO TOCAR'!$A$2:$D$162,3,FALSE)</f>
        <v>Limitación al número de personas en reuniones solo en lugares públicos (tanto interiores como exteriores)</v>
      </c>
      <c r="H73" s="21" t="s">
        <v>298</v>
      </c>
      <c r="I73" s="33" t="str">
        <f>VLOOKUP(H73,'NO TOCAR'!$A$2:$D$162,2,FALSE)</f>
        <v>Relaciones sociales</v>
      </c>
      <c r="J73" s="33" t="str">
        <f>VLOOKUP(H73,'NO TOCAR'!$A$2:$D$162,4,FALSE)</f>
        <v>RS</v>
      </c>
      <c r="K73" s="19" t="s">
        <v>352</v>
      </c>
      <c r="L73" s="19">
        <v>10</v>
      </c>
      <c r="M73" s="18"/>
      <c r="N73" s="20"/>
      <c r="O73" s="20"/>
      <c r="P73" s="20"/>
      <c r="Q73" s="20"/>
    </row>
    <row r="74" spans="1:17" s="19" customFormat="1" ht="14.5" customHeight="1" x14ac:dyDescent="0.35">
      <c r="A74" s="19" t="s">
        <v>348</v>
      </c>
      <c r="B74" s="19" t="s">
        <v>350</v>
      </c>
      <c r="D74" s="10">
        <v>44058</v>
      </c>
      <c r="E74" s="10">
        <v>44058</v>
      </c>
      <c r="F74" s="20"/>
      <c r="G74" s="33" t="str">
        <f>VLOOKUP(H74,'NO TOCAR'!$A$2:$D$162,3,FALSE)</f>
        <v>Cribados perioódicos de trabajadores</v>
      </c>
      <c r="H74" s="21" t="s">
        <v>214</v>
      </c>
      <c r="I74" s="33" t="str">
        <f>VLOOKUP(H74,'NO TOCAR'!$A$2:$D$162,2,FALSE)</f>
        <v>Centros sociosanitarios</v>
      </c>
      <c r="J74" s="33" t="str">
        <f>VLOOKUP(H74,'NO TOCAR'!$A$2:$D$162,4,FALSE)</f>
        <v>CS</v>
      </c>
      <c r="M74" s="18"/>
      <c r="N74" s="20"/>
      <c r="O74" s="20"/>
      <c r="P74" s="20"/>
      <c r="Q74" s="20"/>
    </row>
    <row r="75" spans="1:17" s="19" customFormat="1" ht="14.5" customHeight="1" x14ac:dyDescent="0.35">
      <c r="A75" s="19" t="s">
        <v>348</v>
      </c>
      <c r="B75" s="19" t="s">
        <v>350</v>
      </c>
      <c r="D75" s="10">
        <v>44058</v>
      </c>
      <c r="E75" s="10">
        <v>44058</v>
      </c>
      <c r="F75" s="20"/>
      <c r="G75" s="33" t="str">
        <f>VLOOKUP(H75,'NO TOCAR'!$A$2:$D$162,3,FALSE)</f>
        <v>Cribado de trabajadores nuevos o a la vuelta de permisos o vacaciones</v>
      </c>
      <c r="H75" s="21" t="s">
        <v>210</v>
      </c>
      <c r="I75" s="33" t="str">
        <f>VLOOKUP(H75,'NO TOCAR'!$A$2:$D$162,2,FALSE)</f>
        <v>Centros sociosanitarios</v>
      </c>
      <c r="J75" s="33" t="str">
        <f>VLOOKUP(H75,'NO TOCAR'!$A$2:$D$162,4,FALSE)</f>
        <v>CS</v>
      </c>
      <c r="M75" s="18"/>
      <c r="N75" s="20"/>
      <c r="O75" s="20"/>
      <c r="P75" s="20"/>
      <c r="Q75" s="20"/>
    </row>
    <row r="76" spans="1:17" s="19" customFormat="1" ht="14.5" customHeight="1" x14ac:dyDescent="0.35">
      <c r="A76" s="19" t="s">
        <v>348</v>
      </c>
      <c r="B76" s="19" t="s">
        <v>350</v>
      </c>
      <c r="D76" s="10">
        <v>44058</v>
      </c>
      <c r="E76" s="10">
        <v>44058</v>
      </c>
      <c r="F76" s="20"/>
      <c r="G76" s="33" t="str">
        <f>VLOOKUP(H76,'NO TOCAR'!$A$2:$D$162,3,FALSE)</f>
        <v>Cribado de nuevos ingresos de residentes</v>
      </c>
      <c r="H76" s="21" t="s">
        <v>208</v>
      </c>
      <c r="I76" s="33" t="str">
        <f>VLOOKUP(H76,'NO TOCAR'!$A$2:$D$162,2,FALSE)</f>
        <v>Centros sociosanitarios</v>
      </c>
      <c r="J76" s="33" t="str">
        <f>VLOOKUP(H76,'NO TOCAR'!$A$2:$D$162,4,FALSE)</f>
        <v>CS</v>
      </c>
      <c r="M76" s="18"/>
      <c r="N76" s="20"/>
      <c r="O76" s="20"/>
      <c r="P76" s="20"/>
      <c r="Q76" s="20"/>
    </row>
    <row r="77" spans="1:17" s="19" customFormat="1" ht="14.5" customHeight="1" x14ac:dyDescent="0.35">
      <c r="A77" s="19" t="s">
        <v>348</v>
      </c>
      <c r="B77" s="19" t="s">
        <v>350</v>
      </c>
      <c r="D77" s="10">
        <v>44058</v>
      </c>
      <c r="E77" s="10">
        <v>44058</v>
      </c>
      <c r="F77" s="20"/>
      <c r="G77" s="33" t="str">
        <f>VLOOKUP(H77,'NO TOCAR'!$A$2:$D$162,3,FALSE)</f>
        <v>Cierre total del ocio nocturno</v>
      </c>
      <c r="H77" s="21" t="s">
        <v>253</v>
      </c>
      <c r="I77" s="33" t="str">
        <f>VLOOKUP(H77,'NO TOCAR'!$A$2:$D$162,2,FALSE)</f>
        <v>Ocio nocturno</v>
      </c>
      <c r="J77" s="33" t="str">
        <f>VLOOKUP(H77,'NO TOCAR'!$A$2:$D$162,4,FALSE)</f>
        <v>ON</v>
      </c>
      <c r="L77" s="44"/>
      <c r="M77" s="18"/>
      <c r="N77" s="20"/>
      <c r="O77" s="20"/>
      <c r="P77" s="20"/>
      <c r="Q77" s="20"/>
    </row>
    <row r="78" spans="1:17" s="19" customFormat="1" ht="14.5" customHeight="1" x14ac:dyDescent="0.35">
      <c r="A78" s="19" t="s">
        <v>348</v>
      </c>
      <c r="B78" s="19" t="s">
        <v>350</v>
      </c>
      <c r="D78" s="10">
        <v>44026</v>
      </c>
      <c r="E78" s="10">
        <v>44026</v>
      </c>
      <c r="F78" s="20"/>
      <c r="G78" s="33" t="str">
        <f>VLOOKUP(H78,'NO TOCAR'!$A$2:$D$162,3,FALSE)</f>
        <v>Mascarilla obligatoria incluso con distancia física  (con excepciones)</v>
      </c>
      <c r="H78" s="21" t="s">
        <v>20</v>
      </c>
      <c r="I78" s="33" t="str">
        <f>VLOOKUP(H78,'NO TOCAR'!$A$2:$D$162,2,FALSE)</f>
        <v>Medidas de higiene</v>
      </c>
      <c r="J78" s="33" t="str">
        <f>VLOOKUP(H78,'NO TOCAR'!$A$2:$D$162,4,FALSE)</f>
        <v>MH</v>
      </c>
      <c r="M78" s="18"/>
      <c r="N78" s="20"/>
      <c r="O78" s="20"/>
      <c r="P78" s="20"/>
      <c r="Q78" s="20"/>
    </row>
    <row r="79" spans="1:17" s="19" customFormat="1" ht="14.5" customHeight="1" x14ac:dyDescent="0.35">
      <c r="A79" s="19" t="s">
        <v>348</v>
      </c>
      <c r="B79" s="19" t="s">
        <v>350</v>
      </c>
      <c r="D79" s="10">
        <v>44002</v>
      </c>
      <c r="E79" s="10">
        <v>44003</v>
      </c>
      <c r="F79" s="20"/>
      <c r="G79" s="33" t="e">
        <f>VLOOKUP(H79,'NO TOCAR'!$A$2:$D$162,3,FALSE)</f>
        <v>#N/A</v>
      </c>
      <c r="H79" s="21" t="s">
        <v>19</v>
      </c>
      <c r="I79" s="33" t="e">
        <f>VLOOKUP(H79,'NO TOCAR'!$A$2:$D$162,2,FALSE)</f>
        <v>#N/A</v>
      </c>
      <c r="J79" s="33" t="e">
        <f>VLOOKUP(H79,'NO TOCAR'!$A$2:$D$162,4,FALSE)</f>
        <v>#N/A</v>
      </c>
      <c r="M79" s="18"/>
      <c r="N79" s="20"/>
      <c r="O79" s="20"/>
      <c r="P79" s="20"/>
      <c r="Q79" s="20"/>
    </row>
    <row r="80" spans="1:17" s="19" customFormat="1" ht="14.5" customHeight="1" x14ac:dyDescent="0.35">
      <c r="A80" s="19" t="s">
        <v>348</v>
      </c>
      <c r="B80" s="19" t="s">
        <v>350</v>
      </c>
      <c r="D80" s="10">
        <v>44002</v>
      </c>
      <c r="E80" s="10">
        <v>44003</v>
      </c>
      <c r="F80" s="22">
        <v>44217</v>
      </c>
      <c r="G80" s="33" t="str">
        <f>VLOOKUP(H80,'NO TOCAR'!$A$2:$D$162,3,FALSE)</f>
        <v>Prohibición de pistas de baile (permite uso para estar sentados en mesas)</v>
      </c>
      <c r="H80" s="21" t="s">
        <v>37</v>
      </c>
      <c r="I80" s="33" t="str">
        <f>VLOOKUP(H80,'NO TOCAR'!$A$2:$D$162,2,FALSE)</f>
        <v>Ocio nocturno</v>
      </c>
      <c r="J80" s="33" t="str">
        <f>VLOOKUP(H80,'NO TOCAR'!$A$2:$D$162,4,FALSE)</f>
        <v>ON</v>
      </c>
      <c r="M80" s="18"/>
      <c r="N80" s="20"/>
      <c r="O80" s="20"/>
      <c r="P80" s="20"/>
      <c r="Q80" s="20"/>
    </row>
    <row r="81" spans="1:17" s="19" customFormat="1" ht="14.5" customHeight="1" x14ac:dyDescent="0.35">
      <c r="A81" s="19" t="s">
        <v>348</v>
      </c>
      <c r="B81" s="19" t="s">
        <v>350</v>
      </c>
      <c r="D81" s="10">
        <v>44002</v>
      </c>
      <c r="E81" s="10">
        <v>44003</v>
      </c>
      <c r="F81" s="10">
        <v>44026</v>
      </c>
      <c r="G81" s="33" t="str">
        <f>VLOOKUP(H81,'NO TOCAR'!$A$2:$D$162,3,FALSE)</f>
        <v>Mascarilla obligatoria cuando no se cumpla la distancia física</v>
      </c>
      <c r="H81" s="21" t="s">
        <v>234</v>
      </c>
      <c r="I81" s="33" t="str">
        <f>VLOOKUP(H81,'NO TOCAR'!$A$2:$D$162,2,FALSE)</f>
        <v>Medidas de higiene</v>
      </c>
      <c r="J81" s="33" t="str">
        <f>VLOOKUP(H81,'NO TOCAR'!$A$2:$D$162,4,FALSE)</f>
        <v>MH</v>
      </c>
      <c r="M81" s="18"/>
      <c r="N81" s="20"/>
      <c r="O81" s="20"/>
      <c r="P81" s="20"/>
      <c r="Q81" s="20"/>
    </row>
    <row r="82" spans="1:17" s="19" customFormat="1" ht="14.5" customHeight="1" x14ac:dyDescent="0.35">
      <c r="A82" s="19" t="s">
        <v>348</v>
      </c>
      <c r="B82" s="19" t="s">
        <v>350</v>
      </c>
      <c r="D82" s="10">
        <v>44002</v>
      </c>
      <c r="E82" s="10">
        <v>44003</v>
      </c>
      <c r="F82" s="22">
        <v>44076</v>
      </c>
      <c r="G82" s="33" t="str">
        <f>VLOOKUP(H82,'NO TOCAR'!$A$2:$D$162,3,FALSE)</f>
        <v>Limitaciones a la actividad fisica grupal en exteriores</v>
      </c>
      <c r="H82" s="21" t="s">
        <v>47</v>
      </c>
      <c r="I82" s="33" t="str">
        <f>VLOOKUP(H82,'NO TOCAR'!$A$2:$D$162,2,FALSE)</f>
        <v>Deporte y actividad física</v>
      </c>
      <c r="J82" s="33" t="str">
        <f>VLOOKUP(H82,'NO TOCAR'!$A$2:$D$162,4,FALSE)</f>
        <v>AF</v>
      </c>
      <c r="K82" s="19" t="s">
        <v>352</v>
      </c>
      <c r="L82" s="19">
        <v>30</v>
      </c>
      <c r="M82" s="18"/>
      <c r="N82" s="20"/>
      <c r="O82" s="20"/>
      <c r="P82" s="20"/>
      <c r="Q82" s="20"/>
    </row>
    <row r="83" spans="1:17" s="19" customFormat="1" ht="14.5" customHeight="1" x14ac:dyDescent="0.35">
      <c r="A83" s="19" t="s">
        <v>348</v>
      </c>
      <c r="B83" s="19" t="s">
        <v>350</v>
      </c>
      <c r="D83" s="10">
        <v>44002</v>
      </c>
      <c r="E83" s="10">
        <v>44003</v>
      </c>
      <c r="F83" s="22">
        <v>44076</v>
      </c>
      <c r="G83" s="33" t="str">
        <f>VLOOKUP(H83,'NO TOCAR'!$A$2:$D$162,3,FALSE)</f>
        <v>Limitación de aforo piscinas deportivas</v>
      </c>
      <c r="H83" s="21" t="s">
        <v>82</v>
      </c>
      <c r="I83" s="33" t="str">
        <f>VLOOKUP(H83,'NO TOCAR'!$A$2:$D$162,2,FALSE)</f>
        <v>Deporte y actividad física</v>
      </c>
      <c r="J83" s="33" t="str">
        <f>VLOOKUP(H83,'NO TOCAR'!$A$2:$D$162,4,FALSE)</f>
        <v>AF</v>
      </c>
      <c r="K83" s="19" t="s">
        <v>349</v>
      </c>
      <c r="L83" s="19">
        <v>75</v>
      </c>
      <c r="M83" s="18"/>
      <c r="N83" s="20"/>
      <c r="O83" s="20"/>
      <c r="P83" s="20"/>
      <c r="Q83" s="20"/>
    </row>
    <row r="84" spans="1:17" s="19" customFormat="1" ht="14.5" customHeight="1" x14ac:dyDescent="0.35">
      <c r="A84" s="19" t="s">
        <v>348</v>
      </c>
      <c r="B84" s="19" t="s">
        <v>350</v>
      </c>
      <c r="D84" s="10">
        <v>44002</v>
      </c>
      <c r="E84" s="10">
        <v>44003</v>
      </c>
      <c r="F84" s="22">
        <v>44076</v>
      </c>
      <c r="G84" s="33" t="str">
        <f>VLOOKUP(H84,'NO TOCAR'!$A$2:$D$162,3,FALSE)</f>
        <v xml:space="preserve">Limitación de aforo piscinas de recreo </v>
      </c>
      <c r="H84" s="21" t="s">
        <v>52</v>
      </c>
      <c r="I84" s="33" t="str">
        <f>VLOOKUP(H84,'NO TOCAR'!$A$2:$D$162,2,FALSE)</f>
        <v>Deporte y actividad física</v>
      </c>
      <c r="J84" s="33" t="str">
        <f>VLOOKUP(H84,'NO TOCAR'!$A$2:$D$162,4,FALSE)</f>
        <v>AF</v>
      </c>
      <c r="K84" s="19" t="s">
        <v>349</v>
      </c>
      <c r="L84" s="19">
        <v>75</v>
      </c>
      <c r="M84" s="18"/>
      <c r="N84" s="20"/>
      <c r="O84" s="20"/>
      <c r="P84" s="20"/>
      <c r="Q84" s="20"/>
    </row>
    <row r="85" spans="1:17" s="19" customFormat="1" ht="14.5" customHeight="1" x14ac:dyDescent="0.35">
      <c r="A85" s="19" t="s">
        <v>348</v>
      </c>
      <c r="B85" s="19" t="s">
        <v>350</v>
      </c>
      <c r="D85" s="10">
        <v>44002</v>
      </c>
      <c r="E85" s="10">
        <v>44003</v>
      </c>
      <c r="F85" s="10">
        <v>44258</v>
      </c>
      <c r="G85" s="33" t="str">
        <f>VLOOKUP(H85,'NO TOCAR'!$A$2:$D$162,3,FALSE)</f>
        <v>Limitacion de aforo en transporte público</v>
      </c>
      <c r="H85" s="21" t="s">
        <v>316</v>
      </c>
      <c r="I85" s="33" t="str">
        <f>VLOOKUP(H85,'NO TOCAR'!$A$2:$D$162,2,FALSE)</f>
        <v>Transporte público</v>
      </c>
      <c r="J85" s="33" t="str">
        <f>VLOOKUP(H85,'NO TOCAR'!$A$2:$D$162,4,FALSE)</f>
        <v>TP</v>
      </c>
      <c r="K85" s="19" t="s">
        <v>351</v>
      </c>
      <c r="L85" s="19">
        <v>0.5</v>
      </c>
      <c r="M85" s="18"/>
      <c r="N85" s="20"/>
      <c r="O85" s="20"/>
      <c r="P85" s="20"/>
      <c r="Q85" s="20"/>
    </row>
    <row r="86" spans="1:17" s="19" customFormat="1" ht="14.5" customHeight="1" x14ac:dyDescent="0.35">
      <c r="A86" s="19" t="s">
        <v>348</v>
      </c>
      <c r="B86" s="19" t="s">
        <v>350</v>
      </c>
      <c r="D86" s="10">
        <v>44002</v>
      </c>
      <c r="E86" s="10">
        <v>44003</v>
      </c>
      <c r="F86" s="22">
        <v>44076</v>
      </c>
      <c r="G86" s="33" t="str">
        <f>VLOOKUP(H86,'NO TOCAR'!$A$2:$D$162,3,FALSE)</f>
        <v>Limitación de AFORO en parques y jardines</v>
      </c>
      <c r="H86" s="21" t="s">
        <v>353</v>
      </c>
      <c r="I86" s="33" t="str">
        <f>VLOOKUP(H86,'NO TOCAR'!$A$2:$D$162,2,FALSE)</f>
        <v>Parques</v>
      </c>
      <c r="J86" s="33" t="str">
        <f>VLOOKUP(H86,'NO TOCAR'!$A$2:$D$162,4,FALSE)</f>
        <v>PA</v>
      </c>
      <c r="K86" s="19" t="s">
        <v>349</v>
      </c>
      <c r="L86" s="19">
        <v>75</v>
      </c>
      <c r="M86" s="18"/>
      <c r="N86" s="20"/>
      <c r="O86" s="20"/>
      <c r="P86" s="20"/>
      <c r="Q86" s="20"/>
    </row>
    <row r="87" spans="1:17" s="19" customFormat="1" ht="14.5" customHeight="1" x14ac:dyDescent="0.35">
      <c r="A87" s="19" t="s">
        <v>348</v>
      </c>
      <c r="B87" s="19" t="s">
        <v>350</v>
      </c>
      <c r="D87" s="10">
        <v>44002</v>
      </c>
      <c r="E87" s="10">
        <v>44003</v>
      </c>
      <c r="F87" s="22">
        <v>44076</v>
      </c>
      <c r="G87" s="33" t="str">
        <f>VLOOKUP(H87,'NO TOCAR'!$A$2:$D$162,3,FALSE)</f>
        <v>Limitación de aforo en cines, teatros, auditorios, circos de carpa y espacios similares, así como locales y establecimientos destinados a actos y espectáculos culturales en interior</v>
      </c>
      <c r="H87" s="21" t="s">
        <v>44</v>
      </c>
      <c r="I87" s="33" t="str">
        <f>VLOOKUP(H87,'NO TOCAR'!$A$2:$D$162,2,FALSE)</f>
        <v>Cultura y eventos (exc. deportivos)</v>
      </c>
      <c r="J87" s="33" t="str">
        <f>VLOOKUP(H87,'NO TOCAR'!$A$2:$D$162,4,FALSE)</f>
        <v>CD</v>
      </c>
      <c r="K87" s="19" t="s">
        <v>351</v>
      </c>
      <c r="L87" s="19">
        <v>1.5</v>
      </c>
      <c r="M87" s="18"/>
      <c r="N87" s="20"/>
      <c r="O87" s="20"/>
      <c r="P87" s="20"/>
      <c r="Q87" s="20"/>
    </row>
    <row r="88" spans="1:17" s="19" customFormat="1" ht="14.5" customHeight="1" x14ac:dyDescent="0.35">
      <c r="A88" s="19" t="s">
        <v>348</v>
      </c>
      <c r="B88" s="19" t="s">
        <v>350</v>
      </c>
      <c r="D88" s="10">
        <v>44002</v>
      </c>
      <c r="E88" s="10">
        <v>44003</v>
      </c>
      <c r="F88" s="22">
        <v>44076</v>
      </c>
      <c r="G88" s="33" t="str">
        <f>VLOOKUP(H88,'NO TOCAR'!$A$2:$D$162,3,FALSE)</f>
        <v>Limitación de aforo en bilbiotecas, museos y monumentos en general</v>
      </c>
      <c r="H88" s="21" t="s">
        <v>43</v>
      </c>
      <c r="I88" s="33" t="str">
        <f>VLOOKUP(H88,'NO TOCAR'!$A$2:$D$162,2,FALSE)</f>
        <v>Cultura y eventos (exc. deportivos)</v>
      </c>
      <c r="J88" s="33" t="str">
        <f>VLOOKUP(H88,'NO TOCAR'!$A$2:$D$162,4,FALSE)</f>
        <v>CD</v>
      </c>
      <c r="K88" s="19" t="s">
        <v>349</v>
      </c>
      <c r="L88" s="19">
        <v>75</v>
      </c>
      <c r="M88" s="18"/>
      <c r="N88" s="20"/>
      <c r="O88" s="20"/>
      <c r="P88" s="20"/>
      <c r="Q88" s="20"/>
    </row>
    <row r="89" spans="1:17" s="19" customFormat="1" ht="14.5" customHeight="1" x14ac:dyDescent="0.35">
      <c r="A89" s="19" t="s">
        <v>348</v>
      </c>
      <c r="B89" s="19" t="s">
        <v>350</v>
      </c>
      <c r="D89" s="10">
        <v>44002</v>
      </c>
      <c r="E89" s="10">
        <v>44003</v>
      </c>
      <c r="F89" s="22">
        <v>44076</v>
      </c>
      <c r="G89" s="33" t="str">
        <f>VLOOKUP(H89,'NO TOCAR'!$A$2:$D$162,3,FALSE)</f>
        <v>Limitación de aforo en actos y espectáculos culturales en exteriores</v>
      </c>
      <c r="H89" s="21" t="s">
        <v>140</v>
      </c>
      <c r="I89" s="33" t="str">
        <f>VLOOKUP(H89,'NO TOCAR'!$A$2:$D$162,2,FALSE)</f>
        <v>Cultura y eventos (exc. deportivos)</v>
      </c>
      <c r="J89" s="33" t="str">
        <f>VLOOKUP(H89,'NO TOCAR'!$A$2:$D$162,4,FALSE)</f>
        <v>CD</v>
      </c>
      <c r="K89" s="19" t="s">
        <v>352</v>
      </c>
      <c r="L89" s="19">
        <v>1000</v>
      </c>
      <c r="M89" s="18"/>
      <c r="N89" s="20"/>
      <c r="O89" s="20"/>
      <c r="P89" s="20"/>
      <c r="Q89" s="20"/>
    </row>
    <row r="90" spans="1:17" s="19" customFormat="1" ht="14.5" customHeight="1" x14ac:dyDescent="0.35">
      <c r="A90" s="19" t="s">
        <v>348</v>
      </c>
      <c r="B90" s="19" t="s">
        <v>350</v>
      </c>
      <c r="D90" s="10">
        <v>44002</v>
      </c>
      <c r="E90" s="10">
        <v>44003</v>
      </c>
      <c r="F90" s="22">
        <v>44076</v>
      </c>
      <c r="G90" s="33" t="str">
        <f>VLOOKUP(H90,'NO TOCAR'!$A$2:$D$162,3,FALSE)</f>
        <v>Limitación de aforo en actos y espectáculos culturales en exteriores</v>
      </c>
      <c r="H90" s="21" t="s">
        <v>140</v>
      </c>
      <c r="I90" s="33" t="str">
        <f>VLOOKUP(H90,'NO TOCAR'!$A$2:$D$162,2,FALSE)</f>
        <v>Cultura y eventos (exc. deportivos)</v>
      </c>
      <c r="J90" s="33" t="str">
        <f>VLOOKUP(H90,'NO TOCAR'!$A$2:$D$162,4,FALSE)</f>
        <v>CD</v>
      </c>
      <c r="K90" s="19" t="s">
        <v>349</v>
      </c>
      <c r="L90" s="19">
        <v>75</v>
      </c>
      <c r="M90" s="18"/>
      <c r="N90" s="20"/>
      <c r="O90" s="20"/>
      <c r="P90" s="20"/>
      <c r="Q90" s="20"/>
    </row>
    <row r="91" spans="1:17" s="19" customFormat="1" ht="14.5" customHeight="1" x14ac:dyDescent="0.35">
      <c r="A91" s="19" t="s">
        <v>348</v>
      </c>
      <c r="B91" s="19" t="s">
        <v>350</v>
      </c>
      <c r="D91" s="10">
        <v>44002</v>
      </c>
      <c r="E91" s="10">
        <v>44003</v>
      </c>
      <c r="F91" s="22">
        <v>44076</v>
      </c>
      <c r="G91" s="33" t="str">
        <f>VLOOKUP(H91,'NO TOCAR'!$A$2:$D$162,3,FALSE)</f>
        <v>aseos, vestuarios, probadores, salas de lactancia o similares</v>
      </c>
      <c r="H91" s="21" t="s">
        <v>21</v>
      </c>
      <c r="I91" s="33" t="str">
        <f>VLOOKUP(H91,'NO TOCAR'!$A$2:$D$162,2,FALSE)</f>
        <v>General</v>
      </c>
      <c r="J91" s="33" t="str">
        <f>VLOOKUP(H91,'NO TOCAR'!$A$2:$D$162,4,FALSE)</f>
        <v>GE</v>
      </c>
      <c r="K91" s="19" t="s">
        <v>351</v>
      </c>
      <c r="L91" s="19">
        <v>1.5</v>
      </c>
      <c r="M91" s="18"/>
      <c r="N91" s="20"/>
      <c r="O91" s="20"/>
      <c r="P91" s="20"/>
      <c r="Q91" s="20"/>
    </row>
    <row r="92" spans="1:17" s="19" customFormat="1" ht="14.5" customHeight="1" x14ac:dyDescent="0.35">
      <c r="A92" s="19" t="s">
        <v>348</v>
      </c>
      <c r="B92" s="19" t="s">
        <v>350</v>
      </c>
      <c r="D92" s="10">
        <v>44002</v>
      </c>
      <c r="E92" s="10">
        <v>44003</v>
      </c>
      <c r="F92" s="22">
        <v>44076</v>
      </c>
      <c r="G92" s="33" t="str">
        <f>VLOOKUP(H92,'NO TOCAR'!$A$2:$D$162,3,FALSE)</f>
        <v>aseos, vestuarios, probadores, salas de lactancia o similares</v>
      </c>
      <c r="H92" s="21" t="s">
        <v>21</v>
      </c>
      <c r="I92" s="33" t="str">
        <f>VLOOKUP(H92,'NO TOCAR'!$A$2:$D$162,2,FALSE)</f>
        <v>General</v>
      </c>
      <c r="J92" s="33" t="str">
        <f>VLOOKUP(H92,'NO TOCAR'!$A$2:$D$162,4,FALSE)</f>
        <v>GE</v>
      </c>
      <c r="K92" s="19" t="s">
        <v>349</v>
      </c>
      <c r="L92" s="19">
        <v>75</v>
      </c>
      <c r="M92" s="18"/>
      <c r="N92" s="20"/>
      <c r="O92" s="20"/>
      <c r="P92" s="20"/>
      <c r="Q92" s="20"/>
    </row>
    <row r="93" spans="1:17" s="19" customFormat="1" ht="14.5" customHeight="1" x14ac:dyDescent="0.35">
      <c r="A93" s="19" t="s">
        <v>348</v>
      </c>
      <c r="B93" s="19" t="s">
        <v>350</v>
      </c>
      <c r="D93" s="10">
        <v>44002</v>
      </c>
      <c r="E93" s="10">
        <v>44003</v>
      </c>
      <c r="F93" s="20"/>
      <c r="G93" s="33" t="str">
        <f>VLOOKUP(H93,'NO TOCAR'!$A$2:$D$162,3,FALSE)</f>
        <v>aseos, vestuarios, probadores, salas de lactancia o similares</v>
      </c>
      <c r="H93" s="21" t="s">
        <v>21</v>
      </c>
      <c r="I93" s="33" t="str">
        <f>VLOOKUP(H93,'NO TOCAR'!$A$2:$D$162,2,FALSE)</f>
        <v>General</v>
      </c>
      <c r="J93" s="33" t="str">
        <f>VLOOKUP(H93,'NO TOCAR'!$A$2:$D$162,4,FALSE)</f>
        <v>GE</v>
      </c>
      <c r="K93" s="19" t="s">
        <v>351</v>
      </c>
      <c r="L93" s="19">
        <v>4</v>
      </c>
      <c r="M93" s="18"/>
      <c r="N93" s="20"/>
      <c r="O93" s="20"/>
      <c r="P93" s="20"/>
      <c r="Q93" s="20"/>
    </row>
    <row r="94" spans="1:17" s="19" customFormat="1" ht="14.5" customHeight="1" x14ac:dyDescent="0.35">
      <c r="A94" s="19" t="s">
        <v>348</v>
      </c>
      <c r="B94" s="19" t="s">
        <v>350</v>
      </c>
      <c r="D94" s="10">
        <v>44002</v>
      </c>
      <c r="E94" s="10">
        <v>44003</v>
      </c>
      <c r="F94" s="22">
        <v>44076</v>
      </c>
      <c r="G94" s="33" t="str">
        <f>VLOOKUP(H94,'NO TOCAR'!$A$2:$D$162,3,FALSE)</f>
        <v>Aforo velatorios, entierros y ceremonias fúnebres en espacios interiores</v>
      </c>
      <c r="H94" s="21" t="s">
        <v>25</v>
      </c>
      <c r="I94" s="33" t="str">
        <f>VLOOKUP(H94,'NO TOCAR'!$A$2:$D$162,2,FALSE)</f>
        <v>Ceremonias religiosas</v>
      </c>
      <c r="J94" s="33" t="str">
        <f>VLOOKUP(H94,'NO TOCAR'!$A$2:$D$162,4,FALSE)</f>
        <v>CE</v>
      </c>
      <c r="K94" s="19" t="s">
        <v>349</v>
      </c>
      <c r="L94" s="19">
        <v>75</v>
      </c>
      <c r="M94" s="18"/>
      <c r="N94" s="20"/>
      <c r="O94" s="20"/>
      <c r="P94" s="20"/>
      <c r="Q94" s="20"/>
    </row>
    <row r="95" spans="1:17" s="19" customFormat="1" ht="14.5" customHeight="1" x14ac:dyDescent="0.35">
      <c r="A95" s="19" t="s">
        <v>348</v>
      </c>
      <c r="B95" s="19" t="s">
        <v>350</v>
      </c>
      <c r="D95" s="10">
        <v>44002</v>
      </c>
      <c r="E95" s="10">
        <v>44003</v>
      </c>
      <c r="F95" s="10">
        <v>44126</v>
      </c>
      <c r="G95" s="33" t="str">
        <f>VLOOKUP(H95,'NO TOCAR'!$A$2:$D$162,3,FALSE)</f>
        <v>Aforo en zona interiores</v>
      </c>
      <c r="H95" s="21" t="s">
        <v>286</v>
      </c>
      <c r="I95" s="33" t="str">
        <f>VLOOKUP(H95,'NO TOCAR'!$A$2:$D$162,2,FALSE)</f>
        <v>Restauración, hostelería y bares</v>
      </c>
      <c r="J95" s="33" t="str">
        <f>VLOOKUP(H95,'NO TOCAR'!$A$2:$D$162,4,FALSE)</f>
        <v>RH</v>
      </c>
      <c r="K95" s="19" t="s">
        <v>351</v>
      </c>
      <c r="L95" s="19">
        <v>1.5</v>
      </c>
      <c r="M95" s="18"/>
      <c r="N95" s="20"/>
      <c r="O95" s="20"/>
      <c r="P95" s="20"/>
      <c r="Q95" s="20"/>
    </row>
    <row r="96" spans="1:17" s="19" customFormat="1" ht="14.5" customHeight="1" x14ac:dyDescent="0.35">
      <c r="A96" s="19" t="s">
        <v>348</v>
      </c>
      <c r="B96" s="19" t="s">
        <v>350</v>
      </c>
      <c r="D96" s="10">
        <v>44002</v>
      </c>
      <c r="E96" s="10">
        <v>44003</v>
      </c>
      <c r="F96" s="22">
        <v>44076</v>
      </c>
      <c r="G96" s="33" t="str">
        <f>VLOOKUP(H96,'NO TOCAR'!$A$2:$D$162,3,FALSE)</f>
        <v>Aforo en velatorios, entierros y ceremonias fúnebres en espacios exteriores</v>
      </c>
      <c r="H96" s="21" t="s">
        <v>26</v>
      </c>
      <c r="I96" s="33" t="str">
        <f>VLOOKUP(H96,'NO TOCAR'!$A$2:$D$162,2,FALSE)</f>
        <v>Ceremonias religiosas</v>
      </c>
      <c r="J96" s="33" t="str">
        <f>VLOOKUP(H96,'NO TOCAR'!$A$2:$D$162,4,FALSE)</f>
        <v>CE</v>
      </c>
      <c r="K96" s="19" t="s">
        <v>352</v>
      </c>
      <c r="L96" s="19">
        <v>75</v>
      </c>
      <c r="M96" s="18"/>
      <c r="N96" s="20"/>
      <c r="O96" s="20"/>
      <c r="P96" s="20"/>
      <c r="Q96" s="20"/>
    </row>
    <row r="97" spans="1:17" s="19" customFormat="1" ht="14.5" customHeight="1" x14ac:dyDescent="0.35">
      <c r="A97" s="19" t="s">
        <v>348</v>
      </c>
      <c r="B97" s="19" t="s">
        <v>350</v>
      </c>
      <c r="D97" s="10">
        <v>44002</v>
      </c>
      <c r="E97" s="10">
        <v>44003</v>
      </c>
      <c r="F97" s="10">
        <v>44126</v>
      </c>
      <c r="G97" s="33" t="str">
        <f>VLOOKUP(H97,'NO TOCAR'!$A$2:$D$162,3,FALSE)</f>
        <v>Aforo en terrazas al aire libre</v>
      </c>
      <c r="H97" s="21" t="s">
        <v>284</v>
      </c>
      <c r="I97" s="33" t="str">
        <f>VLOOKUP(H97,'NO TOCAR'!$A$2:$D$162,2,FALSE)</f>
        <v>Restauración, hostelería y bares</v>
      </c>
      <c r="J97" s="33" t="str">
        <f>VLOOKUP(H97,'NO TOCAR'!$A$2:$D$162,4,FALSE)</f>
        <v>RH</v>
      </c>
      <c r="K97" s="19" t="s">
        <v>351</v>
      </c>
      <c r="L97" s="19">
        <v>1.5</v>
      </c>
      <c r="M97" s="18"/>
      <c r="N97" s="20"/>
      <c r="O97" s="20"/>
      <c r="P97" s="20"/>
      <c r="Q97" s="20"/>
    </row>
    <row r="98" spans="1:17" s="19" customFormat="1" ht="14.5" customHeight="1" x14ac:dyDescent="0.35">
      <c r="A98" s="19" t="s">
        <v>348</v>
      </c>
      <c r="B98" s="19" t="s">
        <v>350</v>
      </c>
      <c r="D98" s="10">
        <v>44002</v>
      </c>
      <c r="E98" s="10">
        <v>44003</v>
      </c>
      <c r="F98" s="22">
        <v>44076</v>
      </c>
      <c r="G98" s="33" t="str">
        <f>VLOOKUP(H98,'NO TOCAR'!$A$2:$D$162,3,FALSE)</f>
        <v>Aforo en lugares de culto</v>
      </c>
      <c r="H98" s="21" t="s">
        <v>27</v>
      </c>
      <c r="I98" s="33" t="str">
        <f>VLOOKUP(H98,'NO TOCAR'!$A$2:$D$162,2,FALSE)</f>
        <v>Ceremonias religiosas</v>
      </c>
      <c r="J98" s="33" t="str">
        <f>VLOOKUP(H98,'NO TOCAR'!$A$2:$D$162,4,FALSE)</f>
        <v>CE</v>
      </c>
      <c r="K98" s="19" t="s">
        <v>349</v>
      </c>
      <c r="L98" s="19">
        <v>75</v>
      </c>
      <c r="M98" s="18"/>
      <c r="N98" s="20"/>
      <c r="O98" s="20"/>
      <c r="P98" s="20"/>
      <c r="Q98" s="48"/>
    </row>
    <row r="99" spans="1:17" s="19" customFormat="1" ht="14.5" customHeight="1" x14ac:dyDescent="0.35">
      <c r="A99" s="19" t="s">
        <v>348</v>
      </c>
      <c r="B99" s="19" t="s">
        <v>350</v>
      </c>
      <c r="D99" s="10">
        <v>44002</v>
      </c>
      <c r="E99" s="10">
        <v>44003</v>
      </c>
      <c r="F99" s="22">
        <v>44217</v>
      </c>
      <c r="G99" s="33" t="str">
        <f>VLOOKUP(H99,'NO TOCAR'!$A$2:$D$162,3,FALSE)</f>
        <v>Aforo en locales de ocio nocturno en general</v>
      </c>
      <c r="H99" s="21" t="s">
        <v>18</v>
      </c>
      <c r="I99" s="33" t="str">
        <f>VLOOKUP(H99,'NO TOCAR'!$A$2:$D$162,2,FALSE)</f>
        <v>Ocio nocturno</v>
      </c>
      <c r="J99" s="33" t="str">
        <f>VLOOKUP(H99,'NO TOCAR'!$A$2:$D$162,4,FALSE)</f>
        <v>ON</v>
      </c>
      <c r="K99" s="19" t="s">
        <v>349</v>
      </c>
      <c r="L99" s="19">
        <v>75</v>
      </c>
      <c r="M99" s="18"/>
      <c r="N99" s="20"/>
      <c r="O99" s="20"/>
      <c r="P99" s="20"/>
      <c r="Q99" s="20"/>
    </row>
    <row r="100" spans="1:17" s="19" customFormat="1" ht="14.5" customHeight="1" x14ac:dyDescent="0.35">
      <c r="A100" s="19" t="s">
        <v>348</v>
      </c>
      <c r="B100" s="19" t="s">
        <v>350</v>
      </c>
      <c r="D100" s="10">
        <v>44002</v>
      </c>
      <c r="E100" s="10">
        <v>44003</v>
      </c>
      <c r="F100" s="22">
        <v>44217</v>
      </c>
      <c r="G100" s="33" t="str">
        <f>VLOOKUP(H100,'NO TOCAR'!$A$2:$D$162,3,FALSE)</f>
        <v>Aforo en locales de ocio nocturno en general</v>
      </c>
      <c r="H100" s="21" t="s">
        <v>18</v>
      </c>
      <c r="I100" s="33" t="str">
        <f>VLOOKUP(H100,'NO TOCAR'!$A$2:$D$162,2,FALSE)</f>
        <v>Ocio nocturno</v>
      </c>
      <c r="J100" s="33" t="str">
        <f>VLOOKUP(H100,'NO TOCAR'!$A$2:$D$162,4,FALSE)</f>
        <v>ON</v>
      </c>
      <c r="K100" s="19" t="s">
        <v>351</v>
      </c>
      <c r="L100" s="19">
        <v>1.5</v>
      </c>
      <c r="M100" s="18"/>
      <c r="N100" s="20"/>
      <c r="O100" s="20"/>
      <c r="P100" s="20"/>
      <c r="Q100" s="20"/>
    </row>
    <row r="101" spans="1:17" s="19" customFormat="1" x14ac:dyDescent="0.35">
      <c r="A101" s="19" t="s">
        <v>348</v>
      </c>
      <c r="B101" s="19" t="s">
        <v>350</v>
      </c>
      <c r="D101" s="10">
        <v>44002</v>
      </c>
      <c r="E101" s="10">
        <v>44003</v>
      </c>
      <c r="F101" s="20">
        <v>1</v>
      </c>
      <c r="G101" s="33" t="str">
        <f>VLOOKUP(H101,'NO TOCAR'!$A$2:$D$162,3,FALSE)</f>
        <v>Aforo en locales de apuestas, bingos etc.</v>
      </c>
      <c r="H101" s="21" t="s">
        <v>57</v>
      </c>
      <c r="I101" s="33" t="str">
        <f>VLOOKUP(H101,'NO TOCAR'!$A$2:$D$162,2,FALSE)</f>
        <v>Locales de apuestas</v>
      </c>
      <c r="J101" s="33" t="str">
        <f>VLOOKUP(H101,'NO TOCAR'!$A$2:$D$162,4,FALSE)</f>
        <v>LA</v>
      </c>
      <c r="K101" s="19" t="s">
        <v>349</v>
      </c>
      <c r="L101" s="19">
        <v>75</v>
      </c>
      <c r="M101" s="18"/>
      <c r="N101" s="20"/>
      <c r="O101" s="20"/>
      <c r="P101" s="20"/>
      <c r="Q101" s="20"/>
    </row>
    <row r="102" spans="1:17" s="19" customFormat="1" ht="14.5" customHeight="1" x14ac:dyDescent="0.35">
      <c r="A102" s="19" t="s">
        <v>348</v>
      </c>
      <c r="B102" s="19" t="s">
        <v>350</v>
      </c>
      <c r="D102" s="10">
        <v>44002</v>
      </c>
      <c r="E102" s="10">
        <v>44003</v>
      </c>
      <c r="F102" s="22">
        <v>44217</v>
      </c>
      <c r="G102" s="33" t="str">
        <f>VLOOKUP(H102,'NO TOCAR'!$A$2:$D$162,3,FALSE)</f>
        <v>Aforo en festejos taurinos</v>
      </c>
      <c r="H102" s="21" t="s">
        <v>56</v>
      </c>
      <c r="I102" s="33" t="str">
        <f>VLOOKUP(H102,'NO TOCAR'!$A$2:$D$162,2,FALSE)</f>
        <v>Cultura y eventos (exc. deportivos)</v>
      </c>
      <c r="J102" s="33" t="str">
        <f>VLOOKUP(H102,'NO TOCAR'!$A$2:$D$162,4,FALSE)</f>
        <v>CD</v>
      </c>
      <c r="K102" s="19" t="s">
        <v>351</v>
      </c>
      <c r="L102" s="19">
        <v>1.5</v>
      </c>
      <c r="M102" s="18"/>
      <c r="N102" s="20"/>
      <c r="O102" s="20"/>
      <c r="P102" s="20"/>
      <c r="Q102" s="20"/>
    </row>
    <row r="103" spans="1:17" s="19" customFormat="1" ht="14.5" customHeight="1" x14ac:dyDescent="0.35">
      <c r="A103" s="19" t="s">
        <v>348</v>
      </c>
      <c r="B103" s="19" t="s">
        <v>350</v>
      </c>
      <c r="D103" s="10">
        <v>44002</v>
      </c>
      <c r="E103" s="10">
        <v>44003</v>
      </c>
      <c r="F103" s="22">
        <v>44217</v>
      </c>
      <c r="G103" s="33" t="str">
        <f>VLOOKUP(H103,'NO TOCAR'!$A$2:$D$162,3,FALSE)</f>
        <v>Aforo en festejos taurinos</v>
      </c>
      <c r="H103" s="21" t="s">
        <v>56</v>
      </c>
      <c r="I103" s="33" t="str">
        <f>VLOOKUP(H103,'NO TOCAR'!$A$2:$D$162,2,FALSE)</f>
        <v>Cultura y eventos (exc. deportivos)</v>
      </c>
      <c r="J103" s="33" t="str">
        <f>VLOOKUP(H103,'NO TOCAR'!$A$2:$D$162,4,FALSE)</f>
        <v>CD</v>
      </c>
      <c r="K103" s="19" t="s">
        <v>352</v>
      </c>
      <c r="L103" s="19">
        <v>1000</v>
      </c>
      <c r="M103" s="18"/>
      <c r="N103" s="20"/>
      <c r="O103" s="20"/>
      <c r="P103" s="20"/>
      <c r="Q103" s="20"/>
    </row>
    <row r="104" spans="1:17" s="19" customFormat="1" ht="14.5" customHeight="1" x14ac:dyDescent="0.35">
      <c r="A104" s="19" t="s">
        <v>348</v>
      </c>
      <c r="B104" s="19" t="s">
        <v>350</v>
      </c>
      <c r="D104" s="10">
        <v>44002</v>
      </c>
      <c r="E104" s="10">
        <v>44003</v>
      </c>
      <c r="F104" s="22">
        <v>44076</v>
      </c>
      <c r="G104" s="33" t="str">
        <f>VLOOKUP(H104,'NO TOCAR'!$A$2:$D$162,3,FALSE)</f>
        <v>Aforo en festejos taurinos</v>
      </c>
      <c r="H104" s="21" t="s">
        <v>56</v>
      </c>
      <c r="I104" s="33" t="str">
        <f>VLOOKUP(H104,'NO TOCAR'!$A$2:$D$162,2,FALSE)</f>
        <v>Cultura y eventos (exc. deportivos)</v>
      </c>
      <c r="J104" s="33" t="str">
        <f>VLOOKUP(H104,'NO TOCAR'!$A$2:$D$162,4,FALSE)</f>
        <v>CD</v>
      </c>
      <c r="K104" s="19" t="s">
        <v>349</v>
      </c>
      <c r="L104" s="19">
        <v>75</v>
      </c>
      <c r="M104" s="18"/>
      <c r="N104" s="20"/>
      <c r="O104" s="20"/>
      <c r="P104" s="20"/>
      <c r="Q104" s="20"/>
    </row>
    <row r="105" spans="1:17" s="19" customFormat="1" ht="14.5" customHeight="1" x14ac:dyDescent="0.35">
      <c r="A105" s="19" t="s">
        <v>348</v>
      </c>
      <c r="B105" s="19" t="s">
        <v>350</v>
      </c>
      <c r="D105" s="10">
        <v>44002</v>
      </c>
      <c r="E105" s="10">
        <v>44003</v>
      </c>
      <c r="F105" s="22">
        <v>44248</v>
      </c>
      <c r="G105" s="33" t="str">
        <f>VLOOKUP(H105,'NO TOCAR'!$A$2:$D$162,3,FALSE)</f>
        <v>Aforo en espacios comunes de alojamientos como albergues</v>
      </c>
      <c r="H105" s="21" t="s">
        <v>41</v>
      </c>
      <c r="I105" s="33" t="str">
        <f>VLOOKUP(H105,'NO TOCAR'!$A$2:$D$162,2,FALSE)</f>
        <v>Alojamientos (hoteles, albergues)</v>
      </c>
      <c r="J105" s="33" t="str">
        <f>VLOOKUP(H105,'NO TOCAR'!$A$2:$D$162,4,FALSE)</f>
        <v>AL</v>
      </c>
      <c r="K105" s="19" t="s">
        <v>349</v>
      </c>
      <c r="L105" s="19">
        <v>75</v>
      </c>
      <c r="M105" s="18"/>
      <c r="N105" s="20"/>
      <c r="O105" s="20"/>
      <c r="P105" s="20"/>
      <c r="Q105" s="20"/>
    </row>
    <row r="106" spans="1:17" s="19" customFormat="1" ht="14.5" customHeight="1" x14ac:dyDescent="0.35">
      <c r="A106" s="19" t="s">
        <v>348</v>
      </c>
      <c r="B106" s="19" t="s">
        <v>350</v>
      </c>
      <c r="D106" s="10">
        <v>44002</v>
      </c>
      <c r="E106" s="10">
        <v>44003</v>
      </c>
      <c r="F106" s="10">
        <v>44126</v>
      </c>
      <c r="G106" s="33" t="str">
        <f>VLOOKUP(H106,'NO TOCAR'!$A$2:$D$162,3,FALSE)</f>
        <v>Aforo en barra</v>
      </c>
      <c r="H106" s="21" t="s">
        <v>288</v>
      </c>
      <c r="I106" s="33" t="str">
        <f>VLOOKUP(H106,'NO TOCAR'!$A$2:$D$162,2,FALSE)</f>
        <v>Restauración, hostelería y bares</v>
      </c>
      <c r="J106" s="33" t="str">
        <f>VLOOKUP(H106,'NO TOCAR'!$A$2:$D$162,4,FALSE)</f>
        <v>RH</v>
      </c>
      <c r="K106" s="19" t="s">
        <v>351</v>
      </c>
      <c r="L106" s="19">
        <v>1.5</v>
      </c>
      <c r="M106" s="18"/>
      <c r="N106" s="20"/>
      <c r="O106" s="20"/>
      <c r="P106" s="20"/>
      <c r="Q106" s="20"/>
    </row>
    <row r="107" spans="1:17" s="19" customFormat="1" ht="14.5" customHeight="1" x14ac:dyDescent="0.35">
      <c r="A107" s="19" t="s">
        <v>348</v>
      </c>
      <c r="B107" s="19" t="s">
        <v>350</v>
      </c>
      <c r="D107" s="10">
        <v>44002</v>
      </c>
      <c r="E107" s="10">
        <v>44003</v>
      </c>
      <c r="F107" s="22">
        <v>44202</v>
      </c>
      <c r="G107" s="33" t="str">
        <f>VLOOKUP(H107,'NO TOCAR'!$A$2:$D$162,3,FALSE)</f>
        <v>Aforo de mercadillos  y/o mercados al aire libre</v>
      </c>
      <c r="H107" s="21" t="s">
        <v>31</v>
      </c>
      <c r="I107" s="33" t="str">
        <f>VLOOKUP(H107,'NO TOCAR'!$A$2:$D$162,2,FALSE)</f>
        <v>Comercio</v>
      </c>
      <c r="J107" s="33" t="str">
        <f>VLOOKUP(H107,'NO TOCAR'!$A$2:$D$162,4,FALSE)</f>
        <v>CO</v>
      </c>
      <c r="K107" s="19" t="s">
        <v>349</v>
      </c>
      <c r="L107" s="19">
        <v>75</v>
      </c>
      <c r="M107" s="18"/>
      <c r="N107" s="20"/>
      <c r="O107" s="20"/>
      <c r="P107" s="20"/>
      <c r="Q107" s="20"/>
    </row>
    <row r="108" spans="1:17" s="19" customFormat="1" ht="14.5" customHeight="1" x14ac:dyDescent="0.35">
      <c r="A108" s="19" t="s">
        <v>348</v>
      </c>
      <c r="B108" s="19" t="s">
        <v>350</v>
      </c>
      <c r="D108" s="10">
        <v>44002</v>
      </c>
      <c r="E108" s="10">
        <v>44003</v>
      </c>
      <c r="F108" s="10">
        <v>44126</v>
      </c>
      <c r="G108" s="33" t="str">
        <f>VLOOKUP(H108,'NO TOCAR'!$A$2:$D$162,3,FALSE)</f>
        <v>Aforo de locales comerciales en general</v>
      </c>
      <c r="H108" s="21" t="s">
        <v>30</v>
      </c>
      <c r="I108" s="33" t="str">
        <f>VLOOKUP(H108,'NO TOCAR'!$A$2:$D$162,2,FALSE)</f>
        <v>Comercio</v>
      </c>
      <c r="J108" s="33" t="str">
        <f>VLOOKUP(H108,'NO TOCAR'!$A$2:$D$162,4,FALSE)</f>
        <v>CO</v>
      </c>
      <c r="K108" s="19" t="s">
        <v>351</v>
      </c>
      <c r="L108" s="19">
        <v>1.5</v>
      </c>
      <c r="M108" s="18"/>
      <c r="N108" s="20"/>
      <c r="O108" s="20"/>
      <c r="P108" s="20"/>
      <c r="Q108" s="20"/>
    </row>
    <row r="109" spans="1:17" s="19" customFormat="1" ht="14.5" customHeight="1" x14ac:dyDescent="0.35">
      <c r="A109" s="19" t="s">
        <v>348</v>
      </c>
      <c r="B109" s="19" t="s">
        <v>350</v>
      </c>
      <c r="D109" s="10">
        <v>44002</v>
      </c>
      <c r="E109" s="10">
        <v>44003</v>
      </c>
      <c r="F109" s="22">
        <v>44076</v>
      </c>
      <c r="G109" s="33" t="str">
        <f>VLOOKUP(H109,'NO TOCAR'!$A$2:$D$162,3,FALSE)</f>
        <v>Aforo de asistencia de público en eventos deportivos en interiores</v>
      </c>
      <c r="H109" s="21" t="s">
        <v>50</v>
      </c>
      <c r="I109" s="33" t="str">
        <f>VLOOKUP(H109,'NO TOCAR'!$A$2:$D$162,2,FALSE)</f>
        <v>Deporte y actividad física</v>
      </c>
      <c r="J109" s="33" t="str">
        <f>VLOOKUP(H109,'NO TOCAR'!$A$2:$D$162,4,FALSE)</f>
        <v>AF</v>
      </c>
      <c r="K109" s="19" t="s">
        <v>351</v>
      </c>
      <c r="L109" s="19">
        <v>1.5</v>
      </c>
      <c r="M109" s="18"/>
      <c r="N109" s="20"/>
      <c r="O109" s="20"/>
      <c r="P109" s="20"/>
      <c r="Q109" s="20"/>
    </row>
    <row r="110" spans="1:17" s="19" customFormat="1" ht="14.5" customHeight="1" x14ac:dyDescent="0.35">
      <c r="A110" s="19" t="s">
        <v>348</v>
      </c>
      <c r="B110" s="19" t="s">
        <v>350</v>
      </c>
      <c r="D110" s="10">
        <v>44002</v>
      </c>
      <c r="E110" s="10">
        <v>44003</v>
      </c>
      <c r="F110" s="22">
        <v>44076</v>
      </c>
      <c r="G110" s="33" t="str">
        <f>VLOOKUP(H110,'NO TOCAR'!$A$2:$D$162,3,FALSE)</f>
        <v>Aforo de asistencia de público en eventos deportivos en interiores</v>
      </c>
      <c r="H110" s="21" t="s">
        <v>50</v>
      </c>
      <c r="I110" s="33" t="str">
        <f>VLOOKUP(H110,'NO TOCAR'!$A$2:$D$162,2,FALSE)</f>
        <v>Deporte y actividad física</v>
      </c>
      <c r="J110" s="33" t="str">
        <f>VLOOKUP(H110,'NO TOCAR'!$A$2:$D$162,4,FALSE)</f>
        <v>AF</v>
      </c>
      <c r="K110" s="19" t="s">
        <v>352</v>
      </c>
      <c r="L110" s="19">
        <v>1000</v>
      </c>
      <c r="M110" s="18"/>
      <c r="N110" s="20"/>
      <c r="O110" s="20"/>
      <c r="P110" s="20"/>
      <c r="Q110" s="20"/>
    </row>
    <row r="111" spans="1:17" s="19" customFormat="1" ht="14.5" customHeight="1" x14ac:dyDescent="0.35">
      <c r="A111" s="19" t="s">
        <v>348</v>
      </c>
      <c r="B111" s="19" t="s">
        <v>350</v>
      </c>
      <c r="D111" s="10">
        <v>44002</v>
      </c>
      <c r="E111" s="10">
        <v>44003</v>
      </c>
      <c r="F111" s="22">
        <v>44076</v>
      </c>
      <c r="G111" s="33" t="str">
        <f>VLOOKUP(H111,'NO TOCAR'!$A$2:$D$162,3,FALSE)</f>
        <v>Aforo de asistencia de público en eventos deportivos en interiores</v>
      </c>
      <c r="H111" s="21" t="s">
        <v>50</v>
      </c>
      <c r="I111" s="33" t="str">
        <f>VLOOKUP(H111,'NO TOCAR'!$A$2:$D$162,2,FALSE)</f>
        <v>Deporte y actividad física</v>
      </c>
      <c r="J111" s="33" t="str">
        <f>VLOOKUP(H111,'NO TOCAR'!$A$2:$D$162,4,FALSE)</f>
        <v>AF</v>
      </c>
      <c r="K111" s="19" t="s">
        <v>349</v>
      </c>
      <c r="L111" s="19">
        <v>75</v>
      </c>
      <c r="M111" s="18"/>
      <c r="N111" s="20"/>
      <c r="O111" s="20"/>
      <c r="P111" s="20"/>
      <c r="Q111" s="20"/>
    </row>
    <row r="112" spans="1:17" s="19" customFormat="1" ht="14.5" customHeight="1" x14ac:dyDescent="0.35">
      <c r="A112" s="19" t="s">
        <v>348</v>
      </c>
      <c r="B112" s="19" t="s">
        <v>350</v>
      </c>
      <c r="D112" s="10">
        <v>44002</v>
      </c>
      <c r="E112" s="10">
        <v>44003</v>
      </c>
      <c r="F112" s="22">
        <v>44076</v>
      </c>
      <c r="G112" s="33" t="str">
        <f>VLOOKUP(H112,'NO TOCAR'!$A$2:$D$162,3,FALSE)</f>
        <v>Aforo de asistencia de público en eventos deportivos en exteriores</v>
      </c>
      <c r="H112" s="21" t="s">
        <v>49</v>
      </c>
      <c r="I112" s="33" t="str">
        <f>VLOOKUP(H112,'NO TOCAR'!$A$2:$D$162,2,FALSE)</f>
        <v>Deporte y actividad física</v>
      </c>
      <c r="J112" s="33" t="str">
        <f>VLOOKUP(H112,'NO TOCAR'!$A$2:$D$162,4,FALSE)</f>
        <v>AF</v>
      </c>
      <c r="K112" s="19" t="s">
        <v>351</v>
      </c>
      <c r="L112" s="19">
        <v>1.5</v>
      </c>
      <c r="M112" s="18"/>
      <c r="N112" s="20"/>
      <c r="O112" s="20"/>
      <c r="P112" s="20"/>
      <c r="Q112" s="20"/>
    </row>
    <row r="113" spans="1:17" s="33" customFormat="1" ht="14.5" customHeight="1" x14ac:dyDescent="0.35">
      <c r="A113" s="19" t="s">
        <v>348</v>
      </c>
      <c r="B113" s="19" t="s">
        <v>350</v>
      </c>
      <c r="C113" s="19"/>
      <c r="D113" s="10">
        <v>44002</v>
      </c>
      <c r="E113" s="10">
        <v>44003</v>
      </c>
      <c r="F113" s="22">
        <v>44076</v>
      </c>
      <c r="G113" s="33" t="str">
        <f>VLOOKUP(H113,'NO TOCAR'!$A$2:$D$162,3,FALSE)</f>
        <v>Aforo de asistencia de público en eventos deportivos en exteriores</v>
      </c>
      <c r="H113" s="21" t="s">
        <v>49</v>
      </c>
      <c r="I113" s="33" t="str">
        <f>VLOOKUP(H113,'NO TOCAR'!$A$2:$D$162,2,FALSE)</f>
        <v>Deporte y actividad física</v>
      </c>
      <c r="J113" s="33" t="str">
        <f>VLOOKUP(H113,'NO TOCAR'!$A$2:$D$162,4,FALSE)</f>
        <v>AF</v>
      </c>
      <c r="K113" s="19" t="s">
        <v>352</v>
      </c>
      <c r="L113" s="19">
        <v>1000</v>
      </c>
      <c r="M113" s="18"/>
      <c r="N113" s="20"/>
      <c r="O113" s="20"/>
      <c r="P113" s="20"/>
      <c r="Q113" s="20"/>
    </row>
    <row r="114" spans="1:17" s="33" customFormat="1" ht="14.5" customHeight="1" x14ac:dyDescent="0.35">
      <c r="A114" s="19" t="s">
        <v>348</v>
      </c>
      <c r="B114" s="19" t="s">
        <v>350</v>
      </c>
      <c r="C114" s="19"/>
      <c r="D114" s="10">
        <v>44002</v>
      </c>
      <c r="E114" s="10">
        <v>44003</v>
      </c>
      <c r="F114" s="22">
        <v>44076</v>
      </c>
      <c r="G114" s="33" t="str">
        <f>VLOOKUP(H114,'NO TOCAR'!$A$2:$D$162,3,FALSE)</f>
        <v>Aforo de asistencia de público en eventos deportivos en exteriores</v>
      </c>
      <c r="H114" s="21" t="s">
        <v>49</v>
      </c>
      <c r="I114" s="33" t="str">
        <f>VLOOKUP(H114,'NO TOCAR'!$A$2:$D$162,2,FALSE)</f>
        <v>Deporte y actividad física</v>
      </c>
      <c r="J114" s="33" t="str">
        <f>VLOOKUP(H114,'NO TOCAR'!$A$2:$D$162,4,FALSE)</f>
        <v>AF</v>
      </c>
      <c r="K114" s="19" t="s">
        <v>349</v>
      </c>
      <c r="L114" s="19">
        <v>75</v>
      </c>
      <c r="M114" s="18"/>
      <c r="N114" s="20"/>
      <c r="O114" s="20"/>
      <c r="P114" s="20"/>
      <c r="Q114" s="20"/>
    </row>
    <row r="115" spans="1:17" s="33" customFormat="1" ht="14.5" customHeight="1" x14ac:dyDescent="0.35">
      <c r="A115" s="19" t="s">
        <v>348</v>
      </c>
      <c r="B115" s="19" t="s">
        <v>350</v>
      </c>
      <c r="C115" s="19"/>
      <c r="D115" s="10">
        <v>43990</v>
      </c>
      <c r="E115" s="22">
        <v>43990</v>
      </c>
      <c r="F115" s="22">
        <v>44217</v>
      </c>
      <c r="G115" s="33" t="str">
        <f>VLOOKUP(H115,'NO TOCAR'!$A$2:$D$162,3,FALSE)</f>
        <v>Aforo en zona interiores</v>
      </c>
      <c r="H115" s="21" t="s">
        <v>286</v>
      </c>
      <c r="I115" s="33" t="str">
        <f>VLOOKUP(H115,'NO TOCAR'!$A$2:$D$162,2,FALSE)</f>
        <v>Restauración, hostelería y bares</v>
      </c>
      <c r="J115" s="33" t="str">
        <f>VLOOKUP(H115,'NO TOCAR'!$A$2:$D$162,4,FALSE)</f>
        <v>RH</v>
      </c>
      <c r="K115" s="19" t="s">
        <v>349</v>
      </c>
      <c r="L115" s="19">
        <v>66</v>
      </c>
      <c r="M115" s="18"/>
      <c r="N115" s="20"/>
      <c r="O115" s="20"/>
      <c r="P115" s="20"/>
      <c r="Q115" s="20"/>
    </row>
    <row r="116" spans="1:17" s="33" customFormat="1" ht="14.5" customHeight="1" x14ac:dyDescent="0.35">
      <c r="A116" s="62" t="s">
        <v>348</v>
      </c>
      <c r="B116" s="62" t="s">
        <v>350</v>
      </c>
      <c r="C116" s="63"/>
      <c r="D116" s="64">
        <v>44181</v>
      </c>
      <c r="E116" s="64">
        <v>43832</v>
      </c>
      <c r="F116" s="64">
        <v>44203</v>
      </c>
      <c r="G116" s="65" t="str">
        <f>VLOOKUP(H116,'NO TOCAR'!$A$2:$D$162,3,FALSE)</f>
        <v>Cierre perimetral de entrada y/o salida</v>
      </c>
      <c r="H116" s="66" t="s">
        <v>245</v>
      </c>
      <c r="I116" s="62" t="str">
        <f>VLOOKUP(H116,'NO TOCAR'!$A$2:$D$162,2,FALSE)</f>
        <v>Movilidad</v>
      </c>
      <c r="J116" s="62" t="str">
        <f>VLOOKUP(H116,'NO TOCAR'!$A$2:$D$162,4,FALSE)</f>
        <v>MV</v>
      </c>
      <c r="K116" s="63"/>
      <c r="L116" s="63"/>
      <c r="M116" s="67"/>
      <c r="N116" s="68"/>
      <c r="O116" s="69"/>
      <c r="P116" s="68"/>
      <c r="Q116" s="68"/>
    </row>
    <row r="117" spans="1:17" s="19" customFormat="1" ht="14.5" customHeight="1" x14ac:dyDescent="0.35">
      <c r="A117" s="19" t="s">
        <v>348</v>
      </c>
      <c r="B117" s="19" t="s">
        <v>350</v>
      </c>
      <c r="D117" s="10">
        <v>44202</v>
      </c>
      <c r="E117" s="22">
        <v>44202</v>
      </c>
      <c r="F117" s="22">
        <v>44217</v>
      </c>
      <c r="G117" s="33" t="str">
        <f>VLOOKUP(H117,'NO TOCAR'!$A$2:$D$162,3,FALSE)</f>
        <v>Aforo de mercadillos  y/o mercados al aire libre</v>
      </c>
      <c r="H117" s="21" t="s">
        <v>31</v>
      </c>
      <c r="I117" s="33" t="str">
        <f>VLOOKUP(H117,'NO TOCAR'!$A$2:$D$162,2,FALSE)</f>
        <v>Comercio</v>
      </c>
      <c r="J117" s="33" t="str">
        <f>VLOOKUP(H117,'NO TOCAR'!$A$2:$D$162,4,FALSE)</f>
        <v>CO</v>
      </c>
      <c r="K117" s="19" t="s">
        <v>349</v>
      </c>
      <c r="L117" s="19">
        <v>50</v>
      </c>
      <c r="M117" s="18"/>
      <c r="N117" s="20"/>
      <c r="O117" s="20"/>
      <c r="P117" s="20"/>
      <c r="Q117" s="20"/>
    </row>
    <row r="118" spans="1:17" s="19" customFormat="1" ht="14.5" customHeight="1" x14ac:dyDescent="0.35">
      <c r="A118" s="19" t="s">
        <v>348</v>
      </c>
      <c r="B118" s="19" t="s">
        <v>350</v>
      </c>
      <c r="D118" s="10">
        <v>44202</v>
      </c>
      <c r="E118" s="22">
        <v>44203</v>
      </c>
      <c r="F118" s="22">
        <v>44217</v>
      </c>
      <c r="G118" s="33" t="str">
        <f>VLOOKUP(H118,'NO TOCAR'!$A$2:$D$162,3,FALSE)</f>
        <v>Ocupación máxima personas por mesa  en general</v>
      </c>
      <c r="H118" s="21" t="s">
        <v>33</v>
      </c>
      <c r="I118" s="33" t="str">
        <f>VLOOKUP(H118,'NO TOCAR'!$A$2:$D$162,2,FALSE)</f>
        <v>Restauración, hostelería y bares</v>
      </c>
      <c r="J118" s="33" t="str">
        <f>VLOOKUP(H118,'NO TOCAR'!$A$2:$D$162,4,FALSE)</f>
        <v>RH</v>
      </c>
      <c r="K118" s="19" t="s">
        <v>352</v>
      </c>
      <c r="L118" s="19">
        <v>4</v>
      </c>
      <c r="M118" s="18"/>
      <c r="N118" s="20"/>
      <c r="O118" s="20"/>
      <c r="P118" s="20"/>
      <c r="Q118" s="20"/>
    </row>
    <row r="119" spans="1:17" s="19" customFormat="1" ht="14.5" customHeight="1" x14ac:dyDescent="0.35">
      <c r="A119" s="19" t="s">
        <v>348</v>
      </c>
      <c r="B119" s="19" t="s">
        <v>350</v>
      </c>
      <c r="D119" s="10">
        <v>44202</v>
      </c>
      <c r="E119" s="22">
        <v>44203</v>
      </c>
      <c r="F119" s="22">
        <v>44217</v>
      </c>
      <c r="G119" s="33" t="s">
        <v>76</v>
      </c>
      <c r="H119" s="21" t="s">
        <v>48</v>
      </c>
      <c r="I119" s="33" t="s">
        <v>66</v>
      </c>
      <c r="J119" s="33" t="s">
        <v>68</v>
      </c>
      <c r="K119" s="19" t="s">
        <v>352</v>
      </c>
      <c r="L119" s="19">
        <v>6</v>
      </c>
      <c r="M119" s="18"/>
      <c r="N119" s="20"/>
      <c r="O119" s="20"/>
      <c r="P119" s="20"/>
      <c r="Q119" s="20"/>
    </row>
    <row r="120" spans="1:17" s="19" customFormat="1" ht="14.5" customHeight="1" x14ac:dyDescent="0.35">
      <c r="A120" s="19" t="s">
        <v>348</v>
      </c>
      <c r="B120" s="19" t="s">
        <v>350</v>
      </c>
      <c r="D120" s="10">
        <v>44202</v>
      </c>
      <c r="E120" s="22">
        <v>44203</v>
      </c>
      <c r="F120" s="22">
        <v>44217</v>
      </c>
      <c r="G120" s="33" t="s">
        <v>77</v>
      </c>
      <c r="H120" s="21" t="s">
        <v>51</v>
      </c>
      <c r="I120" s="33" t="s">
        <v>66</v>
      </c>
      <c r="J120" s="33" t="s">
        <v>68</v>
      </c>
      <c r="K120" s="19" t="s">
        <v>352</v>
      </c>
      <c r="L120" s="19">
        <v>6</v>
      </c>
      <c r="M120" s="18"/>
      <c r="N120" s="20"/>
      <c r="O120" s="20"/>
      <c r="P120" s="20"/>
      <c r="Q120" s="20"/>
    </row>
    <row r="121" spans="1:17" s="33" customFormat="1" ht="14.5" customHeight="1" x14ac:dyDescent="0.35">
      <c r="A121" s="33" t="s">
        <v>348</v>
      </c>
      <c r="B121" s="33" t="s">
        <v>350</v>
      </c>
      <c r="D121" s="34">
        <v>44202</v>
      </c>
      <c r="E121" s="22">
        <v>44203</v>
      </c>
      <c r="F121" s="22">
        <v>44217</v>
      </c>
      <c r="G121" s="33" t="s">
        <v>76</v>
      </c>
      <c r="H121" s="36" t="s">
        <v>48</v>
      </c>
      <c r="I121" s="33" t="s">
        <v>66</v>
      </c>
      <c r="J121" s="33" t="s">
        <v>68</v>
      </c>
      <c r="K121" s="33" t="s">
        <v>349</v>
      </c>
      <c r="L121" s="33">
        <v>30</v>
      </c>
      <c r="M121" s="37"/>
      <c r="N121" s="38"/>
      <c r="O121" s="38"/>
      <c r="P121" s="38"/>
      <c r="Q121" s="38"/>
    </row>
    <row r="122" spans="1:17" s="33" customFormat="1" ht="14.5" customHeight="1" x14ac:dyDescent="0.35">
      <c r="A122" s="33" t="s">
        <v>348</v>
      </c>
      <c r="B122" s="33" t="s">
        <v>350</v>
      </c>
      <c r="D122" s="34">
        <v>44202</v>
      </c>
      <c r="E122" s="22">
        <v>44203</v>
      </c>
      <c r="F122" s="22">
        <v>44217</v>
      </c>
      <c r="G122" s="33" t="s">
        <v>77</v>
      </c>
      <c r="H122" s="36" t="s">
        <v>51</v>
      </c>
      <c r="I122" s="33" t="s">
        <v>66</v>
      </c>
      <c r="J122" s="33" t="s">
        <v>68</v>
      </c>
      <c r="K122" s="33" t="s">
        <v>349</v>
      </c>
      <c r="L122" s="33">
        <v>30</v>
      </c>
      <c r="M122" s="37"/>
      <c r="N122" s="38"/>
      <c r="O122" s="38"/>
      <c r="P122" s="38"/>
      <c r="Q122" s="38"/>
    </row>
    <row r="123" spans="1:17" s="19" customFormat="1" ht="14.5" customHeight="1" x14ac:dyDescent="0.35">
      <c r="A123" s="19" t="s">
        <v>348</v>
      </c>
      <c r="B123" s="19" t="s">
        <v>350</v>
      </c>
      <c r="D123" s="34">
        <v>44202</v>
      </c>
      <c r="E123" s="22">
        <v>44203</v>
      </c>
      <c r="F123" s="22">
        <v>44217</v>
      </c>
      <c r="G123" s="33" t="str">
        <f>VLOOKUP(H123,'NO TOCAR'!$A$2:$D$162,3,FALSE)</f>
        <v>Limitación de aforo piscinas deportivas</v>
      </c>
      <c r="H123" s="21" t="s">
        <v>82</v>
      </c>
      <c r="I123" s="33" t="str">
        <f>VLOOKUP(H123,'NO TOCAR'!$A$2:$D$162,2,FALSE)</f>
        <v>Deporte y actividad física</v>
      </c>
      <c r="J123" s="33" t="str">
        <f>VLOOKUP(H123,'NO TOCAR'!$A$2:$D$162,4,FALSE)</f>
        <v>AF</v>
      </c>
      <c r="K123" s="19" t="s">
        <v>349</v>
      </c>
      <c r="L123" s="19">
        <v>30</v>
      </c>
      <c r="M123" s="18"/>
      <c r="N123" s="20"/>
      <c r="O123" s="20"/>
      <c r="P123" s="20"/>
      <c r="Q123" s="20"/>
    </row>
    <row r="124" spans="1:17" s="19" customFormat="1" ht="14.5" customHeight="1" x14ac:dyDescent="0.35">
      <c r="A124" s="19" t="s">
        <v>348</v>
      </c>
      <c r="B124" s="19" t="s">
        <v>350</v>
      </c>
      <c r="D124" s="34">
        <v>44202</v>
      </c>
      <c r="E124" s="22">
        <v>44203</v>
      </c>
      <c r="F124" s="22">
        <v>44217</v>
      </c>
      <c r="G124" s="33" t="str">
        <f>VLOOKUP(H124,'NO TOCAR'!$A$2:$D$162,3,FALSE)</f>
        <v xml:space="preserve">Limitación de aforo piscinas de recreo </v>
      </c>
      <c r="H124" s="21" t="s">
        <v>52</v>
      </c>
      <c r="I124" s="33" t="str">
        <f>VLOOKUP(H124,'NO TOCAR'!$A$2:$D$162,2,FALSE)</f>
        <v>Deporte y actividad física</v>
      </c>
      <c r="J124" s="33" t="str">
        <f>VLOOKUP(H124,'NO TOCAR'!$A$2:$D$162,4,FALSE)</f>
        <v>AF</v>
      </c>
      <c r="K124" s="19" t="s">
        <v>349</v>
      </c>
      <c r="L124" s="19">
        <v>30</v>
      </c>
      <c r="M124" s="18"/>
      <c r="N124" s="20"/>
      <c r="O124" s="20"/>
      <c r="P124" s="20"/>
      <c r="Q124" s="20"/>
    </row>
    <row r="125" spans="1:17" s="19" customFormat="1" ht="14.5" customHeight="1" x14ac:dyDescent="0.35">
      <c r="A125" s="19" t="s">
        <v>348</v>
      </c>
      <c r="B125" s="19" t="s">
        <v>350</v>
      </c>
      <c r="D125" s="34">
        <v>44202</v>
      </c>
      <c r="E125" s="22">
        <v>44203</v>
      </c>
      <c r="F125" s="22">
        <v>44217</v>
      </c>
      <c r="G125" s="33" t="str">
        <f>VLOOKUP(H125,'NO TOCAR'!$A$2:$D$162,3,FALSE)</f>
        <v>Limitación de aforo piscinas deportivas</v>
      </c>
      <c r="H125" s="21" t="s">
        <v>82</v>
      </c>
      <c r="I125" s="33" t="str">
        <f>VLOOKUP(H125,'NO TOCAR'!$A$2:$D$162,2,FALSE)</f>
        <v>Deporte y actividad física</v>
      </c>
      <c r="J125" s="33" t="str">
        <f>VLOOKUP(H125,'NO TOCAR'!$A$2:$D$162,4,FALSE)</f>
        <v>AF</v>
      </c>
      <c r="K125" s="19" t="s">
        <v>352</v>
      </c>
      <c r="L125" s="19">
        <v>6</v>
      </c>
      <c r="M125" s="18"/>
      <c r="N125" s="20"/>
      <c r="O125" s="20"/>
      <c r="P125" s="20"/>
      <c r="Q125" s="20"/>
    </row>
    <row r="126" spans="1:17" s="19" customFormat="1" ht="14.5" customHeight="1" x14ac:dyDescent="0.35">
      <c r="A126" s="19" t="s">
        <v>348</v>
      </c>
      <c r="B126" s="19" t="s">
        <v>350</v>
      </c>
      <c r="D126" s="34">
        <v>44202</v>
      </c>
      <c r="E126" s="22">
        <v>44203</v>
      </c>
      <c r="F126" s="22">
        <v>44217</v>
      </c>
      <c r="G126" s="33" t="str">
        <f>VLOOKUP(H126,'NO TOCAR'!$A$2:$D$162,3,FALSE)</f>
        <v xml:space="preserve">Limitación de aforo piscinas de recreo </v>
      </c>
      <c r="H126" s="21" t="s">
        <v>52</v>
      </c>
      <c r="I126" s="33" t="str">
        <f>VLOOKUP(H126,'NO TOCAR'!$A$2:$D$162,2,FALSE)</f>
        <v>Deporte y actividad física</v>
      </c>
      <c r="J126" s="33" t="str">
        <f>VLOOKUP(H126,'NO TOCAR'!$A$2:$D$162,4,FALSE)</f>
        <v>AF</v>
      </c>
      <c r="K126" s="19" t="s">
        <v>352</v>
      </c>
      <c r="L126" s="19">
        <v>6</v>
      </c>
      <c r="M126" s="18"/>
      <c r="N126" s="20"/>
      <c r="O126" s="20"/>
      <c r="P126" s="20"/>
      <c r="Q126" s="20"/>
    </row>
    <row r="127" spans="1:17" s="46" customFormat="1" ht="14.5" customHeight="1" x14ac:dyDescent="0.35">
      <c r="A127" s="46" t="s">
        <v>358</v>
      </c>
      <c r="B127" s="46" t="s">
        <v>350</v>
      </c>
      <c r="D127" s="47">
        <v>44210</v>
      </c>
      <c r="E127" s="47">
        <v>44212</v>
      </c>
      <c r="F127" s="47">
        <v>44217</v>
      </c>
      <c r="G127" s="46" t="str">
        <f>VLOOKUP(H127,'NO TOCAR'!$A$2:$D$162,3,FALSE)</f>
        <v>Cierre perimetral de entrada y/o salida</v>
      </c>
      <c r="H127" s="49" t="s">
        <v>245</v>
      </c>
      <c r="I127" s="46" t="str">
        <f>VLOOKUP(H127,'NO TOCAR'!$A$2:$D$162,2,FALSE)</f>
        <v>Movilidad</v>
      </c>
      <c r="J127" s="46" t="str">
        <f>VLOOKUP(H127,'NO TOCAR'!$A$2:$D$162,4,FALSE)</f>
        <v>MV</v>
      </c>
      <c r="M127" s="50" t="s">
        <v>370</v>
      </c>
      <c r="N127" s="48"/>
      <c r="O127" s="48" t="s">
        <v>371</v>
      </c>
      <c r="P127" s="48"/>
      <c r="Q127" s="20"/>
    </row>
    <row r="128" spans="1:17" s="19" customFormat="1" ht="14.5" customHeight="1" x14ac:dyDescent="0.35">
      <c r="A128" s="19" t="s">
        <v>348</v>
      </c>
      <c r="B128" s="19" t="s">
        <v>350</v>
      </c>
      <c r="D128" s="10">
        <v>44210</v>
      </c>
      <c r="E128" s="22">
        <v>44212</v>
      </c>
      <c r="F128" s="22">
        <v>44217</v>
      </c>
      <c r="G128" s="33" t="s">
        <v>281</v>
      </c>
      <c r="H128" s="21" t="s">
        <v>282</v>
      </c>
      <c r="I128" s="33" t="s">
        <v>272</v>
      </c>
      <c r="J128" s="33" t="s">
        <v>274</v>
      </c>
      <c r="K128" s="19" t="s">
        <v>355</v>
      </c>
      <c r="L128" s="44">
        <v>0.70833333333333337</v>
      </c>
      <c r="M128" s="18"/>
      <c r="N128" s="20"/>
      <c r="O128" s="20"/>
      <c r="P128" s="20"/>
      <c r="Q128" s="20"/>
    </row>
    <row r="129" spans="1:17" s="19" customFormat="1" ht="14.5" customHeight="1" x14ac:dyDescent="0.35">
      <c r="A129" s="19" t="s">
        <v>348</v>
      </c>
      <c r="B129" s="19" t="s">
        <v>350</v>
      </c>
      <c r="D129" s="10">
        <v>44210</v>
      </c>
      <c r="E129" s="22">
        <v>44212</v>
      </c>
      <c r="F129" s="22">
        <v>44217</v>
      </c>
      <c r="G129" s="33" t="str">
        <f>VLOOKUP(H129,'NO TOCAR'!$A$2:$D$162,3,FALSE)</f>
        <v>Limitación de horario comercio no esencial</v>
      </c>
      <c r="H129" s="21" t="s">
        <v>178</v>
      </c>
      <c r="I129" s="33" t="s">
        <v>163</v>
      </c>
      <c r="J129" s="33" t="s">
        <v>165</v>
      </c>
      <c r="K129" s="19" t="s">
        <v>355</v>
      </c>
      <c r="L129" s="44">
        <v>0.70833333333333337</v>
      </c>
      <c r="M129" s="18"/>
      <c r="N129" s="20"/>
      <c r="O129" s="20"/>
      <c r="P129" s="20"/>
      <c r="Q129" s="20"/>
    </row>
    <row r="130" spans="1:17" s="19" customFormat="1" x14ac:dyDescent="0.35">
      <c r="A130" s="19" t="s">
        <v>348</v>
      </c>
      <c r="B130" s="19" t="s">
        <v>350</v>
      </c>
      <c r="D130" s="10">
        <v>44210</v>
      </c>
      <c r="E130" s="22">
        <v>44212</v>
      </c>
      <c r="F130" s="22">
        <v>44217</v>
      </c>
      <c r="G130" s="33" t="str">
        <f>VLOOKUP(H130,'NO TOCAR'!$A$2:$D$162,3,FALSE)</f>
        <v>Limitación de horario en locles de apuestas, bingos etc.</v>
      </c>
      <c r="H130" s="21" t="s">
        <v>229</v>
      </c>
      <c r="I130" s="33" t="str">
        <f>VLOOKUP(H130,'NO TOCAR'!$A$2:$D$162,2,FALSE)</f>
        <v>Locales de apuestas</v>
      </c>
      <c r="J130" s="33" t="str">
        <f>VLOOKUP(H130,'NO TOCAR'!$A$2:$D$162,4,FALSE)</f>
        <v>LA</v>
      </c>
      <c r="K130" s="19" t="s">
        <v>355</v>
      </c>
      <c r="L130" s="44">
        <v>0.70833333333333337</v>
      </c>
      <c r="M130" s="18"/>
      <c r="N130" s="20"/>
      <c r="O130" s="20"/>
      <c r="P130" s="20"/>
      <c r="Q130" s="20"/>
    </row>
    <row r="131" spans="1:17" s="33" customFormat="1" ht="14.5" customHeight="1" x14ac:dyDescent="0.35">
      <c r="A131" s="19" t="s">
        <v>348</v>
      </c>
      <c r="B131" s="19" t="s">
        <v>350</v>
      </c>
      <c r="D131" s="10">
        <v>44210</v>
      </c>
      <c r="E131" s="22">
        <v>44212</v>
      </c>
      <c r="F131" s="35"/>
      <c r="H131" s="36"/>
      <c r="L131" s="40">
        <v>0.70833333333333337</v>
      </c>
      <c r="M131" s="37"/>
      <c r="N131" s="38"/>
      <c r="O131" s="38"/>
      <c r="P131" s="38"/>
      <c r="Q131" s="38"/>
    </row>
    <row r="132" spans="1:17" s="19" customFormat="1" x14ac:dyDescent="0.35">
      <c r="A132" s="19" t="s">
        <v>348</v>
      </c>
      <c r="B132" s="19" t="s">
        <v>350</v>
      </c>
      <c r="D132" s="10">
        <v>44210</v>
      </c>
      <c r="E132" s="22">
        <v>44212</v>
      </c>
      <c r="F132" s="22">
        <v>44217</v>
      </c>
      <c r="G132" s="33" t="str">
        <f>VLOOKUP(H132,'NO TOCAR'!$A$2:$D$162,3,FALSE)</f>
        <v>Aforo en locales de apuestas, bingos etc.</v>
      </c>
      <c r="H132" s="21" t="s">
        <v>57</v>
      </c>
      <c r="I132" s="33" t="str">
        <f>VLOOKUP(H132,'NO TOCAR'!$A$2:$D$162,2,FALSE)</f>
        <v>Locales de apuestas</v>
      </c>
      <c r="J132" s="33" t="str">
        <f>VLOOKUP(H132,'NO TOCAR'!$A$2:$D$162,4,FALSE)</f>
        <v>LA</v>
      </c>
      <c r="K132" s="19" t="s">
        <v>349</v>
      </c>
      <c r="L132" s="19">
        <v>50</v>
      </c>
      <c r="M132" s="18"/>
      <c r="N132" s="20"/>
      <c r="O132" s="20"/>
      <c r="P132" s="20"/>
      <c r="Q132" s="20"/>
    </row>
    <row r="133" spans="1:17" s="33" customFormat="1" x14ac:dyDescent="0.35">
      <c r="A133" s="33" t="s">
        <v>348</v>
      </c>
      <c r="B133" s="33" t="s">
        <v>350</v>
      </c>
      <c r="D133" s="34">
        <v>44217</v>
      </c>
      <c r="E133" s="34">
        <v>44218</v>
      </c>
      <c r="F133" s="39">
        <v>44248</v>
      </c>
      <c r="G133" s="39" t="str">
        <f>VLOOKUP(H133,'NO TOCAR'!$A$2:$D$162,3,FALSE)</f>
        <v>Restriccion de movilidad interna en el territorio (en niveles inferiores al nivel territorial al que se aplica)</v>
      </c>
      <c r="H133" s="39" t="s">
        <v>363</v>
      </c>
      <c r="I133" s="39" t="str">
        <f>VLOOKUP(H133,'NO TOCAR'!$A$2:$D$162,2,FALSE)</f>
        <v>Movilidad</v>
      </c>
      <c r="J133" s="39" t="str">
        <f>VLOOKUP(H133,'NO TOCAR'!$A$2:$D$162,4,FALSE)</f>
        <v>MV</v>
      </c>
      <c r="K133" s="39"/>
      <c r="L133" s="39"/>
      <c r="M133" s="37"/>
      <c r="N133" s="38"/>
      <c r="O133" s="38"/>
      <c r="P133" s="38"/>
      <c r="Q133" s="38"/>
    </row>
    <row r="134" spans="1:17" s="33" customFormat="1" x14ac:dyDescent="0.35">
      <c r="A134" s="19" t="s">
        <v>348</v>
      </c>
      <c r="B134" s="19" t="s">
        <v>350</v>
      </c>
      <c r="C134" s="19"/>
      <c r="D134" s="22">
        <v>44217</v>
      </c>
      <c r="E134" s="22">
        <v>44218</v>
      </c>
      <c r="F134" s="22">
        <v>44248</v>
      </c>
      <c r="G134" s="33" t="str">
        <f>VLOOKUP(H134,'NO TOCAR'!$A$2:$D$162,3,FALSE)</f>
        <v>Cierre de mercadillos y/o mercados al aire libre</v>
      </c>
      <c r="H134" s="36" t="s">
        <v>176</v>
      </c>
      <c r="I134" s="33" t="s">
        <v>163</v>
      </c>
      <c r="J134" s="33" t="s">
        <v>165</v>
      </c>
      <c r="M134" s="37"/>
      <c r="N134" s="38"/>
      <c r="O134" s="38"/>
      <c r="P134" s="38"/>
      <c r="Q134" s="38"/>
    </row>
    <row r="135" spans="1:17" s="33" customFormat="1" x14ac:dyDescent="0.35">
      <c r="A135" s="19" t="s">
        <v>348</v>
      </c>
      <c r="B135" s="19" t="s">
        <v>350</v>
      </c>
      <c r="C135" s="19"/>
      <c r="D135" s="22">
        <v>44217</v>
      </c>
      <c r="E135" s="22">
        <v>44218</v>
      </c>
      <c r="F135" s="22"/>
      <c r="G135" s="33" t="str">
        <f>VLOOKUP(H135,'NO TOCAR'!$A$2:$D$162,3,FALSE)</f>
        <v>Cierre de espacios comerciales según tamaño (p.e. de más de 400 m2)</v>
      </c>
      <c r="H135" s="36" t="s">
        <v>168</v>
      </c>
      <c r="I135" s="33" t="s">
        <v>163</v>
      </c>
      <c r="J135" s="33" t="s">
        <v>165</v>
      </c>
      <c r="K135" s="33" t="s">
        <v>372</v>
      </c>
      <c r="L135" s="33" t="s">
        <v>373</v>
      </c>
      <c r="M135" s="37"/>
      <c r="N135" s="38"/>
      <c r="O135" s="38"/>
      <c r="P135" s="38"/>
      <c r="Q135" s="38"/>
    </row>
    <row r="136" spans="1:17" s="33" customFormat="1" x14ac:dyDescent="0.35">
      <c r="A136" s="19" t="s">
        <v>348</v>
      </c>
      <c r="B136" s="19" t="s">
        <v>350</v>
      </c>
      <c r="C136" s="19"/>
      <c r="D136" s="22">
        <v>44217</v>
      </c>
      <c r="E136" s="22">
        <v>44218</v>
      </c>
      <c r="F136" s="22">
        <v>44249</v>
      </c>
      <c r="G136" s="33" t="str">
        <f>VLOOKUP(H136,'NO TOCAR'!$A$2:$D$162,3,FALSE)</f>
        <v>Cierre de bibliotecas, museos y monumentos en general</v>
      </c>
      <c r="H136" s="21" t="s">
        <v>124</v>
      </c>
      <c r="I136" s="33" t="str">
        <f>VLOOKUP(H136,'NO TOCAR'!$A$2:$D$162,2,FALSE)</f>
        <v>Cultura y eventos (exc. deportivos)</v>
      </c>
      <c r="J136" s="33" t="str">
        <f>VLOOKUP(H136,'NO TOCAR'!$A$2:$D$162,4,FALSE)</f>
        <v>CD</v>
      </c>
      <c r="K136" s="19"/>
      <c r="L136" s="19"/>
      <c r="M136" s="37"/>
      <c r="N136" s="38"/>
      <c r="O136" s="38"/>
      <c r="P136" s="38"/>
      <c r="Q136" s="38"/>
    </row>
    <row r="137" spans="1:17" s="33" customFormat="1" x14ac:dyDescent="0.35">
      <c r="A137" s="19" t="s">
        <v>348</v>
      </c>
      <c r="B137" s="19" t="s">
        <v>350</v>
      </c>
      <c r="C137" s="19"/>
      <c r="D137" s="22">
        <v>44217</v>
      </c>
      <c r="E137" s="22">
        <v>44218</v>
      </c>
      <c r="F137" s="22">
        <v>44248</v>
      </c>
      <c r="G137" s="33" t="str">
        <f>VLOOKUP(H137,'NO TOCAR'!$A$2:$D$162,3,FALSE)</f>
        <v>Cierre general de restaurantes y bares (permitiendo servicio para llevar/consumo en domicilio)</v>
      </c>
      <c r="H137" s="21" t="s">
        <v>277</v>
      </c>
      <c r="I137" s="33" t="s">
        <v>272</v>
      </c>
      <c r="J137" s="33" t="s">
        <v>274</v>
      </c>
      <c r="M137" s="37"/>
      <c r="N137" s="38"/>
      <c r="O137" s="38"/>
      <c r="P137" s="38"/>
      <c r="Q137" s="38"/>
    </row>
    <row r="138" spans="1:17" s="33" customFormat="1" x14ac:dyDescent="0.35">
      <c r="A138" s="19" t="s">
        <v>348</v>
      </c>
      <c r="B138" s="19" t="s">
        <v>350</v>
      </c>
      <c r="C138" s="19"/>
      <c r="D138" s="22">
        <v>44217</v>
      </c>
      <c r="E138" s="22">
        <v>44218</v>
      </c>
      <c r="F138" s="22">
        <v>44223</v>
      </c>
      <c r="G138" s="33" t="str">
        <f>VLOOKUP(H138,'NO TOCAR'!$A$2:$D$162,3,FALSE)</f>
        <v>Limitación de horario comercio no esencial</v>
      </c>
      <c r="H138" s="36" t="s">
        <v>178</v>
      </c>
      <c r="I138" s="33" t="s">
        <v>163</v>
      </c>
      <c r="J138" s="33" t="s">
        <v>165</v>
      </c>
      <c r="K138" s="33" t="s">
        <v>372</v>
      </c>
      <c r="L138" s="33" t="s">
        <v>374</v>
      </c>
      <c r="M138" s="37"/>
      <c r="N138" s="38"/>
      <c r="O138" s="38"/>
      <c r="P138" s="38"/>
      <c r="Q138" s="38"/>
    </row>
    <row r="139" spans="1:17" s="33" customFormat="1" x14ac:dyDescent="0.35">
      <c r="A139" s="19" t="s">
        <v>348</v>
      </c>
      <c r="B139" s="19" t="s">
        <v>350</v>
      </c>
      <c r="C139" s="19"/>
      <c r="D139" s="22">
        <v>44217</v>
      </c>
      <c r="E139" s="22">
        <v>44218</v>
      </c>
      <c r="F139" s="22">
        <v>44223</v>
      </c>
      <c r="G139" s="33" t="str">
        <f>VLOOKUP(H139,'NO TOCAR'!$A$2:$D$162,3,FALSE)</f>
        <v>Limitación de horario comercio no esencial</v>
      </c>
      <c r="H139" s="36" t="s">
        <v>178</v>
      </c>
      <c r="I139" s="33" t="s">
        <v>163</v>
      </c>
      <c r="J139" s="33" t="s">
        <v>165</v>
      </c>
      <c r="K139" s="33" t="s">
        <v>355</v>
      </c>
      <c r="L139" s="33" t="s">
        <v>376</v>
      </c>
      <c r="M139" s="37"/>
      <c r="N139" s="38"/>
      <c r="O139" s="38"/>
      <c r="P139" s="38"/>
      <c r="Q139" s="38"/>
    </row>
    <row r="140" spans="1:17" s="33" customFormat="1" x14ac:dyDescent="0.35">
      <c r="A140" s="19" t="s">
        <v>348</v>
      </c>
      <c r="B140" s="19" t="s">
        <v>350</v>
      </c>
      <c r="C140" s="19"/>
      <c r="D140" s="22">
        <v>44217</v>
      </c>
      <c r="E140" s="22">
        <v>44218</v>
      </c>
      <c r="F140" s="22">
        <v>44223</v>
      </c>
      <c r="G140" s="33" t="str">
        <f>VLOOKUP(H140,'NO TOCAR'!$A$2:$D$162,3,FALSE)</f>
        <v>Limitación de horario comercio no esencial</v>
      </c>
      <c r="H140" s="36" t="s">
        <v>178</v>
      </c>
      <c r="I140" s="33" t="s">
        <v>163</v>
      </c>
      <c r="J140" s="33" t="s">
        <v>165</v>
      </c>
      <c r="K140" s="33" t="s">
        <v>355</v>
      </c>
      <c r="L140" s="33" t="s">
        <v>377</v>
      </c>
      <c r="M140" s="37"/>
      <c r="N140" s="38"/>
      <c r="O140" s="38"/>
      <c r="P140" s="38"/>
      <c r="Q140" s="38"/>
    </row>
    <row r="141" spans="1:17" s="33" customFormat="1" x14ac:dyDescent="0.35">
      <c r="A141" s="19" t="s">
        <v>348</v>
      </c>
      <c r="B141" s="19" t="s">
        <v>350</v>
      </c>
      <c r="C141" s="19"/>
      <c r="D141" s="22">
        <v>44217</v>
      </c>
      <c r="E141" s="22">
        <v>44218</v>
      </c>
      <c r="F141" s="22">
        <v>44249</v>
      </c>
      <c r="G141" s="33" t="str">
        <f>VLOOKUP(H141,'NO TOCAR'!$A$2:$D$162,3,FALSE)</f>
        <v>Cierre de instalaciones y centros deportivos en general</v>
      </c>
      <c r="H141" s="21" t="s">
        <v>69</v>
      </c>
      <c r="I141" s="33" t="str">
        <f>VLOOKUP(H141,'NO TOCAR'!$A$2:$D$162,2,FALSE)</f>
        <v>Deporte y actividad física</v>
      </c>
      <c r="J141" s="33" t="str">
        <f>VLOOKUP(H141,'NO TOCAR'!$A$2:$D$162,4,FALSE)</f>
        <v>AF</v>
      </c>
      <c r="M141" s="37"/>
      <c r="N141" s="38"/>
      <c r="O141" s="38"/>
      <c r="P141" s="38"/>
      <c r="Q141" s="38"/>
    </row>
    <row r="142" spans="1:17" s="33" customFormat="1" x14ac:dyDescent="0.35">
      <c r="A142" s="19" t="s">
        <v>348</v>
      </c>
      <c r="B142" s="19" t="s">
        <v>350</v>
      </c>
      <c r="C142" s="19"/>
      <c r="D142" s="22">
        <v>44217</v>
      </c>
      <c r="E142" s="22">
        <v>44218</v>
      </c>
      <c r="F142" s="22">
        <v>44249</v>
      </c>
      <c r="G142" s="33" t="str">
        <f>VLOOKUP(H142,'NO TOCAR'!$A$2:$D$162,3,FALSE)</f>
        <v xml:space="preserve">Cierre de cines, teatros, auditorios, circos de carpa y espacios similares, así como locales y establecimientos destinados a actos y espectáculos culturales </v>
      </c>
      <c r="H142" s="21" t="s">
        <v>128</v>
      </c>
      <c r="I142" s="33" t="str">
        <f>VLOOKUP(H142,'NO TOCAR'!$A$2:$D$162,2,FALSE)</f>
        <v>Cultura y eventos (exc. deportivos)</v>
      </c>
      <c r="J142" s="33" t="str">
        <f>VLOOKUP(H142,'NO TOCAR'!$A$2:$D$162,4,FALSE)</f>
        <v>CD</v>
      </c>
      <c r="M142" s="37"/>
      <c r="N142" s="38"/>
      <c r="O142" s="38"/>
      <c r="P142" s="38"/>
      <c r="Q142" s="38"/>
    </row>
    <row r="143" spans="1:17" s="33" customFormat="1" x14ac:dyDescent="0.35">
      <c r="A143" s="19" t="s">
        <v>348</v>
      </c>
      <c r="B143" s="19" t="s">
        <v>350</v>
      </c>
      <c r="C143" s="19"/>
      <c r="D143" s="22">
        <v>44217</v>
      </c>
      <c r="E143" s="22">
        <v>44218</v>
      </c>
      <c r="F143" s="22">
        <v>44249</v>
      </c>
      <c r="G143" s="33" t="str">
        <f>VLOOKUP(H143,'NO TOCAR'!$A$2:$D$162,3,FALSE)</f>
        <v>Cierre de salas multiusos</v>
      </c>
      <c r="H143" s="21" t="s">
        <v>132</v>
      </c>
      <c r="I143" s="33" t="str">
        <f>VLOOKUP(H143,'NO TOCAR'!$A$2:$D$162,2,FALSE)</f>
        <v>Cultura y eventos (exc. deportivos)</v>
      </c>
      <c r="J143" s="33" t="str">
        <f>VLOOKUP(H143,'NO TOCAR'!$A$2:$D$162,4,FALSE)</f>
        <v>CD</v>
      </c>
      <c r="M143" s="37"/>
      <c r="N143" s="38"/>
      <c r="O143" s="38"/>
      <c r="P143" s="38"/>
      <c r="Q143" s="38"/>
    </row>
    <row r="144" spans="1:17" s="33" customFormat="1" x14ac:dyDescent="0.35">
      <c r="A144" s="19" t="s">
        <v>348</v>
      </c>
      <c r="B144" s="19" t="s">
        <v>350</v>
      </c>
      <c r="C144" s="19"/>
      <c r="D144" s="22">
        <v>44217</v>
      </c>
      <c r="E144" s="22">
        <v>44218</v>
      </c>
      <c r="F144" s="22">
        <v>44249</v>
      </c>
      <c r="G144" s="33" t="str">
        <f>VLOOKUP(H144,'NO TOCAR'!$A$2:$D$162,3,FALSE)</f>
        <v>Prohibición de festejos taurinos</v>
      </c>
      <c r="H144" s="21" t="s">
        <v>151</v>
      </c>
      <c r="I144" s="33" t="str">
        <f>VLOOKUP(H144,'NO TOCAR'!$A$2:$D$162,2,FALSE)</f>
        <v>Cultura y eventos (exc. deportivos)</v>
      </c>
      <c r="J144" s="33" t="str">
        <f>VLOOKUP(H144,'NO TOCAR'!$A$2:$D$162,4,FALSE)</f>
        <v>CD</v>
      </c>
      <c r="M144" s="37"/>
      <c r="N144" s="38"/>
      <c r="O144" s="38"/>
      <c r="P144" s="38"/>
      <c r="Q144" s="38"/>
    </row>
    <row r="145" spans="1:17" s="33" customFormat="1" x14ac:dyDescent="0.35">
      <c r="A145" s="19" t="s">
        <v>348</v>
      </c>
      <c r="B145" s="19" t="s">
        <v>350</v>
      </c>
      <c r="C145" s="19"/>
      <c r="D145" s="22">
        <v>44217</v>
      </c>
      <c r="E145" s="22">
        <v>44218</v>
      </c>
      <c r="F145" s="22">
        <v>44249</v>
      </c>
      <c r="G145" s="33" t="str">
        <f>VLOOKUP(H145,'NO TOCAR'!$A$2:$D$162,3,FALSE)</f>
        <v>Cierre de zoos y parques de atracciones</v>
      </c>
      <c r="H145" s="21" t="s">
        <v>149</v>
      </c>
      <c r="I145" s="33" t="str">
        <f>VLOOKUP(H145,'NO TOCAR'!$A$2:$D$162,2,FALSE)</f>
        <v>Cultura y eventos (exc. deportivos)</v>
      </c>
      <c r="J145" s="33" t="str">
        <f>VLOOKUP(H145,'NO TOCAR'!$A$2:$D$162,4,FALSE)</f>
        <v>CD</v>
      </c>
      <c r="M145" s="37"/>
      <c r="N145" s="38"/>
      <c r="O145" s="38"/>
      <c r="P145" s="38"/>
      <c r="Q145" s="38"/>
    </row>
    <row r="146" spans="1:17" s="33" customFormat="1" x14ac:dyDescent="0.35">
      <c r="A146" s="19" t="s">
        <v>348</v>
      </c>
      <c r="B146" s="19" t="s">
        <v>350</v>
      </c>
      <c r="C146" s="19"/>
      <c r="D146" s="22">
        <v>44217</v>
      </c>
      <c r="E146" s="22">
        <v>44218</v>
      </c>
      <c r="F146" s="22">
        <v>44249</v>
      </c>
      <c r="G146" s="33" t="str">
        <f>VLOOKUP(H146,'NO TOCAR'!$A$2:$D$162,3,FALSE)</f>
        <v>Cierre total delocales de apuestas, bingos etc.</v>
      </c>
      <c r="H146" s="21" t="s">
        <v>227</v>
      </c>
      <c r="I146" s="33" t="str">
        <f>VLOOKUP(H146,'NO TOCAR'!$A$2:$D$162,2,FALSE)</f>
        <v>Locales de apuestas</v>
      </c>
      <c r="J146" s="33" t="str">
        <f>VLOOKUP(H146,'NO TOCAR'!$A$2:$D$162,4,FALSE)</f>
        <v>LA</v>
      </c>
      <c r="M146" s="37"/>
      <c r="N146" s="38"/>
      <c r="O146" s="38"/>
      <c r="P146" s="38"/>
      <c r="Q146" s="38"/>
    </row>
    <row r="147" spans="1:17" s="19" customFormat="1" ht="14.5" customHeight="1" x14ac:dyDescent="0.35">
      <c r="A147" s="19" t="s">
        <v>348</v>
      </c>
      <c r="B147" s="19" t="s">
        <v>350</v>
      </c>
      <c r="C147" s="33"/>
      <c r="D147" s="22">
        <v>44223</v>
      </c>
      <c r="E147" s="22">
        <v>44224</v>
      </c>
      <c r="F147" s="35"/>
      <c r="G147" s="33" t="str">
        <f>VLOOKUP(H147,'NO TOCAR'!$A$2:$D$162,3,FALSE)</f>
        <v>Cierre de zonas comunes dentro de los centros comerciales</v>
      </c>
      <c r="H147" s="21" t="s">
        <v>174</v>
      </c>
      <c r="I147" s="27" t="s">
        <v>163</v>
      </c>
      <c r="J147" s="33" t="s">
        <v>165</v>
      </c>
      <c r="K147" s="33" t="s">
        <v>375</v>
      </c>
      <c r="L147" s="44" t="s">
        <v>376</v>
      </c>
      <c r="M147" s="37"/>
      <c r="N147" s="38"/>
      <c r="O147" s="38"/>
      <c r="P147" s="38"/>
      <c r="Q147" s="38"/>
    </row>
    <row r="148" spans="1:17" s="33" customFormat="1" x14ac:dyDescent="0.35">
      <c r="A148" s="19" t="s">
        <v>348</v>
      </c>
      <c r="B148" s="19" t="s">
        <v>350</v>
      </c>
      <c r="D148" s="22">
        <v>44223</v>
      </c>
      <c r="E148" s="22">
        <v>44224</v>
      </c>
      <c r="F148" s="35"/>
      <c r="G148" s="33" t="str">
        <f>VLOOKUP(H148,'NO TOCAR'!$A$2:$D$162,3,FALSE)</f>
        <v>Cierre de zonas comunes dentro de los centros comerciales</v>
      </c>
      <c r="H148" s="21" t="s">
        <v>174</v>
      </c>
      <c r="I148" s="27" t="s">
        <v>163</v>
      </c>
      <c r="J148" s="33" t="s">
        <v>165</v>
      </c>
      <c r="K148" s="33" t="s">
        <v>375</v>
      </c>
      <c r="L148" s="44" t="s">
        <v>377</v>
      </c>
      <c r="M148" s="37"/>
      <c r="N148" s="38"/>
      <c r="O148" s="38"/>
      <c r="P148" s="38"/>
      <c r="Q148" s="38"/>
    </row>
    <row r="149" spans="1:17" s="70" customFormat="1" ht="14.5" customHeight="1" x14ac:dyDescent="0.35">
      <c r="A149" s="70" t="s">
        <v>348</v>
      </c>
      <c r="B149" s="70" t="s">
        <v>350</v>
      </c>
      <c r="D149" s="39">
        <v>44245</v>
      </c>
      <c r="E149" s="22">
        <v>44249</v>
      </c>
      <c r="F149" s="39"/>
      <c r="G149" s="71" t="str">
        <f>VLOOKUP(H149,'NO TOCAR'!$A$2:$D$162,3,FALSE)</f>
        <v>Limitación al número de personas que se pueden reunir en cualquier circunstancia (con excepciones como convivientes, transporte público, contexto laboral o similares)</v>
      </c>
      <c r="H149" s="72" t="s">
        <v>61</v>
      </c>
      <c r="I149" s="70" t="str">
        <f>VLOOKUP(H149,'NO TOCAR'!$A$2:$D$162,2,FALSE)</f>
        <v>Relaciones sociales</v>
      </c>
      <c r="J149" s="70" t="str">
        <f>VLOOKUP(H149,'NO TOCAR'!$A$2:$D$162,4,FALSE)</f>
        <v>RS</v>
      </c>
      <c r="K149" s="70" t="s">
        <v>352</v>
      </c>
      <c r="L149" s="73">
        <v>6</v>
      </c>
      <c r="M149" s="74"/>
      <c r="N149" s="74"/>
      <c r="O149" s="75" t="s">
        <v>359</v>
      </c>
      <c r="P149" s="74"/>
      <c r="Q149" s="74"/>
    </row>
    <row r="150" spans="1:17" s="76" customFormat="1" ht="14.5" customHeight="1" x14ac:dyDescent="0.35">
      <c r="A150" s="76" t="s">
        <v>348</v>
      </c>
      <c r="B150" s="76" t="s">
        <v>350</v>
      </c>
      <c r="D150" s="77">
        <v>44245</v>
      </c>
      <c r="E150" s="77">
        <v>44249</v>
      </c>
      <c r="F150" s="78"/>
      <c r="G150" s="79" t="str">
        <f>VLOOKUP(H150,'NO TOCAR'!$A$2:$D$162,3,FALSE)</f>
        <v>Limitación de la movilidad nocturna (toque de queda)</v>
      </c>
      <c r="H150" s="80" t="s">
        <v>243</v>
      </c>
      <c r="I150" s="70" t="str">
        <f>VLOOKUP(H150,'NO TOCAR'!$A$2:$D$162,2,FALSE)</f>
        <v>Movilidad</v>
      </c>
      <c r="J150" s="70" t="str">
        <f>VLOOKUP(H150,'NO TOCAR'!$A$2:$D$162,4,FALSE)</f>
        <v>MV</v>
      </c>
      <c r="K150" s="76" t="s">
        <v>355</v>
      </c>
      <c r="L150" s="81">
        <v>0.95833333333333337</v>
      </c>
      <c r="M150" s="82"/>
      <c r="N150" s="82"/>
      <c r="O150" s="83"/>
      <c r="P150" s="82"/>
      <c r="Q150" s="82"/>
    </row>
    <row r="151" spans="1:17" s="33" customFormat="1" x14ac:dyDescent="0.35">
      <c r="A151" s="19" t="s">
        <v>348</v>
      </c>
      <c r="B151" s="19" t="s">
        <v>350</v>
      </c>
      <c r="C151" s="19"/>
      <c r="D151" s="22">
        <v>44217</v>
      </c>
      <c r="E151" s="22">
        <v>44218</v>
      </c>
      <c r="F151" s="22">
        <v>44248</v>
      </c>
      <c r="G151" s="33" t="str">
        <f>VLOOKUP(H151,'NO TOCAR'!$A$2:$D$162,3,FALSE)</f>
        <v>Prohibición, restricción solo a convivientes o restricción equivalente en velatorios, entierros y ceremonias fúnebres (interior y exterior)</v>
      </c>
      <c r="H151" s="21" t="s">
        <v>366</v>
      </c>
      <c r="I151" s="33" t="str">
        <f>VLOOKUP(H151,'NO TOCAR'!$A$2:$D$162,2,FALSE)</f>
        <v>Ceremonias religiosas</v>
      </c>
      <c r="J151" s="33" t="str">
        <f>VLOOKUP(H151,'NO TOCAR'!$A$2:$D$162,4,FALSE)</f>
        <v>CE</v>
      </c>
      <c r="M151" s="37"/>
      <c r="N151" s="38"/>
      <c r="O151" s="38"/>
      <c r="P151" s="38"/>
      <c r="Q151" s="38"/>
    </row>
    <row r="152" spans="1:17" s="33" customFormat="1" x14ac:dyDescent="0.35">
      <c r="A152" s="19" t="s">
        <v>348</v>
      </c>
      <c r="B152" s="19" t="s">
        <v>350</v>
      </c>
      <c r="C152" s="19"/>
      <c r="D152" s="22">
        <v>44217</v>
      </c>
      <c r="E152" s="22">
        <v>44218</v>
      </c>
      <c r="F152" s="22">
        <v>44248</v>
      </c>
      <c r="G152" s="33" t="str">
        <f>VLOOKUP(H152,'NO TOCAR'!$A$2:$D$162,3,FALSE)</f>
        <v>Prohibición, restricción solo a convivientes o restricción equivalente en otras ceremonias como bodas y bautizos (interior y exterior)</v>
      </c>
      <c r="H152" s="21" t="s">
        <v>368</v>
      </c>
      <c r="I152" s="33" t="str">
        <f>VLOOKUP(H152,'NO TOCAR'!$A$2:$D$162,2,FALSE)</f>
        <v>Ceremonias religiosas</v>
      </c>
      <c r="J152" s="33" t="str">
        <f>VLOOKUP(H152,'NO TOCAR'!$A$2:$D$162,4,FALSE)</f>
        <v>CE</v>
      </c>
      <c r="M152" s="37"/>
      <c r="N152" s="38"/>
      <c r="O152" s="38"/>
      <c r="P152" s="38"/>
      <c r="Q152" s="38"/>
    </row>
    <row r="153" spans="1:17" s="19" customFormat="1" ht="14.5" customHeight="1" x14ac:dyDescent="0.35">
      <c r="A153" s="19" t="s">
        <v>348</v>
      </c>
      <c r="B153" s="19" t="s">
        <v>350</v>
      </c>
      <c r="D153" s="10">
        <v>44245</v>
      </c>
      <c r="E153" s="22">
        <v>44249</v>
      </c>
      <c r="F153" s="22"/>
      <c r="G153" s="33" t="str">
        <f>VLOOKUP(H153,'NO TOCAR'!$A$2:$D$162,3,FALSE)</f>
        <v>Aforo velatorios, entierros y ceremonias fúnebres en espacios interiores</v>
      </c>
      <c r="H153" s="21" t="s">
        <v>25</v>
      </c>
      <c r="I153" s="33" t="str">
        <f>VLOOKUP(H153,'NO TOCAR'!$A$2:$D$162,2,FALSE)</f>
        <v>Ceremonias religiosas</v>
      </c>
      <c r="J153" s="33" t="str">
        <f>VLOOKUP(H153,'NO TOCAR'!$A$2:$D$162,4,FALSE)</f>
        <v>CE</v>
      </c>
      <c r="K153" s="19" t="s">
        <v>352</v>
      </c>
      <c r="L153" s="19">
        <v>10</v>
      </c>
      <c r="M153" s="18"/>
      <c r="N153" s="20"/>
      <c r="O153" s="20"/>
      <c r="P153" s="20"/>
      <c r="Q153" s="20"/>
    </row>
    <row r="154" spans="1:17" s="33" customFormat="1" x14ac:dyDescent="0.35">
      <c r="A154" s="19" t="s">
        <v>348</v>
      </c>
      <c r="B154" s="19" t="s">
        <v>350</v>
      </c>
      <c r="C154" s="19"/>
      <c r="D154" s="10">
        <v>44245</v>
      </c>
      <c r="E154" s="22">
        <v>44249</v>
      </c>
      <c r="F154" s="22"/>
      <c r="G154" s="33" t="str">
        <f>VLOOKUP(H154,'NO TOCAR'!$A$2:$D$162,3,FALSE)</f>
        <v>Aforo velatorios, entierros y ceremonias fúnebres en espacios interiores</v>
      </c>
      <c r="H154" s="21" t="s">
        <v>25</v>
      </c>
      <c r="I154" s="33" t="str">
        <f>VLOOKUP(H154,'NO TOCAR'!$A$2:$D$162,2,FALSE)</f>
        <v>Ceremonias religiosas</v>
      </c>
      <c r="J154" s="33" t="str">
        <f>VLOOKUP(H154,'NO TOCAR'!$A$2:$D$162,4,FALSE)</f>
        <v>CE</v>
      </c>
      <c r="K154" s="19" t="s">
        <v>349</v>
      </c>
      <c r="L154" s="19">
        <v>30</v>
      </c>
      <c r="M154" s="37"/>
      <c r="N154" s="38"/>
      <c r="O154" s="38"/>
      <c r="P154" s="38"/>
      <c r="Q154" s="38"/>
    </row>
    <row r="155" spans="1:17" s="33" customFormat="1" x14ac:dyDescent="0.35">
      <c r="A155" s="19" t="s">
        <v>348</v>
      </c>
      <c r="B155" s="19" t="s">
        <v>350</v>
      </c>
      <c r="C155" s="19"/>
      <c r="D155" s="10">
        <v>44245</v>
      </c>
      <c r="E155" s="22">
        <v>44249</v>
      </c>
      <c r="F155" s="22"/>
      <c r="G155" s="33" t="str">
        <f>VLOOKUP(H155,'NO TOCAR'!$A$2:$D$162,3,FALSE)</f>
        <v>Aforo en velatorios, entierros y ceremonias fúnebres en espacios exteriores</v>
      </c>
      <c r="H155" s="21" t="s">
        <v>26</v>
      </c>
      <c r="I155" s="33" t="str">
        <f>VLOOKUP(H155,'NO TOCAR'!$A$2:$D$162,2,FALSE)</f>
        <v>Ceremonias religiosas</v>
      </c>
      <c r="J155" s="33" t="str">
        <f>VLOOKUP(H155,'NO TOCAR'!$A$2:$D$162,4,FALSE)</f>
        <v>CE</v>
      </c>
      <c r="K155" s="19" t="s">
        <v>352</v>
      </c>
      <c r="L155" s="19">
        <v>20</v>
      </c>
      <c r="M155" s="37"/>
      <c r="N155" s="38"/>
      <c r="O155" s="38"/>
      <c r="P155" s="38"/>
      <c r="Q155" s="38"/>
    </row>
    <row r="156" spans="1:17" s="33" customFormat="1" x14ac:dyDescent="0.35">
      <c r="A156" s="19" t="s">
        <v>348</v>
      </c>
      <c r="B156" s="19" t="s">
        <v>350</v>
      </c>
      <c r="C156" s="19"/>
      <c r="D156" s="10">
        <v>44245</v>
      </c>
      <c r="E156" s="22">
        <v>44249</v>
      </c>
      <c r="F156" s="22"/>
      <c r="G156" s="33" t="str">
        <f>VLOOKUP(H156,'NO TOCAR'!$A$2:$D$162,3,FALSE)</f>
        <v>Aforo en otras ceremonias (bodas, bautizos) en espacios interiores</v>
      </c>
      <c r="H156" s="21" t="s">
        <v>28</v>
      </c>
      <c r="I156" s="33" t="str">
        <f>VLOOKUP(H156,'NO TOCAR'!$A$2:$D$162,2,FALSE)</f>
        <v>Ceremonias religiosas</v>
      </c>
      <c r="J156" s="33" t="str">
        <f>VLOOKUP(H156,'NO TOCAR'!$A$2:$D$162,4,FALSE)</f>
        <v>CE</v>
      </c>
      <c r="K156" s="19" t="s">
        <v>352</v>
      </c>
      <c r="L156" s="19">
        <v>10</v>
      </c>
      <c r="M156" s="37"/>
      <c r="N156" s="38"/>
      <c r="O156" s="38"/>
      <c r="P156" s="38"/>
      <c r="Q156" s="38"/>
    </row>
    <row r="157" spans="1:17" s="33" customFormat="1" x14ac:dyDescent="0.35">
      <c r="A157" s="19" t="s">
        <v>348</v>
      </c>
      <c r="B157" s="19" t="s">
        <v>350</v>
      </c>
      <c r="C157" s="19"/>
      <c r="D157" s="10">
        <v>44245</v>
      </c>
      <c r="E157" s="22">
        <v>44249</v>
      </c>
      <c r="F157" s="22"/>
      <c r="G157" s="33" t="str">
        <f>VLOOKUP(H157,'NO TOCAR'!$A$2:$D$162,3,FALSE)</f>
        <v>Aforo en otras ceremonias (bodas, bautizos) en espacios interiores</v>
      </c>
      <c r="H157" s="21" t="s">
        <v>28</v>
      </c>
      <c r="I157" s="33" t="str">
        <f>VLOOKUP(H157,'NO TOCAR'!$A$2:$D$162,2,FALSE)</f>
        <v>Ceremonias religiosas</v>
      </c>
      <c r="J157" s="33" t="str">
        <f>VLOOKUP(H157,'NO TOCAR'!$A$2:$D$162,4,FALSE)</f>
        <v>CE</v>
      </c>
      <c r="K157" s="19" t="s">
        <v>349</v>
      </c>
      <c r="L157" s="19">
        <v>33</v>
      </c>
      <c r="M157" s="37"/>
      <c r="N157" s="38"/>
      <c r="O157" s="38"/>
      <c r="P157" s="38"/>
      <c r="Q157" s="38"/>
    </row>
    <row r="158" spans="1:17" s="33" customFormat="1" x14ac:dyDescent="0.35">
      <c r="A158" s="19" t="s">
        <v>348</v>
      </c>
      <c r="B158" s="19" t="s">
        <v>350</v>
      </c>
      <c r="C158" s="19"/>
      <c r="D158" s="10">
        <v>44245</v>
      </c>
      <c r="E158" s="22">
        <v>44249</v>
      </c>
      <c r="F158" s="22"/>
      <c r="G158" s="33" t="str">
        <f>VLOOKUP(H158,'NO TOCAR'!$A$2:$D$162,3,FALSE)</f>
        <v>Aforo en otras ceremonias (bodas, bautizos) en espacios exteriores</v>
      </c>
      <c r="H158" s="21" t="s">
        <v>29</v>
      </c>
      <c r="I158" s="33" t="str">
        <f>VLOOKUP(H158,'NO TOCAR'!$A$2:$D$162,2,FALSE)</f>
        <v>Ceremonias religiosas</v>
      </c>
      <c r="J158" s="33" t="str">
        <f>VLOOKUP(H158,'NO TOCAR'!$A$2:$D$162,4,FALSE)</f>
        <v>CE</v>
      </c>
      <c r="K158" s="19" t="s">
        <v>352</v>
      </c>
      <c r="L158" s="19">
        <v>20</v>
      </c>
      <c r="M158" s="37"/>
      <c r="N158" s="38"/>
      <c r="O158" s="38"/>
      <c r="P158" s="38"/>
      <c r="Q158" s="38"/>
    </row>
    <row r="159" spans="1:17" s="46" customFormat="1" ht="14.5" customHeight="1" x14ac:dyDescent="0.35">
      <c r="A159" s="19" t="s">
        <v>348</v>
      </c>
      <c r="B159" s="19" t="s">
        <v>350</v>
      </c>
      <c r="C159" s="19"/>
      <c r="D159" s="10">
        <v>44245</v>
      </c>
      <c r="E159" s="22">
        <v>44249</v>
      </c>
      <c r="F159" s="22"/>
      <c r="G159" s="33" t="str">
        <f>VLOOKUP(H159,'NO TOCAR'!$A$2:$D$162,3,FALSE)</f>
        <v>Aforo en lugares de culto</v>
      </c>
      <c r="H159" s="21" t="s">
        <v>27</v>
      </c>
      <c r="I159" s="33" t="str">
        <f>VLOOKUP(H159,'NO TOCAR'!$A$2:$D$162,2,FALSE)</f>
        <v>Ceremonias religiosas</v>
      </c>
      <c r="J159" s="33" t="str">
        <f>VLOOKUP(H159,'NO TOCAR'!$A$2:$D$162,4,FALSE)</f>
        <v>CE</v>
      </c>
      <c r="K159" s="19" t="s">
        <v>349</v>
      </c>
      <c r="L159" s="19">
        <v>33</v>
      </c>
      <c r="M159" s="18"/>
      <c r="N159" s="20"/>
      <c r="O159" s="20"/>
      <c r="P159" s="20"/>
      <c r="Q159" s="20"/>
    </row>
    <row r="160" spans="1:17" s="19" customFormat="1" ht="14.5" customHeight="1" x14ac:dyDescent="0.35">
      <c r="A160" s="19" t="s">
        <v>348</v>
      </c>
      <c r="B160" s="19" t="s">
        <v>350</v>
      </c>
      <c r="D160" s="10">
        <v>44245</v>
      </c>
      <c r="E160" s="10">
        <v>44249</v>
      </c>
      <c r="F160" s="22"/>
      <c r="G160" s="33" t="str">
        <f>VLOOKUP(H160,'NO TOCAR'!$A$2:$D$162,3,FALSE)</f>
        <v xml:space="preserve">Limitación de salidas de residentes </v>
      </c>
      <c r="H160" s="21" t="s">
        <v>200</v>
      </c>
      <c r="I160" s="33" t="str">
        <f>VLOOKUP(H160,'NO TOCAR'!$A$2:$D$162,2,FALSE)</f>
        <v>Centros sociosanitarios</v>
      </c>
      <c r="J160" s="33" t="str">
        <f>VLOOKUP(H160,'NO TOCAR'!$A$2:$D$162,4,FALSE)</f>
        <v>CS</v>
      </c>
      <c r="M160" s="18"/>
      <c r="N160" s="20"/>
      <c r="O160" s="20"/>
      <c r="P160" s="20"/>
      <c r="Q160" s="20"/>
    </row>
    <row r="161" spans="1:17" s="19" customFormat="1" ht="14.5" customHeight="1" x14ac:dyDescent="0.35">
      <c r="A161" s="19" t="s">
        <v>348</v>
      </c>
      <c r="B161" s="19" t="s">
        <v>350</v>
      </c>
      <c r="D161" s="10">
        <v>44245</v>
      </c>
      <c r="E161" s="10">
        <v>44249</v>
      </c>
      <c r="F161" s="22"/>
      <c r="G161" s="33" t="str">
        <f>VLOOKUP(H161,'NO TOCAR'!$A$2:$D$162,3,FALSE)</f>
        <v>Limitación de visitas</v>
      </c>
      <c r="H161" s="21" t="s">
        <v>202</v>
      </c>
      <c r="I161" s="33" t="str">
        <f>VLOOKUP(H161,'NO TOCAR'!$A$2:$D$162,2,FALSE)</f>
        <v>Centros sociosanitarios</v>
      </c>
      <c r="J161" s="33" t="str">
        <f>VLOOKUP(H161,'NO TOCAR'!$A$2:$D$162,4,FALSE)</f>
        <v>CS</v>
      </c>
      <c r="M161" s="18"/>
      <c r="N161" s="20"/>
      <c r="O161" s="20"/>
      <c r="P161" s="20"/>
      <c r="Q161" s="20"/>
    </row>
    <row r="162" spans="1:17" s="33" customFormat="1" x14ac:dyDescent="0.35">
      <c r="A162" s="19" t="s">
        <v>348</v>
      </c>
      <c r="B162" s="19" t="s">
        <v>350</v>
      </c>
      <c r="C162" s="19"/>
      <c r="D162" s="10">
        <v>44245</v>
      </c>
      <c r="E162" s="10">
        <v>44249</v>
      </c>
      <c r="F162" s="38"/>
      <c r="G162" s="33" t="str">
        <f>VLOOKUP(H162,'NO TOCAR'!$A$2:$D$162,3,FALSE)</f>
        <v xml:space="preserve">Cierre de centros recreativos de mayores (hogares del jubilado) </v>
      </c>
      <c r="H162" s="36" t="s">
        <v>188</v>
      </c>
      <c r="I162" s="33" t="str">
        <f>VLOOKUP(H162,'NO TOCAR'!$A$2:$D$162,2,FALSE)</f>
        <v>Centros recreativos</v>
      </c>
      <c r="J162" s="33" t="str">
        <f>VLOOKUP(H162,'NO TOCAR'!$A$2:$D$162,4,FALSE)</f>
        <v>CR</v>
      </c>
      <c r="K162" s="33" t="s">
        <v>349</v>
      </c>
      <c r="L162" s="33">
        <v>50</v>
      </c>
      <c r="M162" s="37"/>
      <c r="N162" s="38"/>
      <c r="O162" s="38"/>
      <c r="P162" s="38"/>
      <c r="Q162" s="38"/>
    </row>
    <row r="163" spans="1:17" s="33" customFormat="1" x14ac:dyDescent="0.35">
      <c r="A163" s="19" t="s">
        <v>348</v>
      </c>
      <c r="B163" s="19" t="s">
        <v>350</v>
      </c>
      <c r="C163" s="19"/>
      <c r="D163" s="10">
        <v>44245</v>
      </c>
      <c r="E163" s="10">
        <v>44249</v>
      </c>
      <c r="F163" s="38"/>
      <c r="G163" s="33" t="str">
        <f>VLOOKUP(H163,'NO TOCAR'!$A$2:$D$162,3,FALSE)</f>
        <v xml:space="preserve">Cierre de centros recreativos de mayores (hogares del jubilado) </v>
      </c>
      <c r="H163" s="36" t="s">
        <v>188</v>
      </c>
      <c r="I163" s="33" t="str">
        <f>VLOOKUP(H163,'NO TOCAR'!$A$2:$D$162,2,FALSE)</f>
        <v>Centros recreativos</v>
      </c>
      <c r="J163" s="33" t="str">
        <f>VLOOKUP(H163,'NO TOCAR'!$A$2:$D$162,4,FALSE)</f>
        <v>CR</v>
      </c>
      <c r="K163" s="33" t="s">
        <v>380</v>
      </c>
      <c r="L163" s="33">
        <v>6</v>
      </c>
      <c r="M163" s="37"/>
      <c r="N163" s="38"/>
      <c r="O163" s="38"/>
      <c r="P163" s="38"/>
      <c r="Q163" s="38"/>
    </row>
    <row r="164" spans="1:17" s="33" customFormat="1" x14ac:dyDescent="0.35">
      <c r="A164" s="19" t="s">
        <v>348</v>
      </c>
      <c r="B164" s="19" t="s">
        <v>350</v>
      </c>
      <c r="C164" s="19"/>
      <c r="D164" s="10">
        <v>44245</v>
      </c>
      <c r="E164" s="10">
        <v>44249</v>
      </c>
      <c r="F164" s="38"/>
      <c r="G164" s="33" t="str">
        <f>VLOOKUP(H164,'NO TOCAR'!$A$2:$D$162,3,FALSE)</f>
        <v>Cierre de centros recreativos de jóvenes (ludotecas, centros de ocio juvenil…)</v>
      </c>
      <c r="H164" s="36" t="s">
        <v>192</v>
      </c>
      <c r="I164" s="33" t="str">
        <f>VLOOKUP(H164,'NO TOCAR'!$A$2:$D$162,2,FALSE)</f>
        <v>Centros recreativos</v>
      </c>
      <c r="J164" s="33" t="str">
        <f>VLOOKUP(H164,'NO TOCAR'!$A$2:$D$162,4,FALSE)</f>
        <v>CR</v>
      </c>
      <c r="K164" s="33" t="s">
        <v>349</v>
      </c>
      <c r="L164" s="33">
        <v>50</v>
      </c>
      <c r="M164" s="37"/>
      <c r="N164" s="38"/>
      <c r="O164" s="38"/>
      <c r="P164" s="38"/>
      <c r="Q164" s="38"/>
    </row>
    <row r="165" spans="1:17" s="33" customFormat="1" x14ac:dyDescent="0.35">
      <c r="A165" s="19" t="s">
        <v>348</v>
      </c>
      <c r="B165" s="19" t="s">
        <v>350</v>
      </c>
      <c r="C165" s="19"/>
      <c r="D165" s="10">
        <v>44245</v>
      </c>
      <c r="E165" s="10">
        <v>44249</v>
      </c>
      <c r="F165" s="38"/>
      <c r="G165" s="33" t="str">
        <f>VLOOKUP(H165,'NO TOCAR'!$A$2:$D$162,3,FALSE)</f>
        <v>Limitación de aforo de centros recreativos de jóvenes (ludotecas, centros de ocio juvenil…)</v>
      </c>
      <c r="H165" s="36" t="s">
        <v>194</v>
      </c>
      <c r="I165" s="33" t="str">
        <f>VLOOKUP(H165,'NO TOCAR'!$A$2:$D$162,2,FALSE)</f>
        <v>Centros recreativos</v>
      </c>
      <c r="J165" s="33" t="str">
        <f>VLOOKUP(H165,'NO TOCAR'!$A$2:$D$162,4,FALSE)</f>
        <v>CR</v>
      </c>
      <c r="K165" s="33" t="s">
        <v>380</v>
      </c>
      <c r="L165" s="33">
        <v>6</v>
      </c>
      <c r="M165" s="37"/>
      <c r="N165" s="38"/>
      <c r="O165" s="38"/>
      <c r="P165" s="38"/>
      <c r="Q165" s="38"/>
    </row>
    <row r="166" spans="1:17" s="33" customFormat="1" x14ac:dyDescent="0.35">
      <c r="D166" s="34"/>
      <c r="E166" s="34"/>
      <c r="F166" s="38"/>
      <c r="H166" s="21" t="s">
        <v>277</v>
      </c>
      <c r="M166" s="37"/>
      <c r="N166" s="38"/>
      <c r="O166" s="38"/>
      <c r="P166" s="38"/>
      <c r="Q166" s="38"/>
    </row>
    <row r="167" spans="1:17" s="33" customFormat="1" x14ac:dyDescent="0.35">
      <c r="A167" s="19" t="s">
        <v>348</v>
      </c>
      <c r="B167" s="19" t="s">
        <v>350</v>
      </c>
      <c r="C167" s="19"/>
      <c r="D167" s="10">
        <v>44245</v>
      </c>
      <c r="E167" s="10">
        <v>44249</v>
      </c>
      <c r="F167" s="38"/>
      <c r="G167" s="33" t="str">
        <f>VLOOKUP(H167,'NO TOCAR'!$A$2:$D$162,3,FALSE)</f>
        <v>Cierre de centros de día sociosanitarios</v>
      </c>
      <c r="H167" s="36" t="s">
        <v>204</v>
      </c>
      <c r="I167" s="33" t="str">
        <f>VLOOKUP(H167,'NO TOCAR'!$A$2:$D$162,2,FALSE)</f>
        <v>Centros sociosanitarios</v>
      </c>
      <c r="J167" s="33" t="str">
        <f>VLOOKUP(H167,'NO TOCAR'!$A$2:$D$162,4,FALSE)</f>
        <v>CS</v>
      </c>
      <c r="M167" s="37"/>
      <c r="N167" s="38"/>
      <c r="O167" s="38"/>
      <c r="P167" s="38"/>
      <c r="Q167" s="38"/>
    </row>
    <row r="168" spans="1:17" s="19" customFormat="1" ht="14.5" customHeight="1" x14ac:dyDescent="0.35">
      <c r="A168" s="19" t="s">
        <v>348</v>
      </c>
      <c r="B168" s="19" t="s">
        <v>350</v>
      </c>
      <c r="D168" s="10">
        <v>44245</v>
      </c>
      <c r="E168" s="22">
        <v>44249</v>
      </c>
      <c r="F168" s="22"/>
      <c r="G168" s="33" t="str">
        <f>VLOOKUP(H168,'NO TOCAR'!$A$2:$D$162,3,FALSE)</f>
        <v>Prohibición de consumo en barra</v>
      </c>
      <c r="H168" s="21" t="s">
        <v>280</v>
      </c>
      <c r="I168" s="33" t="str">
        <f>VLOOKUP(H168,'NO TOCAR'!$A$2:$D$162,2,FALSE)</f>
        <v>Restauración, hostelería y bares</v>
      </c>
      <c r="J168" s="33" t="str">
        <f>VLOOKUP(H168,'NO TOCAR'!$A$2:$D$162,4,FALSE)</f>
        <v>RH</v>
      </c>
      <c r="M168" s="18"/>
      <c r="N168" s="20"/>
      <c r="O168" s="20"/>
      <c r="P168" s="20"/>
      <c r="Q168" s="20"/>
    </row>
    <row r="169" spans="1:17" s="46" customFormat="1" ht="14.5" customHeight="1" x14ac:dyDescent="0.35">
      <c r="A169" s="19" t="s">
        <v>348</v>
      </c>
      <c r="B169" s="19" t="s">
        <v>350</v>
      </c>
      <c r="C169" s="19"/>
      <c r="D169" s="10">
        <v>44245</v>
      </c>
      <c r="E169" s="22">
        <v>44249</v>
      </c>
      <c r="F169" s="22">
        <v>44269</v>
      </c>
      <c r="G169" s="33" t="str">
        <f>VLOOKUP(H169,'NO TOCAR'!$A$2:$D$162,3,FALSE)</f>
        <v>Aforo en zona interiores</v>
      </c>
      <c r="H169" s="21" t="s">
        <v>286</v>
      </c>
      <c r="I169" s="33" t="str">
        <f>VLOOKUP(H169,'NO TOCAR'!$A$2:$D$162,2,FALSE)</f>
        <v>Restauración, hostelería y bares</v>
      </c>
      <c r="J169" s="33" t="str">
        <f>VLOOKUP(H169,'NO TOCAR'!$A$2:$D$162,4,FALSE)</f>
        <v>RH</v>
      </c>
      <c r="K169" s="19" t="s">
        <v>349</v>
      </c>
      <c r="L169" s="19">
        <v>30</v>
      </c>
      <c r="M169" s="18"/>
      <c r="N169" s="20"/>
      <c r="O169" s="20"/>
      <c r="P169" s="20"/>
      <c r="Q169" s="20"/>
    </row>
    <row r="170" spans="1:17" s="33" customFormat="1" x14ac:dyDescent="0.35">
      <c r="A170" s="19" t="s">
        <v>348</v>
      </c>
      <c r="B170" s="19" t="s">
        <v>350</v>
      </c>
      <c r="C170" s="19"/>
      <c r="D170" s="10">
        <v>44245</v>
      </c>
      <c r="E170" s="22">
        <v>44249</v>
      </c>
      <c r="F170" s="22"/>
      <c r="G170" s="33" t="str">
        <f>VLOOKUP(H170,'NO TOCAR'!$A$2:$D$162,3,FALSE)</f>
        <v>Ocupación máxima personas por mesa  en interiores (si diferente de exteriores)</v>
      </c>
      <c r="H170" s="21" t="s">
        <v>35</v>
      </c>
      <c r="I170" s="33" t="str">
        <f>VLOOKUP(H170,'NO TOCAR'!$A$2:$D$162,2,FALSE)</f>
        <v>Restauración, hostelería y bares</v>
      </c>
      <c r="J170" s="33" t="str">
        <f>VLOOKUP(H170,'NO TOCAR'!$A$2:$D$162,4,FALSE)</f>
        <v>RH</v>
      </c>
      <c r="K170" s="19" t="s">
        <v>352</v>
      </c>
      <c r="L170" s="19">
        <v>6</v>
      </c>
      <c r="M170" s="37"/>
      <c r="N170" s="38"/>
      <c r="O170" s="38"/>
      <c r="P170" s="38"/>
      <c r="Q170" s="38"/>
    </row>
    <row r="171" spans="1:17" s="19" customFormat="1" ht="14.5" customHeight="1" x14ac:dyDescent="0.35">
      <c r="A171" s="19" t="s">
        <v>348</v>
      </c>
      <c r="B171" s="19" t="s">
        <v>350</v>
      </c>
      <c r="D171" s="10">
        <v>44002</v>
      </c>
      <c r="E171" s="10">
        <v>44003</v>
      </c>
      <c r="F171" s="22">
        <v>44076</v>
      </c>
      <c r="G171" s="33" t="str">
        <f>VLOOKUP(H171,'NO TOCAR'!$A$2:$D$162,3,FALSE)</f>
        <v>Limitaciones a la actividad fisica grupal en exteriores</v>
      </c>
      <c r="H171" s="21" t="s">
        <v>47</v>
      </c>
      <c r="I171" s="33" t="str">
        <f>VLOOKUP(H171,'NO TOCAR'!$A$2:$D$162,2,FALSE)</f>
        <v>Deporte y actividad física</v>
      </c>
      <c r="J171" s="33" t="str">
        <f>VLOOKUP(H171,'NO TOCAR'!$A$2:$D$162,4,FALSE)</f>
        <v>AF</v>
      </c>
      <c r="K171" s="19" t="s">
        <v>352</v>
      </c>
      <c r="L171" s="19">
        <v>6</v>
      </c>
      <c r="M171" s="18"/>
      <c r="N171" s="20"/>
      <c r="O171" s="20"/>
      <c r="P171" s="20"/>
      <c r="Q171" s="20"/>
    </row>
    <row r="172" spans="1:17" s="33" customFormat="1" x14ac:dyDescent="0.35">
      <c r="A172" s="19" t="s">
        <v>348</v>
      </c>
      <c r="B172" s="19" t="s">
        <v>350</v>
      </c>
      <c r="C172" s="19"/>
      <c r="D172" s="22">
        <v>44245</v>
      </c>
      <c r="E172" s="22">
        <v>44249</v>
      </c>
      <c r="F172" s="22">
        <v>44269</v>
      </c>
      <c r="G172" s="33" t="str">
        <f>VLOOKUP(H172,'NO TOCAR'!$A$2:$D$162,3,FALSE)</f>
        <v>Aforo en locales de apuestas, bingos etc.</v>
      </c>
      <c r="H172" s="21" t="s">
        <v>57</v>
      </c>
      <c r="I172" s="33" t="str">
        <f>VLOOKUP(H172,'NO TOCAR'!$A$2:$D$162,2,FALSE)</f>
        <v>Locales de apuestas</v>
      </c>
      <c r="J172" s="33" t="str">
        <f>VLOOKUP(H172,'NO TOCAR'!$A$2:$D$162,4,FALSE)</f>
        <v>LA</v>
      </c>
      <c r="L172" s="33">
        <v>30</v>
      </c>
      <c r="M172" s="37"/>
      <c r="N172" s="38"/>
      <c r="O172" s="38"/>
      <c r="P172" s="38"/>
      <c r="Q172" s="38"/>
    </row>
    <row r="173" spans="1:17" s="33" customFormat="1" x14ac:dyDescent="0.35">
      <c r="A173" s="19" t="s">
        <v>348</v>
      </c>
      <c r="B173" s="19" t="s">
        <v>350</v>
      </c>
      <c r="C173" s="19"/>
      <c r="D173" s="22">
        <v>44245</v>
      </c>
      <c r="E173" s="22">
        <v>44249</v>
      </c>
      <c r="F173" s="22">
        <v>44269</v>
      </c>
      <c r="G173" s="33" t="str">
        <f>VLOOKUP(H173,'NO TOCAR'!$A$2:$D$162,3,FALSE)</f>
        <v>Limitación de horario en locles de apuestas, bingos etc.</v>
      </c>
      <c r="H173" s="21" t="s">
        <v>229</v>
      </c>
      <c r="I173" s="33" t="str">
        <f>VLOOKUP(H173,'NO TOCAR'!$A$2:$D$162,2,FALSE)</f>
        <v>Locales de apuestas</v>
      </c>
      <c r="J173" s="33" t="str">
        <f>VLOOKUP(H173,'NO TOCAR'!$A$2:$D$162,4,FALSE)</f>
        <v>LA</v>
      </c>
      <c r="K173" s="33" t="s">
        <v>355</v>
      </c>
      <c r="L173" s="40">
        <v>0.95833333333333337</v>
      </c>
      <c r="M173" s="37"/>
      <c r="N173" s="38"/>
      <c r="O173" s="38"/>
      <c r="P173" s="38"/>
      <c r="Q173" s="38"/>
    </row>
    <row r="174" spans="1:17" s="33" customFormat="1" x14ac:dyDescent="0.35">
      <c r="A174" s="19" t="s">
        <v>348</v>
      </c>
      <c r="B174" s="19" t="s">
        <v>350</v>
      </c>
      <c r="C174" s="19"/>
      <c r="D174" s="10">
        <v>44214</v>
      </c>
      <c r="E174" s="22">
        <v>44218</v>
      </c>
      <c r="F174" s="22"/>
      <c r="G174" s="33" t="str">
        <f>VLOOKUP(H174,'NO TOCAR'!$A$2:$D$162,3,FALSE)</f>
        <v>Suspensión de eventos profesionales (congresos, encuentros, etc.) en espacios abiertos</v>
      </c>
      <c r="H174" s="21" t="s">
        <v>331</v>
      </c>
      <c r="I174" s="33" t="str">
        <f>VLOOKUP(H174,'NO TOCAR'!$A$2:$D$162,2,FALSE)</f>
        <v>Trabajo</v>
      </c>
      <c r="J174" s="33" t="str">
        <f>VLOOKUP(H174,'NO TOCAR'!$A$2:$D$162,4,FALSE)</f>
        <v>TR</v>
      </c>
      <c r="K174" s="19" t="s">
        <v>352</v>
      </c>
      <c r="L174" s="19">
        <v>100</v>
      </c>
      <c r="M174" s="37"/>
      <c r="N174" s="38"/>
      <c r="O174" s="38"/>
      <c r="P174" s="38"/>
      <c r="Q174" s="38"/>
    </row>
    <row r="175" spans="1:17" s="33" customFormat="1" x14ac:dyDescent="0.35">
      <c r="A175" s="19" t="s">
        <v>348</v>
      </c>
      <c r="B175" s="19" t="s">
        <v>350</v>
      </c>
      <c r="C175" s="19"/>
      <c r="D175" s="10">
        <v>44245</v>
      </c>
      <c r="E175" s="22">
        <v>44249</v>
      </c>
      <c r="F175" s="22">
        <v>44258</v>
      </c>
      <c r="G175" s="33" t="str">
        <f>VLOOKUP(H175,'NO TOCAR'!$A$2:$D$162,3,FALSE)</f>
        <v>Limitación de aforo de academias, autoescuelas y otros centros de formación no reglada (incluidas actividades promovidas por las administraciones locales)</v>
      </c>
      <c r="H175" s="21" t="s">
        <v>32</v>
      </c>
      <c r="I175" s="33" t="str">
        <f>VLOOKUP(H175,'NO TOCAR'!$A$2:$D$162,2,FALSE)</f>
        <v>Educación</v>
      </c>
      <c r="J175" s="33" t="str">
        <f>VLOOKUP(H175,'NO TOCAR'!$A$2:$D$162,4,FALSE)</f>
        <v>ED</v>
      </c>
      <c r="K175" s="19" t="s">
        <v>349</v>
      </c>
      <c r="L175" s="19">
        <v>33</v>
      </c>
      <c r="M175" s="37"/>
      <c r="N175" s="38"/>
      <c r="O175" s="38"/>
      <c r="P175" s="38"/>
      <c r="Q175" s="38"/>
    </row>
    <row r="176" spans="1:17" s="33" customFormat="1" x14ac:dyDescent="0.35">
      <c r="A176" s="19" t="s">
        <v>348</v>
      </c>
      <c r="B176" s="19" t="s">
        <v>350</v>
      </c>
      <c r="C176" s="19"/>
      <c r="D176" s="10">
        <v>44245</v>
      </c>
      <c r="E176" s="22">
        <v>44249</v>
      </c>
      <c r="F176" s="22"/>
      <c r="G176" s="33" t="str">
        <f>VLOOKUP(H176,'NO TOCAR'!$A$2:$D$162,3,FALSE)</f>
        <v>Aforo en espacios comunes en residencias de estudiantes</v>
      </c>
      <c r="H176" s="21" t="s">
        <v>117</v>
      </c>
      <c r="I176" s="33" t="str">
        <f>VLOOKUP(H176,'NO TOCAR'!$A$2:$D$162,2,FALSE)</f>
        <v>Alojamientos (hoteles, albergues)</v>
      </c>
      <c r="J176" s="33" t="str">
        <f>VLOOKUP(H176,'NO TOCAR'!$A$2:$D$162,4,FALSE)</f>
        <v>AL</v>
      </c>
      <c r="K176" s="19" t="s">
        <v>349</v>
      </c>
      <c r="L176" s="19">
        <v>33</v>
      </c>
      <c r="M176" s="37"/>
      <c r="N176" s="38"/>
      <c r="O176" s="38"/>
      <c r="P176" s="38"/>
      <c r="Q176" s="38"/>
    </row>
    <row r="177" spans="1:17" s="33" customFormat="1" x14ac:dyDescent="0.35">
      <c r="A177" s="19" t="s">
        <v>348</v>
      </c>
      <c r="B177" s="19" t="s">
        <v>350</v>
      </c>
      <c r="C177" s="19"/>
      <c r="D177" s="10">
        <v>44245</v>
      </c>
      <c r="E177" s="22">
        <v>44249</v>
      </c>
      <c r="F177" s="22"/>
      <c r="G177" s="33" t="str">
        <f>VLOOKUP(H177,'NO TOCAR'!$A$2:$D$162,3,FALSE)</f>
        <v xml:space="preserve">Cierre de espacios comunes de alojamientos como hoteles </v>
      </c>
      <c r="H177" s="21" t="s">
        <v>112</v>
      </c>
      <c r="I177" s="33" t="str">
        <f>VLOOKUP(H177,'NO TOCAR'!$A$2:$D$162,2,FALSE)</f>
        <v>Alojamientos (hoteles, albergues)</v>
      </c>
      <c r="J177" s="33" t="str">
        <f>VLOOKUP(H177,'NO TOCAR'!$A$2:$D$162,4,FALSE)</f>
        <v>AL</v>
      </c>
      <c r="K177" s="19" t="s">
        <v>349</v>
      </c>
      <c r="L177" s="19">
        <v>33</v>
      </c>
      <c r="M177" s="37"/>
      <c r="N177" s="38"/>
      <c r="O177" s="38"/>
      <c r="P177" s="38"/>
      <c r="Q177" s="38"/>
    </row>
    <row r="178" spans="1:17" s="33" customFormat="1" x14ac:dyDescent="0.35">
      <c r="A178" s="19" t="s">
        <v>348</v>
      </c>
      <c r="B178" s="19" t="s">
        <v>350</v>
      </c>
      <c r="C178" s="19"/>
      <c r="D178" s="10">
        <v>44245</v>
      </c>
      <c r="E178" s="22">
        <v>44249</v>
      </c>
      <c r="F178" s="22"/>
      <c r="G178" s="33" t="str">
        <f>VLOOKUP(H178,'NO TOCAR'!$A$2:$D$162,3,FALSE)</f>
        <v>Aforo en espacios comunes de alojamientos como albergues</v>
      </c>
      <c r="H178" s="21" t="s">
        <v>41</v>
      </c>
      <c r="I178" s="33" t="str">
        <f>VLOOKUP(H178,'NO TOCAR'!$A$2:$D$162,2,FALSE)</f>
        <v>Alojamientos (hoteles, albergues)</v>
      </c>
      <c r="J178" s="33" t="str">
        <f>VLOOKUP(H178,'NO TOCAR'!$A$2:$D$162,4,FALSE)</f>
        <v>AL</v>
      </c>
      <c r="K178" s="19" t="s">
        <v>349</v>
      </c>
      <c r="L178" s="19">
        <v>33</v>
      </c>
      <c r="M178" s="37"/>
      <c r="N178" s="38"/>
      <c r="O178" s="38"/>
      <c r="P178" s="38"/>
      <c r="Q178" s="38"/>
    </row>
    <row r="179" spans="1:17" s="33" customFormat="1" x14ac:dyDescent="0.35">
      <c r="A179" s="19" t="s">
        <v>348</v>
      </c>
      <c r="B179" s="19" t="s">
        <v>350</v>
      </c>
      <c r="C179" s="19"/>
      <c r="D179" s="10">
        <v>44245</v>
      </c>
      <c r="E179" s="22">
        <v>44249</v>
      </c>
      <c r="F179" s="22"/>
      <c r="G179" s="33" t="str">
        <f>VLOOKUP(H179,'NO TOCAR'!$A$2:$D$162,3,FALSE)</f>
        <v>Limitaciones a la actividad fisica grupal en interiores</v>
      </c>
      <c r="H179" s="21" t="s">
        <v>46</v>
      </c>
      <c r="I179" s="33" t="str">
        <f>VLOOKUP(H179,'NO TOCAR'!$A$2:$D$162,2,FALSE)</f>
        <v>Deporte y actividad física</v>
      </c>
      <c r="J179" s="33" t="str">
        <f>VLOOKUP(H179,'NO TOCAR'!$A$2:$D$162,4,FALSE)</f>
        <v>AF</v>
      </c>
      <c r="K179" s="19" t="s">
        <v>352</v>
      </c>
      <c r="L179" s="19">
        <v>0</v>
      </c>
      <c r="M179" s="37"/>
      <c r="N179" s="38"/>
      <c r="O179" s="38"/>
      <c r="P179" s="38"/>
      <c r="Q179" s="38"/>
    </row>
    <row r="180" spans="1:17" s="33" customFormat="1" x14ac:dyDescent="0.35">
      <c r="A180" s="19" t="s">
        <v>348</v>
      </c>
      <c r="B180" s="19" t="s">
        <v>350</v>
      </c>
      <c r="C180" s="19"/>
      <c r="D180" s="10">
        <v>44245</v>
      </c>
      <c r="E180" s="22">
        <v>44249</v>
      </c>
      <c r="F180" s="22"/>
      <c r="G180" s="33" t="str">
        <f>VLOOKUP(H180,'NO TOCAR'!$A$2:$D$162,3,FALSE)</f>
        <v>Limitación de aforo ZONAS EXTERIORES de instalaciones y centros deportivos (fuera del ámbito regulado por el Consejo Superior de Deportes)</v>
      </c>
      <c r="H180" s="21" t="s">
        <v>51</v>
      </c>
      <c r="I180" s="33" t="s">
        <v>66</v>
      </c>
      <c r="J180" s="33" t="s">
        <v>68</v>
      </c>
      <c r="K180" s="19" t="s">
        <v>351</v>
      </c>
      <c r="L180" s="19">
        <v>1.5</v>
      </c>
      <c r="M180" s="37"/>
      <c r="N180" s="38"/>
      <c r="O180" s="38"/>
      <c r="P180" s="38"/>
      <c r="Q180" s="38"/>
    </row>
    <row r="181" spans="1:17" s="33" customFormat="1" x14ac:dyDescent="0.35">
      <c r="A181" s="19" t="s">
        <v>348</v>
      </c>
      <c r="B181" s="19" t="s">
        <v>350</v>
      </c>
      <c r="C181" s="19"/>
      <c r="D181" s="10">
        <v>44245</v>
      </c>
      <c r="E181" s="22">
        <v>44249</v>
      </c>
      <c r="F181" s="22"/>
      <c r="G181" s="33" t="str">
        <f>VLOOKUP(H181,'NO TOCAR'!$A$2:$D$162,3,FALSE)</f>
        <v>Aforo de asistencia de público en eventos deportivos en exteriores</v>
      </c>
      <c r="H181" s="21" t="s">
        <v>49</v>
      </c>
      <c r="I181" s="33" t="s">
        <v>66</v>
      </c>
      <c r="J181" s="33" t="s">
        <v>68</v>
      </c>
      <c r="K181" s="19" t="s">
        <v>351</v>
      </c>
      <c r="L181" s="19">
        <v>1.5</v>
      </c>
      <c r="M181" s="37"/>
      <c r="N181" s="38"/>
      <c r="O181" s="38"/>
      <c r="P181" s="38"/>
      <c r="Q181" s="38"/>
    </row>
    <row r="182" spans="1:17" s="33" customFormat="1" x14ac:dyDescent="0.35">
      <c r="A182" s="19" t="s">
        <v>348</v>
      </c>
      <c r="B182" s="19" t="s">
        <v>350</v>
      </c>
      <c r="C182" s="19"/>
      <c r="D182" s="10">
        <v>44245</v>
      </c>
      <c r="E182" s="22">
        <v>44249</v>
      </c>
      <c r="F182" s="22"/>
      <c r="G182" s="33" t="str">
        <f>VLOOKUP(H182,'NO TOCAR'!$A$2:$D$162,3,FALSE)</f>
        <v>Aforo de asistencia de público en eventos deportivos en exteriores</v>
      </c>
      <c r="H182" s="21" t="s">
        <v>49</v>
      </c>
      <c r="I182" s="33" t="s">
        <v>66</v>
      </c>
      <c r="J182" s="33" t="s">
        <v>68</v>
      </c>
      <c r="K182" s="19" t="s">
        <v>349</v>
      </c>
      <c r="L182" s="19">
        <v>50</v>
      </c>
      <c r="M182" s="37"/>
      <c r="N182" s="38"/>
      <c r="O182" s="38"/>
      <c r="P182" s="38"/>
      <c r="Q182" s="38"/>
    </row>
    <row r="183" spans="1:17" s="33" customFormat="1" x14ac:dyDescent="0.35">
      <c r="A183" s="19" t="s">
        <v>348</v>
      </c>
      <c r="B183" s="19" t="s">
        <v>350</v>
      </c>
      <c r="C183" s="19"/>
      <c r="D183" s="10">
        <v>44245</v>
      </c>
      <c r="E183" s="22">
        <v>44249</v>
      </c>
      <c r="F183" s="22"/>
      <c r="G183" s="33" t="str">
        <f>VLOOKUP(H183,'NO TOCAR'!$A$2:$D$162,3,FALSE)</f>
        <v>Limitación de aforo ZONAS INTERIORES de instalaciones y centros deportivos (fuera del ámbito regulado por el Consejo Superior de Deportes)</v>
      </c>
      <c r="H183" s="21" t="s">
        <v>48</v>
      </c>
      <c r="I183" s="33" t="s">
        <v>66</v>
      </c>
      <c r="J183" s="33" t="s">
        <v>68</v>
      </c>
      <c r="K183" s="19" t="s">
        <v>352</v>
      </c>
      <c r="L183" s="19">
        <v>6</v>
      </c>
      <c r="M183" s="37"/>
      <c r="N183" s="38"/>
      <c r="O183" s="38"/>
      <c r="P183" s="38"/>
      <c r="Q183" s="38"/>
    </row>
    <row r="184" spans="1:17" s="33" customFormat="1" x14ac:dyDescent="0.35">
      <c r="A184" s="19" t="s">
        <v>348</v>
      </c>
      <c r="B184" s="19" t="s">
        <v>350</v>
      </c>
      <c r="C184" s="19"/>
      <c r="D184" s="10">
        <v>44245</v>
      </c>
      <c r="E184" s="22">
        <v>44249</v>
      </c>
      <c r="F184" s="22"/>
      <c r="G184" s="33" t="str">
        <f>VLOOKUP(H184,'NO TOCAR'!$A$2:$D$162,3,FALSE)</f>
        <v>Limitación de aforo ZONAS EXTERIORES de instalaciones y centros deportivos (fuera del ámbito regulado por el Consejo Superior de Deportes)</v>
      </c>
      <c r="H184" s="21" t="s">
        <v>51</v>
      </c>
      <c r="I184" s="33" t="s">
        <v>66</v>
      </c>
      <c r="J184" s="33" t="s">
        <v>68</v>
      </c>
      <c r="K184" s="19" t="s">
        <v>352</v>
      </c>
      <c r="L184" s="19">
        <v>6</v>
      </c>
      <c r="M184" s="37"/>
      <c r="N184" s="38"/>
      <c r="O184" s="38"/>
      <c r="P184" s="38"/>
      <c r="Q184" s="38"/>
    </row>
    <row r="185" spans="1:17" s="33" customFormat="1" x14ac:dyDescent="0.35">
      <c r="A185" s="33" t="s">
        <v>348</v>
      </c>
      <c r="B185" s="33" t="s">
        <v>350</v>
      </c>
      <c r="D185" s="10">
        <v>44245</v>
      </c>
      <c r="E185" s="22">
        <v>44249</v>
      </c>
      <c r="F185" s="22">
        <v>44269</v>
      </c>
      <c r="G185" s="33" t="str">
        <f>VLOOKUP(H185,'NO TOCAR'!$A$2:$D$162,3,FALSE)</f>
        <v>Limitación de aforo ZONAS INTERIORES de instalaciones y centros deportivos (fuera del ámbito regulado por el Consejo Superior de Deportes)</v>
      </c>
      <c r="H185" s="36" t="s">
        <v>48</v>
      </c>
      <c r="I185" s="33" t="s">
        <v>66</v>
      </c>
      <c r="J185" s="33" t="s">
        <v>68</v>
      </c>
      <c r="K185" s="33" t="s">
        <v>349</v>
      </c>
      <c r="L185" s="33">
        <v>30</v>
      </c>
      <c r="M185" s="37"/>
      <c r="N185" s="38"/>
      <c r="O185" s="38"/>
      <c r="P185" s="38"/>
      <c r="Q185" s="38"/>
    </row>
    <row r="186" spans="1:17" s="33" customFormat="1" x14ac:dyDescent="0.35">
      <c r="A186" s="33" t="s">
        <v>348</v>
      </c>
      <c r="B186" s="33" t="s">
        <v>350</v>
      </c>
      <c r="D186" s="10">
        <v>44245</v>
      </c>
      <c r="E186" s="22">
        <v>44249</v>
      </c>
      <c r="F186" s="22"/>
      <c r="G186" s="33" t="str">
        <f>VLOOKUP(H186,'NO TOCAR'!$A$2:$D$162,3,FALSE)</f>
        <v>Limitación de aforo ZONAS EXTERIORES de instalaciones y centros deportivos (fuera del ámbito regulado por el Consejo Superior de Deportes)</v>
      </c>
      <c r="H186" s="36" t="s">
        <v>51</v>
      </c>
      <c r="I186" s="33" t="s">
        <v>66</v>
      </c>
      <c r="J186" s="33" t="s">
        <v>68</v>
      </c>
      <c r="K186" s="33" t="s">
        <v>349</v>
      </c>
      <c r="L186" s="33">
        <v>30</v>
      </c>
      <c r="M186" s="37"/>
      <c r="N186" s="38"/>
      <c r="O186" s="38"/>
      <c r="P186" s="38"/>
      <c r="Q186" s="38"/>
    </row>
    <row r="187" spans="1:17" s="33" customFormat="1" x14ac:dyDescent="0.35">
      <c r="A187" s="19" t="s">
        <v>348</v>
      </c>
      <c r="B187" s="19" t="s">
        <v>350</v>
      </c>
      <c r="C187" s="19"/>
      <c r="D187" s="10">
        <v>44245</v>
      </c>
      <c r="E187" s="22">
        <v>44249</v>
      </c>
      <c r="F187" s="22"/>
      <c r="G187" s="33" t="str">
        <f>VLOOKUP(H187,'NO TOCAR'!$A$2:$D$162,3,FALSE)</f>
        <v>Prohibición de asistencia de público en eventos deportivos en interiores</v>
      </c>
      <c r="H187" s="21" t="s">
        <v>91</v>
      </c>
      <c r="I187" s="33" t="s">
        <v>66</v>
      </c>
      <c r="J187" s="33" t="s">
        <v>68</v>
      </c>
      <c r="K187" s="19"/>
      <c r="L187" s="19"/>
      <c r="M187" s="37"/>
      <c r="N187" s="38"/>
      <c r="O187" s="38"/>
      <c r="P187" s="38"/>
      <c r="Q187" s="38"/>
    </row>
    <row r="188" spans="1:17" s="46" customFormat="1" ht="14.5" customHeight="1" x14ac:dyDescent="0.35">
      <c r="A188" s="19" t="s">
        <v>348</v>
      </c>
      <c r="B188" s="19" t="s">
        <v>350</v>
      </c>
      <c r="C188" s="19"/>
      <c r="D188" s="10">
        <v>44245</v>
      </c>
      <c r="E188" s="22">
        <v>44249</v>
      </c>
      <c r="F188" s="22"/>
      <c r="G188" s="33" t="s">
        <v>283</v>
      </c>
      <c r="H188" s="21" t="s">
        <v>284</v>
      </c>
      <c r="I188" s="33" t="s">
        <v>272</v>
      </c>
      <c r="J188" s="33" t="s">
        <v>274</v>
      </c>
      <c r="K188" s="19" t="s">
        <v>349</v>
      </c>
      <c r="L188" s="19">
        <v>60</v>
      </c>
      <c r="M188" s="18"/>
      <c r="N188" s="20"/>
      <c r="O188" s="20"/>
      <c r="P188" s="20"/>
      <c r="Q188" s="20"/>
    </row>
    <row r="189" spans="1:17" s="19" customFormat="1" ht="14.5" customHeight="1" x14ac:dyDescent="0.35">
      <c r="A189" s="19" t="s">
        <v>348</v>
      </c>
      <c r="B189" s="19" t="s">
        <v>350</v>
      </c>
      <c r="D189" s="10">
        <v>44245</v>
      </c>
      <c r="E189" s="22">
        <v>44249</v>
      </c>
      <c r="F189" s="22"/>
      <c r="G189" s="33" t="s">
        <v>283</v>
      </c>
      <c r="H189" s="21" t="s">
        <v>284</v>
      </c>
      <c r="I189" s="33" t="s">
        <v>272</v>
      </c>
      <c r="J189" s="33" t="s">
        <v>274</v>
      </c>
      <c r="K189" s="19" t="s">
        <v>352</v>
      </c>
      <c r="L189" s="19">
        <v>75</v>
      </c>
      <c r="M189" s="18"/>
      <c r="N189" s="20"/>
      <c r="O189" s="20"/>
      <c r="P189" s="20"/>
      <c r="Q189" s="20"/>
    </row>
    <row r="190" spans="1:17" s="19" customFormat="1" ht="14.5" customHeight="1" x14ac:dyDescent="0.35">
      <c r="A190" s="19" t="s">
        <v>348</v>
      </c>
      <c r="B190" s="19" t="s">
        <v>350</v>
      </c>
      <c r="D190" s="10">
        <v>44245</v>
      </c>
      <c r="E190" s="22">
        <v>44249</v>
      </c>
      <c r="F190" s="22"/>
      <c r="G190" s="33" t="s">
        <v>289</v>
      </c>
      <c r="H190" s="21" t="s">
        <v>33</v>
      </c>
      <c r="I190" s="33" t="s">
        <v>272</v>
      </c>
      <c r="J190" s="33" t="s">
        <v>274</v>
      </c>
      <c r="K190" s="19" t="s">
        <v>352</v>
      </c>
      <c r="L190" s="19">
        <v>6</v>
      </c>
      <c r="M190" s="18"/>
      <c r="N190" s="20"/>
      <c r="O190" s="20"/>
      <c r="P190" s="20"/>
      <c r="Q190" s="20"/>
    </row>
    <row r="191" spans="1:17" s="19" customFormat="1" ht="14.5" customHeight="1" x14ac:dyDescent="0.35">
      <c r="A191" s="19" t="s">
        <v>348</v>
      </c>
      <c r="B191" s="19" t="s">
        <v>350</v>
      </c>
      <c r="D191" s="10">
        <v>44245</v>
      </c>
      <c r="E191" s="22">
        <v>44249</v>
      </c>
      <c r="F191" s="22"/>
      <c r="G191" s="33" t="s">
        <v>281</v>
      </c>
      <c r="H191" s="21" t="s">
        <v>282</v>
      </c>
      <c r="I191" s="33" t="s">
        <v>272</v>
      </c>
      <c r="J191" s="33" t="s">
        <v>274</v>
      </c>
      <c r="K191" s="19" t="s">
        <v>355</v>
      </c>
      <c r="L191" s="40">
        <v>0.95833333333333337</v>
      </c>
      <c r="M191" s="18"/>
      <c r="N191" s="20"/>
      <c r="O191" s="20"/>
      <c r="P191" s="20"/>
      <c r="Q191" s="20"/>
    </row>
    <row r="192" spans="1:17" s="63" customFormat="1" ht="14.5" customHeight="1" x14ac:dyDescent="0.35">
      <c r="A192" s="63" t="s">
        <v>348</v>
      </c>
      <c r="B192" s="63" t="s">
        <v>350</v>
      </c>
      <c r="D192" s="84">
        <v>44245</v>
      </c>
      <c r="E192" s="84">
        <v>44249</v>
      </c>
      <c r="F192" s="84"/>
      <c r="G192" s="63" t="str">
        <f>VLOOKUP(H192,'NO TOCAR'!$A$2:$D$162,3,FALSE)</f>
        <v>Limitación de aforo en actos y espectáculos culturales en exteriores</v>
      </c>
      <c r="H192" s="85" t="s">
        <v>140</v>
      </c>
      <c r="I192" s="63" t="s">
        <v>121</v>
      </c>
      <c r="J192" s="63" t="s">
        <v>123</v>
      </c>
      <c r="K192" s="63" t="s">
        <v>381</v>
      </c>
      <c r="M192" s="67"/>
      <c r="N192" s="68"/>
      <c r="O192" s="68"/>
      <c r="P192" s="68"/>
      <c r="Q192" s="68"/>
    </row>
    <row r="193" spans="1:17" s="63" customFormat="1" ht="14.5" customHeight="1" x14ac:dyDescent="0.35">
      <c r="A193" s="63" t="s">
        <v>348</v>
      </c>
      <c r="B193" s="63" t="s">
        <v>350</v>
      </c>
      <c r="D193" s="84">
        <v>44245</v>
      </c>
      <c r="E193" s="84">
        <v>44249</v>
      </c>
      <c r="F193" s="84"/>
      <c r="G193" s="63" t="str">
        <f>VLOOKUP(H193,'NO TOCAR'!$A$2:$D$162,3,FALSE)</f>
        <v>Aforo en festejos taurinos</v>
      </c>
      <c r="H193" s="85" t="s">
        <v>56</v>
      </c>
      <c r="I193" s="63" t="s">
        <v>121</v>
      </c>
      <c r="J193" s="63" t="s">
        <v>123</v>
      </c>
      <c r="K193" s="63" t="s">
        <v>381</v>
      </c>
      <c r="M193" s="67"/>
      <c r="N193" s="68"/>
      <c r="O193" s="68"/>
      <c r="P193" s="68"/>
      <c r="Q193" s="68"/>
    </row>
    <row r="194" spans="1:17" s="63" customFormat="1" ht="14.5" customHeight="1" x14ac:dyDescent="0.35">
      <c r="A194" s="63" t="s">
        <v>348</v>
      </c>
      <c r="B194" s="63" t="s">
        <v>350</v>
      </c>
      <c r="D194" s="84">
        <v>44245</v>
      </c>
      <c r="E194" s="84">
        <v>44249</v>
      </c>
      <c r="F194" s="84"/>
      <c r="G194" s="63" t="str">
        <f>VLOOKUP(H194,'NO TOCAR'!$A$2:$D$162,3,FALSE)</f>
        <v>Aforo de zoos y parques de atracciones</v>
      </c>
      <c r="H194" s="86" t="s">
        <v>55</v>
      </c>
      <c r="I194" s="63" t="s">
        <v>121</v>
      </c>
      <c r="J194" s="63" t="s">
        <v>123</v>
      </c>
      <c r="K194" s="63" t="s">
        <v>381</v>
      </c>
      <c r="M194" s="67"/>
      <c r="N194" s="68"/>
      <c r="O194" s="68"/>
      <c r="P194" s="68"/>
      <c r="Q194" s="68"/>
    </row>
    <row r="195" spans="1:17" s="33" customFormat="1" ht="14.5" customHeight="1" x14ac:dyDescent="0.35">
      <c r="A195" s="33" t="s">
        <v>348</v>
      </c>
      <c r="B195" s="33" t="s">
        <v>350</v>
      </c>
      <c r="D195" s="41">
        <v>44245</v>
      </c>
      <c r="E195" s="41">
        <v>44249</v>
      </c>
      <c r="F195" s="41"/>
      <c r="G195" s="33" t="str">
        <f>VLOOKUP(H195,'NO TOCAR'!$A$2:$D$162,3,FALSE)</f>
        <v>Limitación de aforo en bilbiotecas, museos y monumentos en general</v>
      </c>
      <c r="H195" s="87" t="s">
        <v>43</v>
      </c>
      <c r="I195" s="33" t="s">
        <v>121</v>
      </c>
      <c r="J195" s="33" t="s">
        <v>123</v>
      </c>
      <c r="K195" s="33" t="s">
        <v>349</v>
      </c>
      <c r="L195" s="33">
        <v>50</v>
      </c>
      <c r="M195" s="37"/>
      <c r="N195" s="38"/>
      <c r="O195" s="38"/>
      <c r="P195" s="38"/>
      <c r="Q195" s="38"/>
    </row>
    <row r="196" spans="1:17" s="33" customFormat="1" ht="14.5" customHeight="1" x14ac:dyDescent="0.35">
      <c r="A196" s="33" t="s">
        <v>348</v>
      </c>
      <c r="B196" s="33" t="s">
        <v>350</v>
      </c>
      <c r="D196" s="41">
        <v>44245</v>
      </c>
      <c r="E196" s="41">
        <v>44249</v>
      </c>
      <c r="F196" s="41"/>
      <c r="G196" s="33" t="str">
        <f>VLOOKUP(H196,'NO TOCAR'!$A$2:$D$162,3,FALSE)</f>
        <v>Limitación de aforo en bilbiotecas, museos y monumentos en general</v>
      </c>
      <c r="H196" s="87" t="s">
        <v>43</v>
      </c>
      <c r="I196" s="33" t="s">
        <v>121</v>
      </c>
      <c r="J196" s="33" t="s">
        <v>123</v>
      </c>
      <c r="K196" s="33" t="s">
        <v>352</v>
      </c>
      <c r="L196" s="33">
        <v>6</v>
      </c>
      <c r="M196" s="37"/>
      <c r="N196" s="38"/>
      <c r="O196" s="38"/>
      <c r="P196" s="38"/>
      <c r="Q196" s="38"/>
    </row>
    <row r="197" spans="1:17" s="33" customFormat="1" ht="16" customHeight="1" x14ac:dyDescent="0.35">
      <c r="A197" s="19" t="s">
        <v>348</v>
      </c>
      <c r="B197" s="19" t="s">
        <v>350</v>
      </c>
      <c r="C197" s="19"/>
      <c r="D197" s="22">
        <v>44245</v>
      </c>
      <c r="E197" s="22">
        <v>44249</v>
      </c>
      <c r="F197" s="22"/>
      <c r="G197" s="33" t="str">
        <f>VLOOKUP(H197,'NO TOCAR'!$A$2:$D$162,3,FALSE)</f>
        <v>Limitación de aforo en cines, teatros, auditorios, circos de carpa y espacios similares, así como locales y establecimientos destinados a actos y espectáculos culturales en interior</v>
      </c>
      <c r="H197" s="27" t="s">
        <v>44</v>
      </c>
      <c r="I197" s="33" t="s">
        <v>121</v>
      </c>
      <c r="J197" s="33" t="s">
        <v>123</v>
      </c>
      <c r="K197" s="33" t="s">
        <v>349</v>
      </c>
      <c r="L197" s="33">
        <v>50</v>
      </c>
      <c r="M197" s="37"/>
      <c r="N197" s="38"/>
      <c r="O197" s="38"/>
      <c r="P197" s="38"/>
      <c r="Q197" s="38"/>
    </row>
    <row r="198" spans="1:17" s="33" customFormat="1" x14ac:dyDescent="0.35">
      <c r="A198" s="19" t="s">
        <v>348</v>
      </c>
      <c r="B198" s="19" t="s">
        <v>350</v>
      </c>
      <c r="C198" s="19"/>
      <c r="D198" s="10">
        <v>44245</v>
      </c>
      <c r="E198" s="22">
        <v>44249</v>
      </c>
      <c r="F198" s="22"/>
      <c r="G198" s="33" t="str">
        <f>VLOOKUP(H198,'NO TOCAR'!$A$2:$D$162,3,FALSE)</f>
        <v>Limitación de aforo piscinas deportivas</v>
      </c>
      <c r="H198" s="21" t="s">
        <v>82</v>
      </c>
      <c r="I198" s="33" t="s">
        <v>66</v>
      </c>
      <c r="J198" s="33" t="s">
        <v>68</v>
      </c>
      <c r="K198" s="19" t="s">
        <v>382</v>
      </c>
      <c r="L198" s="19">
        <v>50</v>
      </c>
      <c r="M198" s="37"/>
      <c r="N198" s="38"/>
      <c r="O198" s="38"/>
      <c r="P198" s="38"/>
      <c r="Q198" s="38"/>
    </row>
    <row r="199" spans="1:17" s="33" customFormat="1" x14ac:dyDescent="0.35">
      <c r="A199" s="19" t="s">
        <v>348</v>
      </c>
      <c r="B199" s="19" t="s">
        <v>350</v>
      </c>
      <c r="C199" s="19"/>
      <c r="D199" s="10">
        <v>44245</v>
      </c>
      <c r="E199" s="22">
        <v>44249</v>
      </c>
      <c r="F199" s="22"/>
      <c r="G199" s="33" t="str">
        <f>VLOOKUP(H199,'NO TOCAR'!$A$2:$D$162,3,FALSE)</f>
        <v>Limitación de aforo piscinas deportivas</v>
      </c>
      <c r="H199" s="21" t="s">
        <v>82</v>
      </c>
      <c r="I199" s="33" t="s">
        <v>66</v>
      </c>
      <c r="J199" s="33" t="s">
        <v>68</v>
      </c>
      <c r="K199" s="19" t="s">
        <v>383</v>
      </c>
      <c r="L199" s="19">
        <v>33</v>
      </c>
      <c r="M199" s="37"/>
      <c r="N199" s="38"/>
      <c r="O199" s="38"/>
      <c r="P199" s="38"/>
      <c r="Q199" s="38"/>
    </row>
    <row r="200" spans="1:17" s="33" customFormat="1" x14ac:dyDescent="0.35">
      <c r="A200" s="19" t="s">
        <v>348</v>
      </c>
      <c r="B200" s="19" t="s">
        <v>350</v>
      </c>
      <c r="C200" s="19"/>
      <c r="D200" s="10">
        <v>44259</v>
      </c>
      <c r="E200" s="10">
        <v>44259</v>
      </c>
      <c r="F200" s="20"/>
      <c r="G200" s="33" t="str">
        <f>VLOOKUP(H200,'NO TOCAR'!$A$2:$D$162,3,FALSE)</f>
        <v>Limitacion de aforo en transporte público</v>
      </c>
      <c r="H200" s="21" t="s">
        <v>316</v>
      </c>
      <c r="I200" s="33" t="str">
        <f>VLOOKUP(H200,'NO TOCAR'!$A$2:$D$162,2,FALSE)</f>
        <v>Transporte público</v>
      </c>
      <c r="J200" s="33" t="str">
        <f>VLOOKUP(H200,'NO TOCAR'!$A$2:$D$162,4,FALSE)</f>
        <v>TP</v>
      </c>
      <c r="K200" s="19" t="s">
        <v>384</v>
      </c>
      <c r="L200" s="19">
        <v>2</v>
      </c>
      <c r="M200" s="37"/>
      <c r="N200" s="38"/>
      <c r="O200" s="38"/>
      <c r="P200" s="38"/>
      <c r="Q200" s="38"/>
    </row>
    <row r="201" spans="1:17" s="19" customFormat="1" ht="14.5" customHeight="1" x14ac:dyDescent="0.35">
      <c r="A201" s="19" t="s">
        <v>348</v>
      </c>
      <c r="B201" s="19" t="s">
        <v>350</v>
      </c>
      <c r="D201" s="10">
        <v>44245</v>
      </c>
      <c r="E201" s="10">
        <v>44249</v>
      </c>
      <c r="F201" s="22"/>
      <c r="G201" s="33" t="s">
        <v>182</v>
      </c>
      <c r="H201" s="21" t="s">
        <v>31</v>
      </c>
      <c r="I201" s="33" t="s">
        <v>163</v>
      </c>
      <c r="J201" s="33" t="s">
        <v>165</v>
      </c>
      <c r="K201" s="19" t="s">
        <v>349</v>
      </c>
      <c r="L201" s="19">
        <v>50</v>
      </c>
      <c r="M201" s="18"/>
      <c r="N201" s="20"/>
      <c r="O201" s="20"/>
      <c r="P201" s="20"/>
      <c r="Q201" s="20"/>
    </row>
    <row r="202" spans="1:17" s="33" customFormat="1" x14ac:dyDescent="0.35">
      <c r="A202" s="19" t="s">
        <v>348</v>
      </c>
      <c r="B202" s="19" t="s">
        <v>350</v>
      </c>
      <c r="C202" s="19"/>
      <c r="D202" s="10">
        <v>44259</v>
      </c>
      <c r="E202" s="22">
        <v>44259</v>
      </c>
      <c r="F202" s="22"/>
      <c r="G202" s="33" t="str">
        <f>VLOOKUP(H202,'NO TOCAR'!$A$2:$D$162,3,FALSE)</f>
        <v>Limitación de aforo de academias, autoescuelas y otros centros de formación no reglada (incluidas actividades promovidas por las administraciones locales)</v>
      </c>
      <c r="H202" s="21" t="s">
        <v>32</v>
      </c>
      <c r="I202" s="33" t="str">
        <f>VLOOKUP(H202,'NO TOCAR'!$A$2:$D$162,2,FALSE)</f>
        <v>Educación</v>
      </c>
      <c r="J202" s="33" t="str">
        <f>VLOOKUP(H202,'NO TOCAR'!$A$2:$D$162,4,FALSE)</f>
        <v>ED</v>
      </c>
      <c r="K202" s="19" t="s">
        <v>349</v>
      </c>
      <c r="L202" s="19">
        <v>50</v>
      </c>
      <c r="M202" s="37"/>
      <c r="N202" s="38"/>
      <c r="O202" s="38"/>
      <c r="P202" s="38"/>
      <c r="Q202" s="38"/>
    </row>
    <row r="203" spans="1:17" s="46" customFormat="1" ht="14.5" customHeight="1" x14ac:dyDescent="0.35">
      <c r="A203" s="19" t="s">
        <v>348</v>
      </c>
      <c r="B203" s="19" t="s">
        <v>350</v>
      </c>
      <c r="C203" s="19"/>
      <c r="D203" s="10">
        <v>44266</v>
      </c>
      <c r="E203" s="22">
        <v>44270</v>
      </c>
      <c r="F203" s="22"/>
      <c r="G203" s="33" t="str">
        <f>VLOOKUP(H203,'NO TOCAR'!$A$2:$D$162,3,FALSE)</f>
        <v>Aforo en zona interiores</v>
      </c>
      <c r="H203" s="21" t="s">
        <v>286</v>
      </c>
      <c r="I203" s="33" t="str">
        <f>VLOOKUP(H203,'NO TOCAR'!$A$2:$D$162,2,FALSE)</f>
        <v>Restauración, hostelería y bares</v>
      </c>
      <c r="J203" s="33" t="str">
        <f>VLOOKUP(H203,'NO TOCAR'!$A$2:$D$162,4,FALSE)</f>
        <v>RH</v>
      </c>
      <c r="K203" s="19" t="s">
        <v>349</v>
      </c>
      <c r="L203" s="19">
        <v>50</v>
      </c>
      <c r="M203" s="18"/>
      <c r="N203" s="20"/>
      <c r="O203" s="20"/>
      <c r="P203" s="20"/>
      <c r="Q203" s="20"/>
    </row>
    <row r="204" spans="1:17" s="33" customFormat="1" x14ac:dyDescent="0.35">
      <c r="A204" s="33" t="s">
        <v>348</v>
      </c>
      <c r="B204" s="33" t="s">
        <v>350</v>
      </c>
      <c r="D204" s="10">
        <v>44266</v>
      </c>
      <c r="E204" s="22">
        <v>44270</v>
      </c>
      <c r="F204" s="22"/>
      <c r="G204" s="33" t="str">
        <f>VLOOKUP(H204,'NO TOCAR'!$A$2:$D$162,3,FALSE)</f>
        <v>Limitación de aforo ZONAS INTERIORES de instalaciones y centros deportivos (fuera del ámbito regulado por el Consejo Superior de Deportes)</v>
      </c>
      <c r="H204" s="36" t="s">
        <v>48</v>
      </c>
      <c r="I204" s="33" t="s">
        <v>66</v>
      </c>
      <c r="J204" s="33" t="s">
        <v>68</v>
      </c>
      <c r="K204" s="33" t="s">
        <v>349</v>
      </c>
      <c r="L204" s="33">
        <v>50</v>
      </c>
      <c r="M204" s="37"/>
      <c r="N204" s="38"/>
      <c r="O204" s="38"/>
      <c r="P204" s="38"/>
      <c r="Q204" s="38"/>
    </row>
    <row r="205" spans="1:17" s="33" customFormat="1" x14ac:dyDescent="0.35">
      <c r="A205" s="19" t="s">
        <v>348</v>
      </c>
      <c r="B205" s="19" t="s">
        <v>350</v>
      </c>
      <c r="C205" s="19"/>
      <c r="D205" s="10">
        <v>44266</v>
      </c>
      <c r="E205" s="22">
        <v>44270</v>
      </c>
      <c r="F205" s="22"/>
      <c r="G205" s="33" t="str">
        <f>VLOOKUP(H205,'NO TOCAR'!$A$2:$D$162,3,FALSE)</f>
        <v>Aforo en locales de apuestas, bingos etc.</v>
      </c>
      <c r="H205" s="21" t="s">
        <v>57</v>
      </c>
      <c r="I205" s="33" t="str">
        <f>VLOOKUP(H205,'NO TOCAR'!$A$2:$D$162,2,FALSE)</f>
        <v>Locales de apuestas</v>
      </c>
      <c r="J205" s="33" t="str">
        <f>VLOOKUP(H205,'NO TOCAR'!$A$2:$D$162,4,FALSE)</f>
        <v>LA</v>
      </c>
      <c r="L205" s="33">
        <v>50</v>
      </c>
      <c r="M205" s="37"/>
      <c r="N205" s="38"/>
      <c r="O205" s="38"/>
      <c r="P205" s="38"/>
      <c r="Q205" s="38"/>
    </row>
    <row r="206" spans="1:17" s="33" customFormat="1" x14ac:dyDescent="0.35">
      <c r="D206" s="34"/>
      <c r="E206" s="41"/>
      <c r="F206" s="38"/>
      <c r="G206" s="42"/>
      <c r="H206" s="36"/>
      <c r="M206" s="37"/>
      <c r="N206" s="38"/>
      <c r="O206" s="38"/>
      <c r="P206" s="38"/>
      <c r="Q206" s="38"/>
    </row>
    <row r="207" spans="1:17" s="33" customFormat="1" x14ac:dyDescent="0.35">
      <c r="D207" s="34"/>
      <c r="E207" s="41"/>
      <c r="F207" s="38"/>
      <c r="G207" s="42"/>
      <c r="H207" s="36"/>
      <c r="M207" s="37"/>
      <c r="N207" s="38"/>
      <c r="O207" s="38"/>
      <c r="P207" s="38"/>
      <c r="Q207" s="38"/>
    </row>
    <row r="208" spans="1:17" s="33" customFormat="1" x14ac:dyDescent="0.35">
      <c r="D208" s="34"/>
      <c r="E208" s="41"/>
      <c r="F208" s="38"/>
      <c r="G208" s="42"/>
      <c r="H208" s="36"/>
      <c r="M208" s="37"/>
      <c r="N208" s="38"/>
      <c r="O208" s="38"/>
      <c r="P208" s="38"/>
      <c r="Q208" s="38"/>
    </row>
    <row r="209" spans="4:17" s="33" customFormat="1" x14ac:dyDescent="0.35">
      <c r="D209" s="34"/>
      <c r="E209" s="41"/>
      <c r="F209" s="38"/>
      <c r="G209" s="42"/>
      <c r="H209" s="36"/>
      <c r="M209" s="37"/>
      <c r="N209" s="38"/>
      <c r="O209" s="38"/>
      <c r="P209" s="38"/>
      <c r="Q209" s="38"/>
    </row>
    <row r="210" spans="4:17" s="33" customFormat="1" x14ac:dyDescent="0.35">
      <c r="D210" s="34"/>
      <c r="E210" s="41"/>
      <c r="F210" s="38"/>
      <c r="G210" s="42"/>
      <c r="H210" s="36"/>
      <c r="M210" s="37"/>
      <c r="N210" s="38"/>
      <c r="O210" s="38"/>
      <c r="P210" s="38"/>
      <c r="Q210" s="38"/>
    </row>
    <row r="211" spans="4:17" s="33" customFormat="1" x14ac:dyDescent="0.35">
      <c r="D211" s="34"/>
      <c r="E211" s="41"/>
      <c r="F211" s="38"/>
      <c r="G211" s="42"/>
      <c r="H211" s="36"/>
      <c r="M211" s="37"/>
      <c r="N211" s="38"/>
      <c r="O211" s="38"/>
      <c r="P211" s="38"/>
      <c r="Q211" s="38"/>
    </row>
    <row r="212" spans="4:17" s="33" customFormat="1" x14ac:dyDescent="0.35">
      <c r="D212" s="34"/>
      <c r="E212" s="41"/>
      <c r="F212" s="38"/>
      <c r="G212" s="42"/>
      <c r="H212" s="36"/>
      <c r="M212" s="37"/>
      <c r="N212" s="38"/>
      <c r="O212" s="38"/>
      <c r="P212" s="38"/>
      <c r="Q212" s="38"/>
    </row>
    <row r="213" spans="4:17" s="33" customFormat="1" x14ac:dyDescent="0.35">
      <c r="D213" s="34"/>
      <c r="E213" s="41"/>
      <c r="F213" s="38"/>
      <c r="G213" s="42"/>
      <c r="H213" s="36"/>
      <c r="M213" s="37"/>
      <c r="N213" s="38"/>
      <c r="O213" s="38"/>
      <c r="P213" s="38"/>
      <c r="Q213" s="38"/>
    </row>
    <row r="214" spans="4:17" s="33" customFormat="1" x14ac:dyDescent="0.35">
      <c r="D214" s="34"/>
      <c r="E214" s="41"/>
      <c r="F214" s="38"/>
      <c r="G214" s="42"/>
      <c r="H214" s="36"/>
      <c r="M214" s="37"/>
      <c r="N214" s="38"/>
      <c r="O214" s="38"/>
      <c r="P214" s="38"/>
      <c r="Q214" s="38"/>
    </row>
    <row r="215" spans="4:17" s="33" customFormat="1" x14ac:dyDescent="0.35">
      <c r="D215" s="34"/>
      <c r="E215" s="41"/>
      <c r="F215" s="38"/>
      <c r="G215" s="42"/>
      <c r="H215" s="36"/>
      <c r="M215" s="37"/>
      <c r="N215" s="38"/>
      <c r="O215" s="38"/>
      <c r="P215" s="38"/>
      <c r="Q215" s="38"/>
    </row>
    <row r="216" spans="4:17" s="33" customFormat="1" x14ac:dyDescent="0.35">
      <c r="D216" s="34"/>
      <c r="E216" s="41"/>
      <c r="F216" s="38"/>
      <c r="G216" s="42"/>
      <c r="H216" s="36"/>
      <c r="M216" s="37"/>
      <c r="N216" s="38"/>
      <c r="O216" s="38"/>
      <c r="P216" s="38"/>
      <c r="Q216" s="38"/>
    </row>
    <row r="217" spans="4:17" s="33" customFormat="1" x14ac:dyDescent="0.35">
      <c r="D217" s="34"/>
      <c r="E217" s="41"/>
      <c r="F217" s="38"/>
      <c r="G217" s="42"/>
      <c r="H217" s="36"/>
      <c r="M217" s="37"/>
      <c r="N217" s="38"/>
      <c r="O217" s="38"/>
      <c r="P217" s="38"/>
      <c r="Q217" s="38"/>
    </row>
    <row r="218" spans="4:17" s="33" customFormat="1" x14ac:dyDescent="0.35">
      <c r="D218" s="34"/>
      <c r="E218" s="41"/>
      <c r="F218" s="38"/>
      <c r="G218" s="42"/>
      <c r="H218" s="36"/>
      <c r="M218" s="37"/>
      <c r="N218" s="38"/>
      <c r="O218" s="38"/>
      <c r="P218" s="38"/>
      <c r="Q218" s="38"/>
    </row>
    <row r="219" spans="4:17" s="33" customFormat="1" x14ac:dyDescent="0.35">
      <c r="D219" s="34"/>
      <c r="E219" s="41"/>
      <c r="F219" s="38"/>
      <c r="G219" s="42"/>
      <c r="H219" s="36"/>
      <c r="M219" s="37"/>
      <c r="N219" s="38"/>
      <c r="O219" s="38"/>
      <c r="P219" s="38"/>
      <c r="Q219" s="38"/>
    </row>
    <row r="220" spans="4:17" s="33" customFormat="1" x14ac:dyDescent="0.35">
      <c r="D220" s="34"/>
      <c r="E220" s="41"/>
      <c r="F220" s="38"/>
      <c r="G220" s="42"/>
      <c r="H220" s="36"/>
      <c r="M220" s="37"/>
      <c r="N220" s="38"/>
      <c r="O220" s="38"/>
      <c r="P220" s="38"/>
      <c r="Q220" s="38"/>
    </row>
    <row r="221" spans="4:17" s="33" customFormat="1" x14ac:dyDescent="0.35">
      <c r="D221" s="34"/>
      <c r="E221" s="41"/>
      <c r="F221" s="38"/>
      <c r="G221" s="42"/>
      <c r="H221" s="36"/>
      <c r="M221" s="37"/>
      <c r="N221" s="38"/>
      <c r="O221" s="38"/>
      <c r="P221" s="38"/>
      <c r="Q221" s="38"/>
    </row>
    <row r="222" spans="4:17" s="33" customFormat="1" x14ac:dyDescent="0.35">
      <c r="D222" s="34"/>
      <c r="E222" s="41"/>
      <c r="F222" s="38"/>
      <c r="G222" s="42"/>
      <c r="H222" s="36"/>
      <c r="M222" s="37"/>
      <c r="N222" s="38"/>
      <c r="O222" s="38"/>
      <c r="P222" s="38"/>
      <c r="Q222" s="38"/>
    </row>
    <row r="223" spans="4:17" s="33" customFormat="1" x14ac:dyDescent="0.35">
      <c r="D223" s="34"/>
      <c r="E223" s="41"/>
      <c r="F223" s="38"/>
      <c r="G223" s="42"/>
      <c r="H223" s="36"/>
      <c r="M223" s="37"/>
      <c r="N223" s="38"/>
      <c r="O223" s="38"/>
      <c r="P223" s="38"/>
      <c r="Q223" s="38"/>
    </row>
    <row r="224" spans="4:17" s="33" customFormat="1" x14ac:dyDescent="0.35">
      <c r="D224" s="34"/>
      <c r="E224" s="41"/>
      <c r="F224" s="38"/>
      <c r="G224" s="42"/>
      <c r="H224" s="36"/>
      <c r="M224" s="37"/>
      <c r="N224" s="38"/>
      <c r="O224" s="38"/>
      <c r="P224" s="38"/>
      <c r="Q224" s="38"/>
    </row>
    <row r="225" spans="4:17" s="33" customFormat="1" x14ac:dyDescent="0.35">
      <c r="D225" s="34"/>
      <c r="E225" s="41"/>
      <c r="F225" s="38"/>
      <c r="G225" s="42"/>
      <c r="H225" s="36"/>
      <c r="M225" s="37"/>
      <c r="N225" s="38"/>
      <c r="O225" s="38"/>
      <c r="P225" s="38"/>
      <c r="Q225" s="38"/>
    </row>
    <row r="226" spans="4:17" s="33" customFormat="1" x14ac:dyDescent="0.35">
      <c r="D226" s="34"/>
      <c r="E226" s="41"/>
      <c r="F226" s="38"/>
      <c r="G226" s="42"/>
      <c r="H226" s="36"/>
      <c r="M226" s="37"/>
      <c r="N226" s="38"/>
      <c r="O226" s="38"/>
      <c r="P226" s="38"/>
      <c r="Q226" s="38"/>
    </row>
    <row r="227" spans="4:17" s="33" customFormat="1" x14ac:dyDescent="0.35">
      <c r="D227" s="34"/>
      <c r="E227" s="41"/>
      <c r="F227" s="38"/>
      <c r="G227" s="42"/>
      <c r="H227" s="36"/>
      <c r="M227" s="37"/>
      <c r="N227" s="38"/>
      <c r="O227" s="38"/>
      <c r="P227" s="38"/>
      <c r="Q227" s="38"/>
    </row>
    <row r="228" spans="4:17" s="33" customFormat="1" x14ac:dyDescent="0.35">
      <c r="D228" s="34"/>
      <c r="E228" s="41"/>
      <c r="F228" s="38"/>
      <c r="G228" s="42"/>
      <c r="H228" s="36"/>
      <c r="M228" s="37"/>
      <c r="N228" s="38"/>
      <c r="O228" s="38"/>
      <c r="P228" s="38"/>
      <c r="Q228" s="38"/>
    </row>
    <row r="229" spans="4:17" s="33" customFormat="1" x14ac:dyDescent="0.35">
      <c r="D229" s="34"/>
      <c r="E229" s="41"/>
      <c r="F229" s="38"/>
      <c r="G229" s="42"/>
      <c r="H229" s="36"/>
      <c r="M229" s="37"/>
      <c r="N229" s="38"/>
      <c r="O229" s="38"/>
      <c r="P229" s="38"/>
      <c r="Q229" s="38"/>
    </row>
    <row r="230" spans="4:17" s="33" customFormat="1" x14ac:dyDescent="0.35">
      <c r="D230" s="34"/>
      <c r="E230" s="41"/>
      <c r="F230" s="38"/>
      <c r="G230" s="42"/>
      <c r="H230" s="36"/>
      <c r="M230" s="37"/>
      <c r="N230" s="38"/>
      <c r="O230" s="38"/>
      <c r="P230" s="38"/>
      <c r="Q230" s="38"/>
    </row>
    <row r="231" spans="4:17" s="33" customFormat="1" x14ac:dyDescent="0.35">
      <c r="D231" s="34"/>
      <c r="E231" s="41"/>
      <c r="F231" s="38"/>
      <c r="G231" s="42"/>
      <c r="H231" s="36"/>
      <c r="M231" s="37"/>
      <c r="N231" s="38"/>
      <c r="O231" s="38"/>
      <c r="P231" s="38"/>
      <c r="Q231" s="38"/>
    </row>
    <row r="232" spans="4:17" s="33" customFormat="1" x14ac:dyDescent="0.35">
      <c r="D232" s="34"/>
      <c r="E232" s="41"/>
      <c r="F232" s="38"/>
      <c r="G232" s="42"/>
      <c r="H232" s="36"/>
      <c r="M232" s="37"/>
      <c r="N232" s="38"/>
      <c r="O232" s="38"/>
      <c r="P232" s="38"/>
      <c r="Q232" s="38"/>
    </row>
    <row r="233" spans="4:17" s="33" customFormat="1" x14ac:dyDescent="0.35">
      <c r="D233" s="34"/>
      <c r="E233" s="41"/>
      <c r="F233" s="38"/>
      <c r="G233" s="42"/>
      <c r="H233" s="36"/>
      <c r="M233" s="37"/>
      <c r="N233" s="38"/>
      <c r="O233" s="38"/>
      <c r="P233" s="38"/>
      <c r="Q233" s="38"/>
    </row>
    <row r="234" spans="4:17" s="33" customFormat="1" x14ac:dyDescent="0.35">
      <c r="D234" s="34"/>
      <c r="E234" s="41"/>
      <c r="F234" s="38"/>
      <c r="G234" s="42"/>
      <c r="H234" s="36"/>
      <c r="M234" s="37"/>
      <c r="N234" s="38"/>
      <c r="O234" s="38"/>
      <c r="P234" s="38"/>
      <c r="Q234" s="38"/>
    </row>
    <row r="235" spans="4:17" s="33" customFormat="1" x14ac:dyDescent="0.35">
      <c r="D235" s="34"/>
      <c r="E235" s="41"/>
      <c r="F235" s="38"/>
      <c r="G235" s="42"/>
      <c r="H235" s="36"/>
      <c r="M235" s="37"/>
      <c r="N235" s="38"/>
      <c r="O235" s="38"/>
      <c r="P235" s="38"/>
      <c r="Q235" s="38"/>
    </row>
    <row r="236" spans="4:17" s="33" customFormat="1" x14ac:dyDescent="0.35">
      <c r="D236" s="34"/>
      <c r="E236" s="41"/>
      <c r="F236" s="38"/>
      <c r="G236" s="42"/>
      <c r="H236" s="36"/>
      <c r="M236" s="37"/>
      <c r="N236" s="38"/>
      <c r="O236" s="38"/>
      <c r="P236" s="38"/>
      <c r="Q236" s="38"/>
    </row>
    <row r="237" spans="4:17" s="33" customFormat="1" x14ac:dyDescent="0.35">
      <c r="D237" s="34"/>
      <c r="E237" s="41"/>
      <c r="F237" s="38"/>
      <c r="G237" s="42"/>
      <c r="H237" s="36"/>
      <c r="M237" s="37"/>
      <c r="N237" s="38"/>
      <c r="O237" s="38"/>
      <c r="P237" s="38"/>
      <c r="Q237" s="38"/>
    </row>
    <row r="238" spans="4:17" s="33" customFormat="1" x14ac:dyDescent="0.35">
      <c r="D238" s="34"/>
      <c r="E238" s="41"/>
      <c r="F238" s="38"/>
      <c r="G238" s="42"/>
      <c r="H238" s="36"/>
      <c r="M238" s="37"/>
      <c r="N238" s="38"/>
      <c r="O238" s="38"/>
      <c r="P238" s="38"/>
      <c r="Q238" s="38"/>
    </row>
    <row r="239" spans="4:17" s="33" customFormat="1" x14ac:dyDescent="0.35">
      <c r="D239" s="34"/>
      <c r="E239" s="41"/>
      <c r="F239" s="38"/>
      <c r="G239" s="42"/>
      <c r="H239" s="36"/>
      <c r="M239" s="37"/>
      <c r="N239" s="38"/>
      <c r="O239" s="38"/>
      <c r="P239" s="38"/>
      <c r="Q239" s="38"/>
    </row>
    <row r="240" spans="4:17" s="33" customFormat="1" x14ac:dyDescent="0.35">
      <c r="D240" s="34"/>
      <c r="E240" s="41"/>
      <c r="F240" s="38"/>
      <c r="G240" s="42"/>
      <c r="H240" s="36"/>
      <c r="M240" s="37"/>
      <c r="N240" s="38"/>
      <c r="O240" s="38"/>
      <c r="P240" s="38"/>
      <c r="Q240" s="38"/>
    </row>
    <row r="241" spans="4:17" s="33" customFormat="1" x14ac:dyDescent="0.35">
      <c r="D241" s="34"/>
      <c r="E241" s="41"/>
      <c r="F241" s="38"/>
      <c r="G241" s="42"/>
      <c r="H241" s="36"/>
      <c r="M241" s="37"/>
      <c r="N241" s="38"/>
      <c r="O241" s="38"/>
      <c r="P241" s="38"/>
      <c r="Q241" s="38"/>
    </row>
    <row r="242" spans="4:17" s="33" customFormat="1" x14ac:dyDescent="0.35">
      <c r="D242" s="34"/>
      <c r="E242" s="41"/>
      <c r="F242" s="38"/>
      <c r="G242" s="42"/>
      <c r="H242" s="36"/>
      <c r="M242" s="37"/>
      <c r="N242" s="38"/>
      <c r="O242" s="38"/>
      <c r="P242" s="38"/>
      <c r="Q242" s="38"/>
    </row>
    <row r="243" spans="4:17" s="33" customFormat="1" x14ac:dyDescent="0.35">
      <c r="D243" s="34"/>
      <c r="E243" s="41"/>
      <c r="F243" s="38"/>
      <c r="G243" s="42"/>
      <c r="H243" s="36"/>
      <c r="M243" s="37"/>
      <c r="N243" s="38"/>
      <c r="O243" s="38"/>
      <c r="P243" s="38"/>
      <c r="Q243" s="38"/>
    </row>
    <row r="244" spans="4:17" s="33" customFormat="1" x14ac:dyDescent="0.35">
      <c r="D244" s="34"/>
      <c r="E244" s="41"/>
      <c r="F244" s="38"/>
      <c r="G244" s="42"/>
      <c r="H244" s="36"/>
      <c r="M244" s="37"/>
      <c r="N244" s="38"/>
      <c r="O244" s="38"/>
      <c r="P244" s="38"/>
      <c r="Q244" s="38"/>
    </row>
    <row r="245" spans="4:17" s="33" customFormat="1" x14ac:dyDescent="0.35">
      <c r="D245" s="34"/>
      <c r="E245" s="41"/>
      <c r="F245" s="38"/>
      <c r="G245" s="42"/>
      <c r="H245" s="36"/>
      <c r="M245" s="37"/>
      <c r="N245" s="38"/>
      <c r="O245" s="38"/>
      <c r="P245" s="38"/>
      <c r="Q245" s="38"/>
    </row>
    <row r="246" spans="4:17" s="33" customFormat="1" x14ac:dyDescent="0.35">
      <c r="D246" s="34"/>
      <c r="E246" s="41"/>
      <c r="F246" s="38"/>
      <c r="G246" s="42"/>
      <c r="H246" s="36"/>
      <c r="M246" s="37"/>
      <c r="N246" s="38"/>
      <c r="O246" s="38"/>
      <c r="P246" s="38"/>
      <c r="Q246" s="38"/>
    </row>
    <row r="247" spans="4:17" s="33" customFormat="1" x14ac:dyDescent="0.35">
      <c r="D247" s="34"/>
      <c r="E247" s="41"/>
      <c r="F247" s="38"/>
      <c r="G247" s="42"/>
      <c r="H247" s="36"/>
      <c r="M247" s="37"/>
      <c r="N247" s="38"/>
      <c r="O247" s="38"/>
      <c r="P247" s="38"/>
      <c r="Q247" s="38"/>
    </row>
    <row r="248" spans="4:17" s="33" customFormat="1" x14ac:dyDescent="0.35">
      <c r="D248" s="34"/>
      <c r="E248" s="41"/>
      <c r="F248" s="38"/>
      <c r="G248" s="42"/>
      <c r="H248" s="36"/>
      <c r="M248" s="37"/>
      <c r="N248" s="38"/>
      <c r="O248" s="38"/>
      <c r="P248" s="38"/>
      <c r="Q248" s="38"/>
    </row>
    <row r="249" spans="4:17" s="33" customFormat="1" x14ac:dyDescent="0.35">
      <c r="D249" s="34"/>
      <c r="E249" s="41"/>
      <c r="F249" s="38"/>
      <c r="G249" s="42"/>
      <c r="H249" s="36"/>
      <c r="M249" s="37"/>
      <c r="N249" s="38"/>
      <c r="O249" s="38"/>
      <c r="P249" s="38"/>
      <c r="Q249" s="38"/>
    </row>
    <row r="250" spans="4:17" s="33" customFormat="1" x14ac:dyDescent="0.35">
      <c r="D250" s="34"/>
      <c r="E250" s="41"/>
      <c r="F250" s="38"/>
      <c r="G250" s="42"/>
      <c r="H250" s="36"/>
      <c r="M250" s="37"/>
      <c r="N250" s="38"/>
      <c r="O250" s="38"/>
      <c r="P250" s="38"/>
      <c r="Q250" s="38"/>
    </row>
    <row r="251" spans="4:17" s="33" customFormat="1" x14ac:dyDescent="0.35">
      <c r="D251" s="34"/>
      <c r="E251" s="41"/>
      <c r="F251" s="38"/>
      <c r="G251" s="42"/>
      <c r="H251" s="36"/>
      <c r="M251" s="37"/>
      <c r="N251" s="38"/>
      <c r="O251" s="38"/>
      <c r="P251" s="38"/>
      <c r="Q251" s="38"/>
    </row>
    <row r="252" spans="4:17" s="33" customFormat="1" x14ac:dyDescent="0.35">
      <c r="D252" s="34"/>
      <c r="E252" s="41"/>
      <c r="F252" s="38"/>
      <c r="G252" s="42"/>
      <c r="H252" s="36"/>
      <c r="M252" s="37"/>
      <c r="N252" s="38"/>
      <c r="O252" s="38"/>
      <c r="P252" s="38"/>
      <c r="Q252" s="38"/>
    </row>
    <row r="253" spans="4:17" s="33" customFormat="1" x14ac:dyDescent="0.35">
      <c r="D253" s="34"/>
      <c r="E253" s="41"/>
      <c r="F253" s="38"/>
      <c r="G253" s="42"/>
      <c r="H253" s="36"/>
      <c r="M253" s="37"/>
      <c r="N253" s="38"/>
      <c r="O253" s="38"/>
      <c r="P253" s="38"/>
      <c r="Q253" s="38"/>
    </row>
    <row r="254" spans="4:17" s="33" customFormat="1" x14ac:dyDescent="0.35">
      <c r="D254" s="34"/>
      <c r="E254" s="41"/>
      <c r="F254" s="38"/>
      <c r="G254" s="42"/>
      <c r="H254" s="36"/>
      <c r="M254" s="37"/>
      <c r="N254" s="38"/>
      <c r="O254" s="38"/>
      <c r="P254" s="38"/>
      <c r="Q254" s="38"/>
    </row>
    <row r="255" spans="4:17" s="33" customFormat="1" x14ac:dyDescent="0.35">
      <c r="D255" s="34"/>
      <c r="E255" s="41"/>
      <c r="F255" s="38"/>
      <c r="G255" s="42"/>
      <c r="H255" s="36"/>
      <c r="M255" s="37"/>
      <c r="N255" s="38"/>
      <c r="O255" s="38"/>
      <c r="P255" s="38"/>
      <c r="Q255" s="38"/>
    </row>
    <row r="256" spans="4:17" s="33" customFormat="1" x14ac:dyDescent="0.35">
      <c r="D256" s="34"/>
      <c r="E256" s="41"/>
      <c r="F256" s="38"/>
      <c r="G256" s="42"/>
      <c r="H256" s="36"/>
      <c r="M256" s="37"/>
      <c r="N256" s="38"/>
      <c r="O256" s="38"/>
      <c r="P256" s="38"/>
      <c r="Q256" s="38"/>
    </row>
    <row r="257" spans="4:17" s="33" customFormat="1" x14ac:dyDescent="0.35">
      <c r="D257" s="34"/>
      <c r="E257" s="41"/>
      <c r="F257" s="38"/>
      <c r="G257" s="42"/>
      <c r="H257" s="36"/>
      <c r="M257" s="37"/>
      <c r="N257" s="38"/>
      <c r="O257" s="38"/>
      <c r="P257" s="38"/>
      <c r="Q257" s="38"/>
    </row>
    <row r="258" spans="4:17" s="33" customFormat="1" x14ac:dyDescent="0.35">
      <c r="D258" s="34"/>
      <c r="E258" s="41"/>
      <c r="F258" s="38"/>
      <c r="G258" s="42"/>
      <c r="H258" s="36"/>
      <c r="M258" s="37"/>
      <c r="N258" s="38"/>
      <c r="O258" s="38"/>
      <c r="P258" s="38"/>
      <c r="Q258" s="38"/>
    </row>
    <row r="259" spans="4:17" s="33" customFormat="1" x14ac:dyDescent="0.35">
      <c r="D259" s="34"/>
      <c r="E259" s="41"/>
      <c r="F259" s="38"/>
      <c r="G259" s="42"/>
      <c r="H259" s="36"/>
      <c r="M259" s="37"/>
      <c r="N259" s="38"/>
      <c r="O259" s="38"/>
      <c r="P259" s="38"/>
      <c r="Q259" s="38"/>
    </row>
    <row r="260" spans="4:17" s="33" customFormat="1" x14ac:dyDescent="0.35">
      <c r="D260" s="34"/>
      <c r="E260" s="41"/>
      <c r="F260" s="41"/>
      <c r="G260" s="42"/>
      <c r="H260" s="36"/>
      <c r="L260" s="40"/>
      <c r="M260" s="37"/>
      <c r="N260" s="38"/>
      <c r="O260" s="38"/>
      <c r="P260" s="38"/>
      <c r="Q260" s="38"/>
    </row>
    <row r="261" spans="4:17" s="33" customFormat="1" x14ac:dyDescent="0.35">
      <c r="D261" s="34"/>
      <c r="E261" s="41"/>
      <c r="F261" s="41"/>
      <c r="G261" s="42"/>
      <c r="H261" s="36"/>
      <c r="M261" s="37"/>
      <c r="N261" s="38"/>
      <c r="O261" s="38"/>
      <c r="P261" s="38"/>
      <c r="Q261" s="38"/>
    </row>
    <row r="262" spans="4:17" s="33" customFormat="1" x14ac:dyDescent="0.35">
      <c r="D262" s="34"/>
      <c r="E262" s="41"/>
      <c r="F262" s="41"/>
      <c r="G262" s="42"/>
      <c r="H262" s="36"/>
      <c r="M262" s="37"/>
      <c r="N262" s="38"/>
      <c r="O262" s="38"/>
      <c r="P262" s="38"/>
      <c r="Q262" s="38"/>
    </row>
    <row r="263" spans="4:17" s="33" customFormat="1" x14ac:dyDescent="0.35">
      <c r="D263" s="34"/>
      <c r="E263" s="41"/>
      <c r="F263" s="41"/>
      <c r="G263" s="42"/>
      <c r="H263" s="36"/>
      <c r="M263" s="37"/>
      <c r="N263" s="38"/>
      <c r="O263" s="38"/>
      <c r="P263" s="38"/>
      <c r="Q263" s="38"/>
    </row>
    <row r="264" spans="4:17" s="33" customFormat="1" x14ac:dyDescent="0.35">
      <c r="D264" s="34"/>
      <c r="E264" s="41"/>
      <c r="F264" s="41"/>
      <c r="G264" s="42"/>
      <c r="H264" s="36"/>
      <c r="M264" s="37"/>
      <c r="N264" s="38"/>
      <c r="O264" s="38"/>
      <c r="P264" s="38"/>
      <c r="Q264" s="38"/>
    </row>
    <row r="265" spans="4:17" s="33" customFormat="1" x14ac:dyDescent="0.35">
      <c r="D265" s="34"/>
      <c r="E265" s="41"/>
      <c r="F265" s="41"/>
      <c r="G265" s="42"/>
      <c r="H265" s="36"/>
      <c r="M265" s="37"/>
      <c r="N265" s="38"/>
      <c r="O265" s="38"/>
      <c r="P265" s="38"/>
      <c r="Q265" s="38"/>
    </row>
    <row r="266" spans="4:17" s="33" customFormat="1" x14ac:dyDescent="0.35">
      <c r="D266" s="34"/>
      <c r="E266" s="41"/>
      <c r="F266" s="38"/>
      <c r="G266" s="42"/>
      <c r="H266" s="36"/>
      <c r="M266" s="37"/>
      <c r="N266" s="38"/>
      <c r="O266" s="38"/>
      <c r="P266" s="38"/>
      <c r="Q266" s="38"/>
    </row>
    <row r="267" spans="4:17" s="33" customFormat="1" x14ac:dyDescent="0.35">
      <c r="D267" s="34"/>
      <c r="E267" s="41"/>
      <c r="F267" s="41"/>
      <c r="G267" s="42"/>
      <c r="H267" s="36"/>
      <c r="M267" s="37"/>
      <c r="N267" s="38"/>
      <c r="O267" s="38"/>
      <c r="P267" s="38"/>
      <c r="Q267" s="38"/>
    </row>
    <row r="268" spans="4:17" s="33" customFormat="1" x14ac:dyDescent="0.35">
      <c r="D268" s="34"/>
      <c r="E268" s="41"/>
      <c r="F268" s="38"/>
      <c r="G268" s="42"/>
      <c r="H268" s="36"/>
      <c r="M268" s="37"/>
      <c r="N268" s="38"/>
      <c r="O268" s="38"/>
      <c r="P268" s="38"/>
      <c r="Q268" s="38"/>
    </row>
    <row r="269" spans="4:17" s="33" customFormat="1" x14ac:dyDescent="0.35">
      <c r="D269" s="34"/>
      <c r="E269" s="34"/>
      <c r="G269" s="42"/>
      <c r="H269" s="36"/>
      <c r="M269" s="37"/>
      <c r="N269" s="38"/>
      <c r="O269" s="38"/>
      <c r="P269" s="38"/>
      <c r="Q269" s="38"/>
    </row>
    <row r="270" spans="4:17" s="33" customFormat="1" x14ac:dyDescent="0.35">
      <c r="D270" s="34"/>
      <c r="E270" s="41"/>
      <c r="G270" s="42"/>
      <c r="H270" s="36"/>
      <c r="M270" s="37"/>
      <c r="N270" s="38"/>
      <c r="O270" s="38"/>
      <c r="P270" s="38"/>
      <c r="Q270" s="38"/>
    </row>
    <row r="271" spans="4:17" s="33" customFormat="1" x14ac:dyDescent="0.35">
      <c r="D271" s="34"/>
      <c r="E271" s="41"/>
      <c r="F271" s="38"/>
      <c r="G271" s="42"/>
      <c r="H271" s="36"/>
      <c r="M271" s="37"/>
      <c r="N271" s="38"/>
      <c r="O271" s="38"/>
      <c r="P271" s="38"/>
      <c r="Q271" s="38"/>
    </row>
    <row r="272" spans="4:17" s="33" customFormat="1" x14ac:dyDescent="0.35">
      <c r="D272" s="34"/>
      <c r="E272" s="41"/>
      <c r="F272" s="38"/>
      <c r="G272" s="42"/>
      <c r="H272" s="36"/>
      <c r="M272" s="37"/>
      <c r="N272" s="38"/>
      <c r="O272" s="38"/>
      <c r="P272" s="38"/>
      <c r="Q272" s="38"/>
    </row>
    <row r="273" spans="4:17" s="33" customFormat="1" x14ac:dyDescent="0.35">
      <c r="D273" s="34"/>
      <c r="E273" s="41"/>
      <c r="F273" s="38"/>
      <c r="G273" s="42"/>
      <c r="H273" s="36"/>
      <c r="M273" s="37"/>
      <c r="N273" s="38"/>
      <c r="O273" s="38"/>
      <c r="P273" s="38"/>
      <c r="Q273" s="38"/>
    </row>
    <row r="274" spans="4:17" s="33" customFormat="1" x14ac:dyDescent="0.35">
      <c r="D274" s="34"/>
      <c r="E274" s="41"/>
      <c r="F274" s="38"/>
      <c r="G274" s="42"/>
      <c r="H274" s="36"/>
      <c r="M274" s="37"/>
      <c r="N274" s="38"/>
      <c r="O274" s="38"/>
      <c r="P274" s="38"/>
      <c r="Q274" s="38"/>
    </row>
    <row r="275" spans="4:17" s="33" customFormat="1" x14ac:dyDescent="0.35">
      <c r="D275" s="34"/>
      <c r="E275" s="41"/>
      <c r="F275" s="41"/>
      <c r="G275" s="42"/>
      <c r="H275" s="36"/>
      <c r="M275" s="37"/>
      <c r="N275" s="38"/>
      <c r="O275" s="38"/>
      <c r="P275" s="38"/>
      <c r="Q275" s="38"/>
    </row>
    <row r="276" spans="4:17" s="33" customFormat="1" x14ac:dyDescent="0.35">
      <c r="D276" s="34"/>
      <c r="E276" s="41"/>
      <c r="F276" s="41"/>
      <c r="G276" s="42"/>
      <c r="H276" s="36"/>
      <c r="M276" s="37"/>
      <c r="N276" s="38"/>
      <c r="O276" s="38"/>
      <c r="P276" s="38"/>
      <c r="Q276" s="38"/>
    </row>
    <row r="277" spans="4:17" s="33" customFormat="1" x14ac:dyDescent="0.35">
      <c r="D277" s="34"/>
      <c r="E277" s="41"/>
      <c r="F277" s="38"/>
      <c r="G277" s="42"/>
      <c r="H277" s="36"/>
      <c r="M277" s="37"/>
      <c r="N277" s="38"/>
      <c r="O277" s="38"/>
      <c r="P277" s="38"/>
      <c r="Q277" s="38"/>
    </row>
    <row r="278" spans="4:17" s="33" customFormat="1" x14ac:dyDescent="0.35">
      <c r="D278" s="34"/>
      <c r="E278" s="41"/>
      <c r="F278" s="38"/>
      <c r="G278" s="42"/>
      <c r="H278" s="36"/>
      <c r="M278" s="37"/>
      <c r="N278" s="38"/>
      <c r="O278" s="38"/>
      <c r="P278" s="38"/>
      <c r="Q278" s="38"/>
    </row>
    <row r="279" spans="4:17" s="33" customFormat="1" x14ac:dyDescent="0.35">
      <c r="D279" s="34"/>
      <c r="E279" s="41"/>
      <c r="F279" s="41"/>
      <c r="G279" s="43"/>
      <c r="H279" s="36"/>
      <c r="M279" s="37"/>
      <c r="N279" s="38"/>
      <c r="O279" s="38"/>
      <c r="P279" s="38"/>
      <c r="Q279" s="38"/>
    </row>
    <row r="280" spans="4:17" s="33" customFormat="1" x14ac:dyDescent="0.35">
      <c r="D280" s="34"/>
      <c r="E280" s="41"/>
      <c r="F280" s="41"/>
      <c r="G280" s="43"/>
      <c r="H280" s="36"/>
      <c r="M280" s="37"/>
      <c r="N280" s="38"/>
      <c r="O280" s="38"/>
      <c r="P280" s="38"/>
      <c r="Q280" s="38"/>
    </row>
    <row r="281" spans="4:17" s="33" customFormat="1" x14ac:dyDescent="0.35">
      <c r="D281" s="34"/>
      <c r="E281" s="41"/>
      <c r="F281" s="41"/>
      <c r="G281" s="42"/>
      <c r="H281" s="36"/>
      <c r="M281" s="37"/>
      <c r="N281" s="38"/>
      <c r="O281" s="38"/>
      <c r="P281" s="38"/>
      <c r="Q281" s="38"/>
    </row>
    <row r="282" spans="4:17" s="33" customFormat="1" x14ac:dyDescent="0.35">
      <c r="D282" s="34"/>
      <c r="E282" s="41"/>
      <c r="F282" s="41"/>
      <c r="G282" s="43"/>
      <c r="H282" s="36"/>
      <c r="M282" s="37"/>
      <c r="N282" s="38"/>
      <c r="O282" s="38"/>
      <c r="P282" s="38"/>
      <c r="Q282" s="38"/>
    </row>
    <row r="283" spans="4:17" s="33" customFormat="1" x14ac:dyDescent="0.35">
      <c r="D283" s="34"/>
      <c r="E283" s="41"/>
      <c r="F283" s="38"/>
      <c r="G283" s="42"/>
      <c r="H283" s="36"/>
      <c r="M283" s="37"/>
      <c r="N283" s="38"/>
      <c r="O283" s="38"/>
      <c r="P283" s="38"/>
      <c r="Q283" s="38"/>
    </row>
    <row r="284" spans="4:17" s="33" customFormat="1" x14ac:dyDescent="0.35">
      <c r="D284" s="34"/>
      <c r="E284" s="41"/>
      <c r="F284" s="38"/>
      <c r="G284" s="42"/>
      <c r="H284" s="36"/>
      <c r="M284" s="37"/>
      <c r="N284" s="38"/>
      <c r="O284" s="38"/>
      <c r="P284" s="38"/>
      <c r="Q284" s="38"/>
    </row>
    <row r="285" spans="4:17" s="33" customFormat="1" x14ac:dyDescent="0.35">
      <c r="D285" s="34"/>
      <c r="E285" s="41"/>
      <c r="F285" s="38"/>
      <c r="G285" s="42"/>
      <c r="H285" s="36"/>
      <c r="M285" s="37"/>
      <c r="N285" s="38"/>
      <c r="O285" s="38"/>
      <c r="P285" s="38"/>
      <c r="Q285" s="38"/>
    </row>
    <row r="286" spans="4:17" s="33" customFormat="1" x14ac:dyDescent="0.35">
      <c r="D286" s="34"/>
      <c r="E286" s="41"/>
      <c r="F286" s="38"/>
      <c r="G286" s="42"/>
      <c r="H286" s="36"/>
      <c r="M286" s="37"/>
      <c r="N286" s="38"/>
      <c r="O286" s="38"/>
      <c r="P286" s="38"/>
      <c r="Q286" s="38"/>
    </row>
    <row r="287" spans="4:17" s="33" customFormat="1" x14ac:dyDescent="0.35">
      <c r="D287" s="34"/>
      <c r="E287" s="41"/>
      <c r="F287" s="38"/>
      <c r="G287" s="42"/>
      <c r="H287" s="36"/>
      <c r="M287" s="37"/>
      <c r="N287" s="38"/>
      <c r="O287" s="38"/>
      <c r="P287" s="38"/>
      <c r="Q287" s="38"/>
    </row>
    <row r="288" spans="4:17" s="33" customFormat="1" x14ac:dyDescent="0.35">
      <c r="D288" s="34"/>
      <c r="E288" s="41"/>
      <c r="F288" s="38"/>
      <c r="G288" s="42"/>
      <c r="H288" s="36"/>
      <c r="M288" s="37"/>
      <c r="N288" s="38"/>
      <c r="O288" s="38"/>
      <c r="P288" s="38"/>
      <c r="Q288" s="38"/>
    </row>
    <row r="289" spans="4:17" s="33" customFormat="1" x14ac:dyDescent="0.35">
      <c r="D289" s="34"/>
      <c r="E289" s="41"/>
      <c r="F289" s="41"/>
      <c r="G289" s="42"/>
      <c r="H289" s="36"/>
      <c r="M289" s="37"/>
      <c r="N289" s="38"/>
      <c r="O289" s="38"/>
      <c r="P289" s="38"/>
      <c r="Q289" s="38"/>
    </row>
    <row r="290" spans="4:17" s="33" customFormat="1" x14ac:dyDescent="0.35">
      <c r="D290" s="34"/>
      <c r="E290" s="41"/>
      <c r="F290" s="38"/>
      <c r="G290" s="42"/>
      <c r="H290" s="36"/>
      <c r="M290" s="37"/>
      <c r="N290" s="38"/>
      <c r="O290" s="38"/>
      <c r="P290" s="38"/>
      <c r="Q290" s="38"/>
    </row>
    <row r="291" spans="4:17" s="19" customFormat="1" x14ac:dyDescent="0.35">
      <c r="D291" s="10"/>
      <c r="E291" s="22"/>
      <c r="F291" s="20"/>
      <c r="G291" s="30"/>
      <c r="H291" s="21"/>
      <c r="M291" s="18"/>
      <c r="N291" s="20"/>
      <c r="O291" s="20"/>
      <c r="P291" s="20"/>
      <c r="Q291" s="20"/>
    </row>
    <row r="292" spans="4:17" s="19" customFormat="1" x14ac:dyDescent="0.35">
      <c r="D292" s="10"/>
      <c r="E292" s="22"/>
      <c r="F292" s="20"/>
      <c r="G292" s="30"/>
      <c r="H292" s="21"/>
      <c r="M292" s="18"/>
      <c r="N292" s="20"/>
      <c r="O292" s="20"/>
      <c r="P292" s="20"/>
      <c r="Q292" s="20"/>
    </row>
    <row r="293" spans="4:17" s="19" customFormat="1" x14ac:dyDescent="0.35">
      <c r="D293" s="10"/>
      <c r="E293" s="22"/>
      <c r="F293" s="20"/>
      <c r="G293" s="30"/>
      <c r="H293" s="21"/>
      <c r="M293" s="18"/>
      <c r="N293" s="20"/>
      <c r="O293" s="20"/>
      <c r="P293" s="20"/>
      <c r="Q293" s="20"/>
    </row>
    <row r="294" spans="4:17" s="19" customFormat="1" x14ac:dyDescent="0.35">
      <c r="D294" s="10"/>
      <c r="E294" s="22"/>
      <c r="F294" s="20"/>
      <c r="G294" s="30"/>
      <c r="H294" s="21"/>
      <c r="L294" s="25"/>
      <c r="M294" s="18"/>
      <c r="N294" s="20"/>
      <c r="O294" s="20"/>
      <c r="P294" s="20"/>
      <c r="Q294" s="20"/>
    </row>
    <row r="295" spans="4:17" s="19" customFormat="1" x14ac:dyDescent="0.35">
      <c r="D295" s="10"/>
      <c r="E295" s="22"/>
      <c r="F295" s="20"/>
      <c r="G295" s="30"/>
      <c r="H295" s="21"/>
      <c r="M295" s="18"/>
      <c r="N295" s="20"/>
      <c r="O295" s="20"/>
      <c r="P295" s="20"/>
      <c r="Q295" s="20"/>
    </row>
    <row r="296" spans="4:17" s="19" customFormat="1" x14ac:dyDescent="0.35">
      <c r="D296" s="10"/>
      <c r="E296" s="22"/>
      <c r="F296" s="20"/>
      <c r="G296" s="30"/>
      <c r="H296" s="21"/>
      <c r="M296" s="18"/>
      <c r="N296" s="20"/>
      <c r="O296" s="20"/>
      <c r="P296" s="20"/>
      <c r="Q296" s="20"/>
    </row>
    <row r="297" spans="4:17" s="19" customFormat="1" x14ac:dyDescent="0.35">
      <c r="D297" s="10"/>
      <c r="E297" s="22"/>
      <c r="F297" s="20"/>
      <c r="G297" s="30"/>
      <c r="H297" s="21"/>
      <c r="M297" s="18"/>
      <c r="N297" s="20"/>
      <c r="O297" s="20"/>
      <c r="P297" s="20"/>
      <c r="Q297" s="20"/>
    </row>
    <row r="298" spans="4:17" s="19" customFormat="1" x14ac:dyDescent="0.35">
      <c r="D298" s="10"/>
      <c r="E298" s="22"/>
      <c r="F298" s="20"/>
      <c r="G298" s="30"/>
      <c r="H298" s="21"/>
      <c r="M298" s="18"/>
      <c r="N298" s="20"/>
      <c r="O298" s="20"/>
      <c r="P298" s="20"/>
      <c r="Q298" s="20"/>
    </row>
    <row r="299" spans="4:17" s="19" customFormat="1" x14ac:dyDescent="0.35">
      <c r="D299" s="10"/>
      <c r="E299" s="22"/>
      <c r="F299" s="20"/>
      <c r="G299" s="30"/>
      <c r="H299" s="21"/>
      <c r="M299" s="18"/>
      <c r="N299" s="20"/>
      <c r="O299" s="20"/>
      <c r="P299" s="20"/>
      <c r="Q299" s="20"/>
    </row>
    <row r="300" spans="4:17" s="19" customFormat="1" x14ac:dyDescent="0.35">
      <c r="D300" s="10"/>
      <c r="E300" s="22"/>
      <c r="F300" s="20"/>
      <c r="G300" s="30"/>
      <c r="H300" s="21"/>
      <c r="M300" s="18"/>
      <c r="N300" s="20"/>
      <c r="O300" s="20"/>
      <c r="P300" s="20"/>
      <c r="Q300" s="20"/>
    </row>
    <row r="301" spans="4:17" s="19" customFormat="1" x14ac:dyDescent="0.35">
      <c r="D301" s="10"/>
      <c r="E301" s="20"/>
      <c r="F301" s="20"/>
      <c r="G301" s="30"/>
      <c r="H301" s="21"/>
      <c r="M301" s="18"/>
      <c r="N301" s="20"/>
      <c r="O301" s="20"/>
      <c r="P301" s="20"/>
      <c r="Q301" s="20"/>
    </row>
    <row r="302" spans="4:17" s="19" customFormat="1" x14ac:dyDescent="0.35">
      <c r="D302" s="10"/>
      <c r="E302" s="20"/>
      <c r="F302" s="20"/>
      <c r="G302" s="30"/>
      <c r="H302" s="21"/>
      <c r="M302" s="18"/>
      <c r="N302" s="20"/>
      <c r="O302" s="20"/>
      <c r="P302" s="20"/>
      <c r="Q302" s="20"/>
    </row>
    <row r="303" spans="4:17" s="19" customFormat="1" x14ac:dyDescent="0.35">
      <c r="D303" s="10"/>
      <c r="E303" s="20"/>
      <c r="F303" s="20"/>
      <c r="G303" s="30"/>
      <c r="H303" s="21"/>
      <c r="M303" s="18"/>
      <c r="N303" s="20"/>
      <c r="O303" s="20"/>
      <c r="P303" s="20"/>
      <c r="Q303" s="20"/>
    </row>
    <row r="304" spans="4:17" s="2" customFormat="1" x14ac:dyDescent="0.35">
      <c r="D304" s="10"/>
      <c r="E304" s="22"/>
      <c r="F304" s="4"/>
      <c r="G304" s="30"/>
      <c r="H304" s="7"/>
      <c r="M304" s="4"/>
      <c r="N304" s="4"/>
      <c r="O304" s="4"/>
      <c r="P304" s="4"/>
      <c r="Q304" s="4"/>
    </row>
    <row r="305" spans="4:17" s="2" customFormat="1" x14ac:dyDescent="0.35">
      <c r="D305" s="10"/>
      <c r="E305" s="22"/>
      <c r="F305" s="4"/>
      <c r="G305" s="30"/>
      <c r="H305" s="7"/>
      <c r="M305" s="4"/>
      <c r="N305" s="4"/>
      <c r="O305" s="4"/>
      <c r="P305" s="4"/>
      <c r="Q305" s="4"/>
    </row>
    <row r="306" spans="4:17" s="2" customFormat="1" x14ac:dyDescent="0.35">
      <c r="D306" s="10"/>
      <c r="E306" s="22"/>
      <c r="F306" s="11"/>
      <c r="G306" s="30"/>
      <c r="H306" s="7"/>
      <c r="M306" s="4"/>
      <c r="N306" s="4"/>
      <c r="O306" s="4"/>
      <c r="P306" s="4"/>
      <c r="Q306" s="4"/>
    </row>
    <row r="307" spans="4:17" s="2" customFormat="1" x14ac:dyDescent="0.35">
      <c r="D307" s="10"/>
      <c r="E307" s="22"/>
      <c r="F307" s="11"/>
      <c r="G307" s="30"/>
      <c r="H307" s="7"/>
      <c r="M307" s="4"/>
      <c r="N307" s="4"/>
      <c r="O307" s="4"/>
      <c r="P307" s="4"/>
      <c r="Q307" s="4"/>
    </row>
    <row r="308" spans="4:17" s="2" customFormat="1" x14ac:dyDescent="0.35">
      <c r="D308" s="10"/>
      <c r="E308" s="22"/>
      <c r="F308" s="11"/>
      <c r="G308" s="30"/>
      <c r="H308" s="7"/>
      <c r="M308" s="4"/>
      <c r="N308" s="4"/>
      <c r="O308" s="4"/>
      <c r="P308" s="4"/>
      <c r="Q308" s="4"/>
    </row>
    <row r="309" spans="4:17" s="2" customFormat="1" x14ac:dyDescent="0.35">
      <c r="D309" s="10"/>
      <c r="E309" s="22"/>
      <c r="F309" s="11"/>
      <c r="G309" s="30"/>
      <c r="H309" s="7"/>
      <c r="M309" s="4"/>
      <c r="N309" s="4"/>
      <c r="O309" s="4"/>
      <c r="P309" s="4"/>
      <c r="Q309" s="4"/>
    </row>
    <row r="310" spans="4:17" s="2" customFormat="1" x14ac:dyDescent="0.35">
      <c r="D310" s="10"/>
      <c r="E310" s="22"/>
      <c r="F310" s="11"/>
      <c r="G310" s="30"/>
      <c r="H310" s="7"/>
      <c r="M310" s="4"/>
      <c r="N310" s="4"/>
      <c r="O310" s="4"/>
      <c r="P310" s="4"/>
      <c r="Q310" s="4"/>
    </row>
    <row r="311" spans="4:17" s="2" customFormat="1" x14ac:dyDescent="0.35">
      <c r="D311" s="10"/>
      <c r="E311" s="22"/>
      <c r="F311" s="11"/>
      <c r="G311" s="30"/>
      <c r="H311" s="7"/>
      <c r="M311" s="4"/>
      <c r="N311" s="4"/>
      <c r="O311" s="4"/>
      <c r="P311" s="4"/>
      <c r="Q311" s="4"/>
    </row>
    <row r="312" spans="4:17" s="2" customFormat="1" x14ac:dyDescent="0.35">
      <c r="D312" s="10"/>
      <c r="E312" s="22"/>
      <c r="F312" s="11"/>
      <c r="G312" s="30"/>
      <c r="H312" s="7"/>
      <c r="M312" s="4"/>
      <c r="N312" s="4"/>
      <c r="O312" s="4"/>
      <c r="P312" s="4"/>
      <c r="Q312" s="4"/>
    </row>
    <row r="313" spans="4:17" s="2" customFormat="1" x14ac:dyDescent="0.35">
      <c r="D313" s="10"/>
      <c r="E313" s="22"/>
      <c r="F313" s="11"/>
      <c r="G313" s="30"/>
      <c r="H313" s="7"/>
      <c r="M313" s="4"/>
      <c r="N313" s="4"/>
      <c r="O313" s="4"/>
      <c r="P313" s="4"/>
      <c r="Q313" s="4"/>
    </row>
    <row r="314" spans="4:17" s="2" customFormat="1" x14ac:dyDescent="0.35">
      <c r="D314" s="10"/>
      <c r="E314" s="22"/>
      <c r="F314" s="11"/>
      <c r="G314" s="30"/>
      <c r="H314" s="7"/>
      <c r="M314" s="4"/>
      <c r="N314" s="4"/>
      <c r="O314" s="4"/>
      <c r="P314" s="4"/>
      <c r="Q314" s="4"/>
    </row>
    <row r="315" spans="4:17" s="2" customFormat="1" x14ac:dyDescent="0.35">
      <c r="D315" s="10"/>
      <c r="E315" s="22"/>
      <c r="F315" s="11"/>
      <c r="G315" s="30"/>
      <c r="H315" s="7"/>
      <c r="M315" s="4"/>
      <c r="N315" s="4"/>
      <c r="O315" s="4"/>
      <c r="P315" s="4"/>
      <c r="Q315" s="4"/>
    </row>
    <row r="316" spans="4:17" s="2" customFormat="1" x14ac:dyDescent="0.35">
      <c r="D316" s="10"/>
      <c r="E316" s="22"/>
      <c r="F316" s="11"/>
      <c r="G316" s="30"/>
      <c r="H316" s="7"/>
      <c r="M316" s="4"/>
      <c r="N316" s="4"/>
      <c r="O316" s="4"/>
      <c r="P316" s="4"/>
      <c r="Q316" s="4"/>
    </row>
    <row r="317" spans="4:17" s="2" customFormat="1" x14ac:dyDescent="0.35">
      <c r="D317" s="10"/>
      <c r="E317" s="22"/>
      <c r="F317" s="11"/>
      <c r="G317" s="30"/>
      <c r="H317" s="7"/>
      <c r="M317" s="4"/>
      <c r="N317" s="4"/>
      <c r="O317" s="4"/>
      <c r="P317" s="4"/>
      <c r="Q317" s="4"/>
    </row>
    <row r="318" spans="4:17" s="2" customFormat="1" x14ac:dyDescent="0.35">
      <c r="D318" s="10"/>
      <c r="E318" s="22"/>
      <c r="F318" s="11"/>
      <c r="G318" s="30"/>
      <c r="H318" s="7"/>
      <c r="M318" s="4"/>
      <c r="N318" s="4"/>
      <c r="O318" s="4"/>
      <c r="P318" s="4"/>
      <c r="Q318" s="4"/>
    </row>
    <row r="319" spans="4:17" s="2" customFormat="1" x14ac:dyDescent="0.35">
      <c r="D319" s="10"/>
      <c r="E319" s="22"/>
      <c r="F319" s="11"/>
      <c r="G319" s="30"/>
      <c r="H319" s="7"/>
      <c r="M319" s="4"/>
      <c r="N319" s="4"/>
      <c r="O319" s="4"/>
      <c r="P319" s="4"/>
      <c r="Q319" s="4"/>
    </row>
    <row r="320" spans="4:17" s="2" customFormat="1" x14ac:dyDescent="0.35">
      <c r="D320" s="10"/>
      <c r="E320" s="22"/>
      <c r="F320" s="11"/>
      <c r="G320" s="30"/>
      <c r="H320" s="7"/>
      <c r="M320" s="4"/>
      <c r="N320" s="4"/>
      <c r="O320" s="4"/>
      <c r="P320" s="4"/>
      <c r="Q320" s="4"/>
    </row>
    <row r="321" spans="1:17" s="2" customFormat="1" x14ac:dyDescent="0.35">
      <c r="D321" s="10"/>
      <c r="E321" s="22"/>
      <c r="F321" s="11"/>
      <c r="G321" s="30"/>
      <c r="H321" s="7"/>
      <c r="M321" s="4"/>
      <c r="N321" s="4"/>
      <c r="O321" s="4"/>
      <c r="P321" s="4"/>
      <c r="Q321" s="4"/>
    </row>
    <row r="322" spans="1:17" s="2" customFormat="1" x14ac:dyDescent="0.35">
      <c r="D322" s="10"/>
      <c r="E322" s="22"/>
      <c r="F322" s="11"/>
      <c r="G322" s="30"/>
      <c r="H322" s="7"/>
      <c r="M322" s="4"/>
      <c r="N322" s="4"/>
      <c r="O322" s="4"/>
      <c r="P322" s="4"/>
      <c r="Q322" s="4"/>
    </row>
    <row r="323" spans="1:17" s="2" customFormat="1" x14ac:dyDescent="0.35">
      <c r="D323" s="10"/>
      <c r="E323" s="22"/>
      <c r="F323" s="11"/>
      <c r="G323" s="30"/>
      <c r="H323" s="7"/>
      <c r="M323" s="4"/>
      <c r="N323" s="4"/>
      <c r="O323" s="4"/>
      <c r="P323" s="4"/>
      <c r="Q323" s="4"/>
    </row>
    <row r="324" spans="1:17" x14ac:dyDescent="0.35">
      <c r="A324" s="1"/>
      <c r="B324" s="1"/>
      <c r="C324" s="1"/>
      <c r="D324" s="12"/>
      <c r="E324" s="23"/>
      <c r="F324" s="13"/>
      <c r="G324" s="31"/>
      <c r="H324" s="8"/>
      <c r="I324" s="1"/>
      <c r="J324" s="1"/>
      <c r="K324" s="1"/>
      <c r="L324" s="1"/>
      <c r="M324" s="3"/>
      <c r="N324" s="3"/>
      <c r="O324" s="3"/>
      <c r="P324" s="3"/>
      <c r="Q324" s="3"/>
    </row>
    <row r="325" spans="1:17" x14ac:dyDescent="0.35">
      <c r="F325" s="12"/>
      <c r="I325" s="1"/>
    </row>
  </sheetData>
  <autoFilter ref="A1:Q205"/>
  <sortState ref="A2:Q229">
    <sortCondition descending="1" ref="E2:E229"/>
  </sortState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>
    <tabColor rgb="FFFF0000"/>
  </sheetPr>
  <dimension ref="A1:D162"/>
  <sheetViews>
    <sheetView zoomScale="85" zoomScaleNormal="85" workbookViewId="0">
      <selection activeCell="C165" sqref="C165"/>
    </sheetView>
  </sheetViews>
  <sheetFormatPr baseColWidth="10" defaultColWidth="31.1796875" defaultRowHeight="33.75" customHeight="1" x14ac:dyDescent="0.35"/>
  <cols>
    <col min="3" max="3" width="96.26953125" customWidth="1"/>
  </cols>
  <sheetData>
    <row r="1" spans="1:4" ht="33.75" customHeight="1" x14ac:dyDescent="0.35">
      <c r="A1" s="26" t="s">
        <v>65</v>
      </c>
      <c r="B1" s="26" t="s">
        <v>62</v>
      </c>
      <c r="C1" s="26" t="s">
        <v>63</v>
      </c>
      <c r="D1" s="26" t="s">
        <v>64</v>
      </c>
    </row>
    <row r="2" spans="1:4" ht="33.75" hidden="1" customHeight="1" x14ac:dyDescent="0.35">
      <c r="A2" s="27" t="s">
        <v>69</v>
      </c>
      <c r="B2" s="27" t="s">
        <v>66</v>
      </c>
      <c r="C2" s="27" t="s">
        <v>67</v>
      </c>
      <c r="D2" s="27" t="s">
        <v>68</v>
      </c>
    </row>
    <row r="3" spans="1:4" ht="33.75" hidden="1" customHeight="1" x14ac:dyDescent="0.35">
      <c r="A3" s="27" t="s">
        <v>84</v>
      </c>
      <c r="B3" s="27" t="s">
        <v>66</v>
      </c>
      <c r="C3" s="27" t="s">
        <v>83</v>
      </c>
      <c r="D3" s="27" t="s">
        <v>68</v>
      </c>
    </row>
    <row r="4" spans="1:4" ht="33.75" hidden="1" customHeight="1" x14ac:dyDescent="0.35">
      <c r="A4" s="27" t="s">
        <v>86</v>
      </c>
      <c r="B4" s="27" t="s">
        <v>66</v>
      </c>
      <c r="C4" s="27" t="s">
        <v>85</v>
      </c>
      <c r="D4" s="27" t="s">
        <v>68</v>
      </c>
    </row>
    <row r="5" spans="1:4" ht="33.75" hidden="1" customHeight="1" x14ac:dyDescent="0.35">
      <c r="A5" s="28" t="s">
        <v>46</v>
      </c>
      <c r="B5" s="28" t="s">
        <v>66</v>
      </c>
      <c r="C5" s="28" t="s">
        <v>87</v>
      </c>
      <c r="D5" s="28" t="s">
        <v>68</v>
      </c>
    </row>
    <row r="6" spans="1:4" ht="33.75" hidden="1" customHeight="1" x14ac:dyDescent="0.35">
      <c r="A6" s="28" t="s">
        <v>89</v>
      </c>
      <c r="B6" s="28" t="s">
        <v>66</v>
      </c>
      <c r="C6" s="28" t="s">
        <v>88</v>
      </c>
      <c r="D6" s="28" t="s">
        <v>68</v>
      </c>
    </row>
    <row r="7" spans="1:4" ht="33.75" hidden="1" customHeight="1" x14ac:dyDescent="0.35">
      <c r="A7" s="28" t="s">
        <v>91</v>
      </c>
      <c r="B7" s="28" t="s">
        <v>66</v>
      </c>
      <c r="C7" s="28" t="s">
        <v>90</v>
      </c>
      <c r="D7" s="28" t="s">
        <v>68</v>
      </c>
    </row>
    <row r="8" spans="1:4" ht="33.75" hidden="1" customHeight="1" x14ac:dyDescent="0.35">
      <c r="A8" s="28" t="s">
        <v>49</v>
      </c>
      <c r="B8" s="28" t="s">
        <v>66</v>
      </c>
      <c r="C8" s="28" t="s">
        <v>92</v>
      </c>
      <c r="D8" s="28" t="s">
        <v>68</v>
      </c>
    </row>
    <row r="9" spans="1:4" ht="33.75" hidden="1" customHeight="1" x14ac:dyDescent="0.35">
      <c r="A9" s="28" t="s">
        <v>50</v>
      </c>
      <c r="B9" s="28" t="s">
        <v>66</v>
      </c>
      <c r="C9" s="28" t="s">
        <v>93</v>
      </c>
      <c r="D9" s="28" t="s">
        <v>68</v>
      </c>
    </row>
    <row r="10" spans="1:4" ht="33.75" hidden="1" customHeight="1" x14ac:dyDescent="0.35">
      <c r="A10" s="28" t="s">
        <v>95</v>
      </c>
      <c r="B10" s="28" t="s">
        <v>66</v>
      </c>
      <c r="C10" s="28" t="s">
        <v>94</v>
      </c>
      <c r="D10" s="28" t="s">
        <v>68</v>
      </c>
    </row>
    <row r="11" spans="1:4" ht="33.75" hidden="1" customHeight="1" x14ac:dyDescent="0.35">
      <c r="A11" s="28" t="s">
        <v>97</v>
      </c>
      <c r="B11" s="28" t="s">
        <v>66</v>
      </c>
      <c r="C11" s="28" t="s">
        <v>96</v>
      </c>
      <c r="D11" s="28" t="s">
        <v>68</v>
      </c>
    </row>
    <row r="12" spans="1:4" ht="33.75" hidden="1" customHeight="1" x14ac:dyDescent="0.35">
      <c r="A12" s="28" t="s">
        <v>52</v>
      </c>
      <c r="B12" s="28" t="s">
        <v>66</v>
      </c>
      <c r="C12" s="28" t="s">
        <v>98</v>
      </c>
      <c r="D12" s="28" t="s">
        <v>68</v>
      </c>
    </row>
    <row r="13" spans="1:4" ht="33.75" hidden="1" customHeight="1" x14ac:dyDescent="0.35">
      <c r="A13" s="27" t="s">
        <v>71</v>
      </c>
      <c r="B13" s="27" t="s">
        <v>66</v>
      </c>
      <c r="C13" s="27" t="s">
        <v>70</v>
      </c>
      <c r="D13" s="27" t="s">
        <v>68</v>
      </c>
    </row>
    <row r="14" spans="1:4" ht="33.75" hidden="1" customHeight="1" x14ac:dyDescent="0.35">
      <c r="A14" s="28" t="s">
        <v>100</v>
      </c>
      <c r="B14" s="28" t="s">
        <v>66</v>
      </c>
      <c r="C14" s="28" t="s">
        <v>99</v>
      </c>
      <c r="D14" s="28" t="s">
        <v>68</v>
      </c>
    </row>
    <row r="15" spans="1:4" ht="33.75" hidden="1" customHeight="1" x14ac:dyDescent="0.35">
      <c r="A15" s="28" t="s">
        <v>102</v>
      </c>
      <c r="B15" s="28" t="s">
        <v>66</v>
      </c>
      <c r="C15" s="28" t="s">
        <v>101</v>
      </c>
      <c r="D15" s="28" t="s">
        <v>68</v>
      </c>
    </row>
    <row r="16" spans="1:4" ht="33.75" hidden="1" customHeight="1" x14ac:dyDescent="0.35">
      <c r="A16" s="28" t="s">
        <v>104</v>
      </c>
      <c r="B16" s="28" t="s">
        <v>66</v>
      </c>
      <c r="C16" s="28" t="s">
        <v>103</v>
      </c>
      <c r="D16" s="28" t="s">
        <v>68</v>
      </c>
    </row>
    <row r="17" spans="1:4" ht="33.75" hidden="1" customHeight="1" x14ac:dyDescent="0.35">
      <c r="A17" s="28" t="s">
        <v>53</v>
      </c>
      <c r="B17" s="28" t="s">
        <v>66</v>
      </c>
      <c r="C17" s="28" t="s">
        <v>105</v>
      </c>
      <c r="D17" s="28" t="s">
        <v>68</v>
      </c>
    </row>
    <row r="18" spans="1:4" ht="33.75" hidden="1" customHeight="1" x14ac:dyDescent="0.35">
      <c r="A18" s="27" t="s">
        <v>73</v>
      </c>
      <c r="B18" s="27" t="s">
        <v>66</v>
      </c>
      <c r="C18" s="27" t="s">
        <v>72</v>
      </c>
      <c r="D18" s="27" t="s">
        <v>68</v>
      </c>
    </row>
    <row r="19" spans="1:4" ht="33.75" hidden="1" customHeight="1" x14ac:dyDescent="0.35">
      <c r="A19" s="27" t="s">
        <v>75</v>
      </c>
      <c r="B19" s="27" t="s">
        <v>66</v>
      </c>
      <c r="C19" s="27" t="s">
        <v>74</v>
      </c>
      <c r="D19" s="27" t="s">
        <v>68</v>
      </c>
    </row>
    <row r="20" spans="1:4" ht="33.75" hidden="1" customHeight="1" x14ac:dyDescent="0.35">
      <c r="A20" s="27" t="s">
        <v>48</v>
      </c>
      <c r="B20" s="27" t="s">
        <v>66</v>
      </c>
      <c r="C20" s="27" t="s">
        <v>76</v>
      </c>
      <c r="D20" s="27" t="s">
        <v>68</v>
      </c>
    </row>
    <row r="21" spans="1:4" ht="33.75" hidden="1" customHeight="1" x14ac:dyDescent="0.35">
      <c r="A21" s="27" t="s">
        <v>51</v>
      </c>
      <c r="B21" s="27" t="s">
        <v>66</v>
      </c>
      <c r="C21" s="27" t="s">
        <v>77</v>
      </c>
      <c r="D21" s="27" t="s">
        <v>68</v>
      </c>
    </row>
    <row r="22" spans="1:4" ht="33.75" hidden="1" customHeight="1" x14ac:dyDescent="0.35">
      <c r="A22" s="27" t="s">
        <v>47</v>
      </c>
      <c r="B22" s="27" t="s">
        <v>66</v>
      </c>
      <c r="C22" s="27" t="s">
        <v>78</v>
      </c>
      <c r="D22" s="27" t="s">
        <v>68</v>
      </c>
    </row>
    <row r="23" spans="1:4" ht="33.75" hidden="1" customHeight="1" x14ac:dyDescent="0.35">
      <c r="A23" s="27" t="s">
        <v>80</v>
      </c>
      <c r="B23" s="27" t="s">
        <v>66</v>
      </c>
      <c r="C23" s="27" t="s">
        <v>79</v>
      </c>
      <c r="D23" s="27" t="s">
        <v>68</v>
      </c>
    </row>
    <row r="24" spans="1:4" ht="33.75" hidden="1" customHeight="1" x14ac:dyDescent="0.35">
      <c r="A24" s="27" t="s">
        <v>82</v>
      </c>
      <c r="B24" s="27" t="s">
        <v>66</v>
      </c>
      <c r="C24" s="27" t="s">
        <v>81</v>
      </c>
      <c r="D24" s="27" t="s">
        <v>68</v>
      </c>
    </row>
    <row r="25" spans="1:4" ht="33.75" customHeight="1" x14ac:dyDescent="0.35">
      <c r="A25" s="27" t="s">
        <v>109</v>
      </c>
      <c r="B25" s="27" t="s">
        <v>106</v>
      </c>
      <c r="C25" s="27" t="s">
        <v>107</v>
      </c>
      <c r="D25" s="27" t="s">
        <v>108</v>
      </c>
    </row>
    <row r="26" spans="1:4" ht="33.75" customHeight="1" x14ac:dyDescent="0.35">
      <c r="A26" s="27" t="s">
        <v>42</v>
      </c>
      <c r="B26" s="27" t="s">
        <v>106</v>
      </c>
      <c r="C26" s="27" t="s">
        <v>110</v>
      </c>
      <c r="D26" s="27" t="s">
        <v>108</v>
      </c>
    </row>
    <row r="27" spans="1:4" ht="33.75" customHeight="1" x14ac:dyDescent="0.35">
      <c r="A27" s="28" t="s">
        <v>112</v>
      </c>
      <c r="B27" s="28" t="s">
        <v>106</v>
      </c>
      <c r="C27" s="28" t="s">
        <v>111</v>
      </c>
      <c r="D27" s="28" t="s">
        <v>108</v>
      </c>
    </row>
    <row r="28" spans="1:4" ht="33.75" customHeight="1" x14ac:dyDescent="0.35">
      <c r="A28" s="28" t="s">
        <v>40</v>
      </c>
      <c r="B28" s="28" t="s">
        <v>106</v>
      </c>
      <c r="C28" s="28" t="s">
        <v>113</v>
      </c>
      <c r="D28" s="28" t="s">
        <v>108</v>
      </c>
    </row>
    <row r="29" spans="1:4" ht="33.75" customHeight="1" x14ac:dyDescent="0.35">
      <c r="A29" s="27" t="s">
        <v>115</v>
      </c>
      <c r="B29" s="27" t="s">
        <v>106</v>
      </c>
      <c r="C29" s="27" t="s">
        <v>114</v>
      </c>
      <c r="D29" s="27" t="s">
        <v>108</v>
      </c>
    </row>
    <row r="30" spans="1:4" ht="33.75" customHeight="1" x14ac:dyDescent="0.35">
      <c r="A30" s="27" t="s">
        <v>117</v>
      </c>
      <c r="B30" s="27" t="s">
        <v>106</v>
      </c>
      <c r="C30" s="27" t="s">
        <v>116</v>
      </c>
      <c r="D30" s="27" t="s">
        <v>108</v>
      </c>
    </row>
    <row r="31" spans="1:4" ht="33.75" customHeight="1" x14ac:dyDescent="0.35">
      <c r="A31" s="28" t="s">
        <v>119</v>
      </c>
      <c r="B31" s="28" t="s">
        <v>106</v>
      </c>
      <c r="C31" s="28" t="s">
        <v>118</v>
      </c>
      <c r="D31" s="28" t="s">
        <v>108</v>
      </c>
    </row>
    <row r="32" spans="1:4" ht="33.75" customHeight="1" x14ac:dyDescent="0.35">
      <c r="A32" s="28" t="s">
        <v>41</v>
      </c>
      <c r="B32" s="28" t="s">
        <v>106</v>
      </c>
      <c r="C32" s="28" t="s">
        <v>120</v>
      </c>
      <c r="D32" s="28" t="s">
        <v>108</v>
      </c>
    </row>
    <row r="33" spans="1:4" ht="33.75" hidden="1" customHeight="1" x14ac:dyDescent="0.35">
      <c r="A33" s="27" t="s">
        <v>124</v>
      </c>
      <c r="B33" s="27" t="s">
        <v>121</v>
      </c>
      <c r="C33" s="27" t="s">
        <v>122</v>
      </c>
      <c r="D33" s="27" t="s">
        <v>123</v>
      </c>
    </row>
    <row r="34" spans="1:4" ht="33.75" hidden="1" customHeight="1" x14ac:dyDescent="0.35">
      <c r="A34" s="27" t="s">
        <v>140</v>
      </c>
      <c r="B34" s="27" t="s">
        <v>121</v>
      </c>
      <c r="C34" s="27" t="s">
        <v>139</v>
      </c>
      <c r="D34" s="27" t="s">
        <v>123</v>
      </c>
    </row>
    <row r="35" spans="1:4" ht="33.75" hidden="1" customHeight="1" x14ac:dyDescent="0.35">
      <c r="A35" s="27" t="s">
        <v>142</v>
      </c>
      <c r="B35" s="27" t="s">
        <v>121</v>
      </c>
      <c r="C35" s="27" t="s">
        <v>141</v>
      </c>
      <c r="D35" s="27" t="s">
        <v>123</v>
      </c>
    </row>
    <row r="36" spans="1:4" ht="33.75" hidden="1" customHeight="1" x14ac:dyDescent="0.35">
      <c r="A36" s="27" t="s">
        <v>45</v>
      </c>
      <c r="B36" s="27" t="s">
        <v>121</v>
      </c>
      <c r="C36" s="27" t="s">
        <v>143</v>
      </c>
      <c r="D36" s="27" t="s">
        <v>123</v>
      </c>
    </row>
    <row r="37" spans="1:4" ht="33.75" hidden="1" customHeight="1" x14ac:dyDescent="0.35">
      <c r="A37" s="27" t="s">
        <v>145</v>
      </c>
      <c r="B37" s="27" t="s">
        <v>121</v>
      </c>
      <c r="C37" s="27" t="s">
        <v>144</v>
      </c>
      <c r="D37" s="27" t="s">
        <v>123</v>
      </c>
    </row>
    <row r="38" spans="1:4" ht="33.75" hidden="1" customHeight="1" x14ac:dyDescent="0.35">
      <c r="A38" s="27" t="s">
        <v>56</v>
      </c>
      <c r="B38" s="27" t="s">
        <v>121</v>
      </c>
      <c r="C38" s="27" t="s">
        <v>146</v>
      </c>
      <c r="D38" s="27" t="s">
        <v>123</v>
      </c>
    </row>
    <row r="39" spans="1:4" ht="33.75" hidden="1" customHeight="1" x14ac:dyDescent="0.35">
      <c r="A39" s="28" t="s">
        <v>55</v>
      </c>
      <c r="B39" s="28" t="s">
        <v>121</v>
      </c>
      <c r="C39" s="28" t="s">
        <v>147</v>
      </c>
      <c r="D39" s="28" t="s">
        <v>123</v>
      </c>
    </row>
    <row r="40" spans="1:4" ht="33.75" hidden="1" customHeight="1" x14ac:dyDescent="0.35">
      <c r="A40" s="28" t="s">
        <v>149</v>
      </c>
      <c r="B40" s="28" t="s">
        <v>121</v>
      </c>
      <c r="C40" s="28" t="s">
        <v>148</v>
      </c>
      <c r="D40" s="28" t="s">
        <v>123</v>
      </c>
    </row>
    <row r="41" spans="1:4" ht="33.75" hidden="1" customHeight="1" x14ac:dyDescent="0.35">
      <c r="A41" s="28" t="s">
        <v>151</v>
      </c>
      <c r="B41" s="28" t="s">
        <v>121</v>
      </c>
      <c r="C41" s="28" t="s">
        <v>150</v>
      </c>
      <c r="D41" s="28" t="s">
        <v>123</v>
      </c>
    </row>
    <row r="42" spans="1:4" ht="33.75" hidden="1" customHeight="1" x14ac:dyDescent="0.35">
      <c r="A42" s="27" t="s">
        <v>126</v>
      </c>
      <c r="B42" s="27" t="s">
        <v>121</v>
      </c>
      <c r="C42" s="27" t="s">
        <v>125</v>
      </c>
      <c r="D42" s="27" t="s">
        <v>123</v>
      </c>
    </row>
    <row r="43" spans="1:4" ht="33.75" hidden="1" customHeight="1" x14ac:dyDescent="0.35">
      <c r="A43" s="27" t="s">
        <v>128</v>
      </c>
      <c r="B43" s="27" t="s">
        <v>121</v>
      </c>
      <c r="C43" s="27" t="s">
        <v>127</v>
      </c>
      <c r="D43" s="27" t="s">
        <v>123</v>
      </c>
    </row>
    <row r="44" spans="1:4" ht="33.75" hidden="1" customHeight="1" x14ac:dyDescent="0.35">
      <c r="A44" s="27" t="s">
        <v>130</v>
      </c>
      <c r="B44" s="27" t="s">
        <v>121</v>
      </c>
      <c r="C44" s="27" t="s">
        <v>129</v>
      </c>
      <c r="D44" s="27" t="s">
        <v>123</v>
      </c>
    </row>
    <row r="45" spans="1:4" ht="33.75" hidden="1" customHeight="1" x14ac:dyDescent="0.35">
      <c r="A45" s="27" t="s">
        <v>132</v>
      </c>
      <c r="B45" s="27" t="s">
        <v>121</v>
      </c>
      <c r="C45" s="27" t="s">
        <v>131</v>
      </c>
      <c r="D45" s="27" t="s">
        <v>123</v>
      </c>
    </row>
    <row r="46" spans="1:4" ht="33.75" hidden="1" customHeight="1" x14ac:dyDescent="0.35">
      <c r="A46" s="27" t="s">
        <v>43</v>
      </c>
      <c r="B46" s="27" t="s">
        <v>121</v>
      </c>
      <c r="C46" s="27" t="s">
        <v>133</v>
      </c>
      <c r="D46" s="27" t="s">
        <v>123</v>
      </c>
    </row>
    <row r="47" spans="1:4" s="45" customFormat="1" ht="33.75" hidden="1" customHeight="1" x14ac:dyDescent="0.35">
      <c r="A47" s="27" t="s">
        <v>135</v>
      </c>
      <c r="B47" s="27" t="s">
        <v>121</v>
      </c>
      <c r="C47" s="27" t="s">
        <v>134</v>
      </c>
      <c r="D47" s="27" t="s">
        <v>123</v>
      </c>
    </row>
    <row r="48" spans="1:4" s="45" customFormat="1" ht="33.75" hidden="1" customHeight="1" x14ac:dyDescent="0.35">
      <c r="A48" s="27" t="s">
        <v>137</v>
      </c>
      <c r="B48" s="27" t="s">
        <v>121</v>
      </c>
      <c r="C48" s="27" t="s">
        <v>136</v>
      </c>
      <c r="D48" s="27" t="s">
        <v>123</v>
      </c>
    </row>
    <row r="49" spans="1:4" s="45" customFormat="1" ht="33.75" hidden="1" customHeight="1" x14ac:dyDescent="0.35">
      <c r="A49" s="27" t="s">
        <v>44</v>
      </c>
      <c r="B49" s="27" t="s">
        <v>121</v>
      </c>
      <c r="C49" s="27" t="s">
        <v>138</v>
      </c>
      <c r="D49" s="27" t="s">
        <v>123</v>
      </c>
    </row>
    <row r="50" spans="1:4" ht="33.75" hidden="1" customHeight="1" x14ac:dyDescent="0.35">
      <c r="A50" s="61" t="s">
        <v>368</v>
      </c>
      <c r="B50" s="61" t="s">
        <v>152</v>
      </c>
      <c r="C50" s="61" t="s">
        <v>369</v>
      </c>
      <c r="D50" s="61" t="s">
        <v>153</v>
      </c>
    </row>
    <row r="51" spans="1:4" ht="33.75" hidden="1" customHeight="1" x14ac:dyDescent="0.35">
      <c r="A51" s="27" t="s">
        <v>27</v>
      </c>
      <c r="B51" s="27" t="s">
        <v>152</v>
      </c>
      <c r="C51" s="27" t="s">
        <v>154</v>
      </c>
      <c r="D51" s="27" t="s">
        <v>153</v>
      </c>
    </row>
    <row r="52" spans="1:4" ht="33.75" hidden="1" customHeight="1" x14ac:dyDescent="0.35">
      <c r="A52" s="27" t="s">
        <v>25</v>
      </c>
      <c r="B52" s="27" t="s">
        <v>152</v>
      </c>
      <c r="C52" s="27" t="s">
        <v>155</v>
      </c>
      <c r="D52" s="27" t="s">
        <v>153</v>
      </c>
    </row>
    <row r="53" spans="1:4" ht="33.75" hidden="1" customHeight="1" x14ac:dyDescent="0.35">
      <c r="A53" s="27" t="s">
        <v>26</v>
      </c>
      <c r="B53" s="27" t="s">
        <v>152</v>
      </c>
      <c r="C53" s="27" t="s">
        <v>156</v>
      </c>
      <c r="D53" s="27" t="s">
        <v>153</v>
      </c>
    </row>
    <row r="54" spans="1:4" ht="33.75" hidden="1" customHeight="1" x14ac:dyDescent="0.35">
      <c r="A54" s="27" t="s">
        <v>28</v>
      </c>
      <c r="B54" s="27" t="s">
        <v>152</v>
      </c>
      <c r="C54" s="27" t="s">
        <v>157</v>
      </c>
      <c r="D54" s="27" t="s">
        <v>153</v>
      </c>
    </row>
    <row r="55" spans="1:4" ht="33.75" hidden="1" customHeight="1" x14ac:dyDescent="0.35">
      <c r="A55" s="27" t="s">
        <v>29</v>
      </c>
      <c r="B55" s="27" t="s">
        <v>152</v>
      </c>
      <c r="C55" s="27" t="s">
        <v>158</v>
      </c>
      <c r="D55" s="27" t="s">
        <v>153</v>
      </c>
    </row>
    <row r="56" spans="1:4" ht="33.75" hidden="1" customHeight="1" x14ac:dyDescent="0.35">
      <c r="A56" s="28" t="s">
        <v>160</v>
      </c>
      <c r="B56" s="28" t="s">
        <v>152</v>
      </c>
      <c r="C56" s="28" t="s">
        <v>159</v>
      </c>
      <c r="D56" s="28" t="s">
        <v>153</v>
      </c>
    </row>
    <row r="57" spans="1:4" ht="33.75" hidden="1" customHeight="1" x14ac:dyDescent="0.35">
      <c r="A57" s="28" t="s">
        <v>162</v>
      </c>
      <c r="B57" s="28" t="s">
        <v>152</v>
      </c>
      <c r="C57" s="28" t="s">
        <v>161</v>
      </c>
      <c r="D57" s="28" t="s">
        <v>153</v>
      </c>
    </row>
    <row r="58" spans="1:4" ht="33.75" hidden="1" customHeight="1" x14ac:dyDescent="0.35">
      <c r="A58" s="61" t="s">
        <v>366</v>
      </c>
      <c r="B58" s="61" t="s">
        <v>152</v>
      </c>
      <c r="C58" s="61" t="s">
        <v>367</v>
      </c>
      <c r="D58" s="61" t="s">
        <v>153</v>
      </c>
    </row>
    <row r="59" spans="1:4" ht="33.75" hidden="1" customHeight="1" x14ac:dyDescent="0.35">
      <c r="A59" s="27" t="s">
        <v>166</v>
      </c>
      <c r="B59" s="27" t="s">
        <v>163</v>
      </c>
      <c r="C59" s="27" t="s">
        <v>164</v>
      </c>
      <c r="D59" s="27" t="s">
        <v>165</v>
      </c>
    </row>
    <row r="60" spans="1:4" ht="33.75" hidden="1" customHeight="1" x14ac:dyDescent="0.35">
      <c r="A60" s="27" t="s">
        <v>31</v>
      </c>
      <c r="B60" s="27" t="s">
        <v>163</v>
      </c>
      <c r="C60" s="27" t="s">
        <v>182</v>
      </c>
      <c r="D60" s="27" t="s">
        <v>165</v>
      </c>
    </row>
    <row r="61" spans="1:4" ht="33.75" hidden="1" customHeight="1" x14ac:dyDescent="0.35">
      <c r="A61" s="28" t="s">
        <v>184</v>
      </c>
      <c r="B61" s="28" t="s">
        <v>163</v>
      </c>
      <c r="C61" s="28" t="s">
        <v>183</v>
      </c>
      <c r="D61" s="28" t="s">
        <v>165</v>
      </c>
    </row>
    <row r="62" spans="1:4" ht="33.75" hidden="1" customHeight="1" x14ac:dyDescent="0.35">
      <c r="A62" s="27" t="s">
        <v>168</v>
      </c>
      <c r="B62" s="27" t="s">
        <v>163</v>
      </c>
      <c r="C62" s="27" t="s">
        <v>167</v>
      </c>
      <c r="D62" s="27" t="s">
        <v>165</v>
      </c>
    </row>
    <row r="63" spans="1:4" ht="33.75" hidden="1" customHeight="1" x14ac:dyDescent="0.35">
      <c r="A63" s="27" t="s">
        <v>170</v>
      </c>
      <c r="B63" s="27" t="s">
        <v>163</v>
      </c>
      <c r="C63" s="27" t="s">
        <v>169</v>
      </c>
      <c r="D63" s="27" t="s">
        <v>165</v>
      </c>
    </row>
    <row r="64" spans="1:4" ht="33.75" hidden="1" customHeight="1" x14ac:dyDescent="0.35">
      <c r="A64" s="27" t="s">
        <v>172</v>
      </c>
      <c r="B64" s="27" t="s">
        <v>163</v>
      </c>
      <c r="C64" s="27" t="s">
        <v>171</v>
      </c>
      <c r="D64" s="27" t="s">
        <v>165</v>
      </c>
    </row>
    <row r="65" spans="1:4" ht="33.75" hidden="1" customHeight="1" x14ac:dyDescent="0.35">
      <c r="A65" s="27" t="s">
        <v>174</v>
      </c>
      <c r="B65" s="27" t="s">
        <v>163</v>
      </c>
      <c r="C65" s="27" t="s">
        <v>173</v>
      </c>
      <c r="D65" s="27" t="s">
        <v>165</v>
      </c>
    </row>
    <row r="66" spans="1:4" ht="33.75" hidden="1" customHeight="1" x14ac:dyDescent="0.35">
      <c r="A66" s="27" t="s">
        <v>176</v>
      </c>
      <c r="B66" s="27" t="s">
        <v>163</v>
      </c>
      <c r="C66" s="27" t="s">
        <v>175</v>
      </c>
      <c r="D66" s="27" t="s">
        <v>165</v>
      </c>
    </row>
    <row r="67" spans="1:4" s="45" customFormat="1" ht="33.75" hidden="1" customHeight="1" x14ac:dyDescent="0.35">
      <c r="A67" s="27" t="s">
        <v>178</v>
      </c>
      <c r="B67" s="27" t="s">
        <v>163</v>
      </c>
      <c r="C67" s="27" t="s">
        <v>177</v>
      </c>
      <c r="D67" s="27" t="s">
        <v>165</v>
      </c>
    </row>
    <row r="68" spans="1:4" ht="33.75" hidden="1" customHeight="1" x14ac:dyDescent="0.35">
      <c r="A68" s="27" t="s">
        <v>30</v>
      </c>
      <c r="B68" s="27" t="s">
        <v>163</v>
      </c>
      <c r="C68" s="27" t="s">
        <v>179</v>
      </c>
      <c r="D68" s="27" t="s">
        <v>165</v>
      </c>
    </row>
    <row r="69" spans="1:4" ht="33.75" hidden="1" customHeight="1" x14ac:dyDescent="0.35">
      <c r="A69" s="27" t="s">
        <v>181</v>
      </c>
      <c r="B69" s="27" t="s">
        <v>163</v>
      </c>
      <c r="C69" s="27" t="s">
        <v>180</v>
      </c>
      <c r="D69" s="27" t="s">
        <v>165</v>
      </c>
    </row>
    <row r="70" spans="1:4" ht="33.75" hidden="1" customHeight="1" x14ac:dyDescent="0.35">
      <c r="A70" s="27" t="s">
        <v>188</v>
      </c>
      <c r="B70" s="27" t="s">
        <v>185</v>
      </c>
      <c r="C70" s="27" t="s">
        <v>186</v>
      </c>
      <c r="D70" s="27" t="s">
        <v>187</v>
      </c>
    </row>
    <row r="71" spans="1:4" ht="33.75" hidden="1" customHeight="1" x14ac:dyDescent="0.35">
      <c r="A71" s="27" t="s">
        <v>190</v>
      </c>
      <c r="B71" s="27" t="s">
        <v>185</v>
      </c>
      <c r="C71" s="27" t="s">
        <v>189</v>
      </c>
      <c r="D71" s="27" t="s">
        <v>187</v>
      </c>
    </row>
    <row r="72" spans="1:4" ht="33.75" hidden="1" customHeight="1" x14ac:dyDescent="0.35">
      <c r="A72" s="27" t="s">
        <v>192</v>
      </c>
      <c r="B72" s="27" t="s">
        <v>185</v>
      </c>
      <c r="C72" s="27" t="s">
        <v>191</v>
      </c>
      <c r="D72" s="27" t="s">
        <v>187</v>
      </c>
    </row>
    <row r="73" spans="1:4" ht="33.75" hidden="1" customHeight="1" x14ac:dyDescent="0.35">
      <c r="A73" s="27" t="s">
        <v>194</v>
      </c>
      <c r="B73" s="27" t="s">
        <v>185</v>
      </c>
      <c r="C73" s="27" t="s">
        <v>193</v>
      </c>
      <c r="D73" s="27" t="s">
        <v>187</v>
      </c>
    </row>
    <row r="74" spans="1:4" ht="33.75" hidden="1" customHeight="1" x14ac:dyDescent="0.35">
      <c r="A74" s="27" t="s">
        <v>378</v>
      </c>
      <c r="B74" s="27" t="s">
        <v>185</v>
      </c>
      <c r="C74" s="27" t="s">
        <v>379</v>
      </c>
      <c r="D74" s="27" t="s">
        <v>187</v>
      </c>
    </row>
    <row r="75" spans="1:4" ht="33.75" hidden="1" customHeight="1" x14ac:dyDescent="0.35">
      <c r="A75" s="27" t="s">
        <v>198</v>
      </c>
      <c r="B75" s="27" t="s">
        <v>195</v>
      </c>
      <c r="C75" s="27" t="s">
        <v>196</v>
      </c>
      <c r="D75" s="27" t="s">
        <v>197</v>
      </c>
    </row>
    <row r="76" spans="1:4" ht="33.75" hidden="1" customHeight="1" x14ac:dyDescent="0.35">
      <c r="A76" s="28" t="s">
        <v>356</v>
      </c>
      <c r="B76" s="28" t="s">
        <v>195</v>
      </c>
      <c r="C76" s="28" t="s">
        <v>357</v>
      </c>
      <c r="D76" s="28" t="s">
        <v>197</v>
      </c>
    </row>
    <row r="77" spans="1:4" ht="33.75" hidden="1" customHeight="1" x14ac:dyDescent="0.35">
      <c r="A77" s="27" t="s">
        <v>200</v>
      </c>
      <c r="B77" s="27" t="s">
        <v>195</v>
      </c>
      <c r="C77" s="27" t="s">
        <v>199</v>
      </c>
      <c r="D77" s="27" t="s">
        <v>197</v>
      </c>
    </row>
    <row r="78" spans="1:4" ht="33.75" hidden="1" customHeight="1" x14ac:dyDescent="0.35">
      <c r="A78" s="27" t="s">
        <v>202</v>
      </c>
      <c r="B78" s="27" t="s">
        <v>195</v>
      </c>
      <c r="C78" s="27" t="s">
        <v>201</v>
      </c>
      <c r="D78" s="27" t="s">
        <v>197</v>
      </c>
    </row>
    <row r="79" spans="1:4" ht="33.75" hidden="1" customHeight="1" x14ac:dyDescent="0.35">
      <c r="A79" s="27" t="s">
        <v>204</v>
      </c>
      <c r="B79" s="27" t="s">
        <v>195</v>
      </c>
      <c r="C79" s="27" t="s">
        <v>203</v>
      </c>
      <c r="D79" s="27" t="s">
        <v>197</v>
      </c>
    </row>
    <row r="80" spans="1:4" ht="33.75" hidden="1" customHeight="1" x14ac:dyDescent="0.35">
      <c r="A80" s="27" t="s">
        <v>206</v>
      </c>
      <c r="B80" s="27" t="s">
        <v>195</v>
      </c>
      <c r="C80" s="27" t="s">
        <v>205</v>
      </c>
      <c r="D80" s="27" t="s">
        <v>197</v>
      </c>
    </row>
    <row r="81" spans="1:4" ht="33.75" hidden="1" customHeight="1" x14ac:dyDescent="0.35">
      <c r="A81" s="28" t="s">
        <v>208</v>
      </c>
      <c r="B81" s="28" t="s">
        <v>195</v>
      </c>
      <c r="C81" s="28" t="s">
        <v>207</v>
      </c>
      <c r="D81" s="28" t="s">
        <v>197</v>
      </c>
    </row>
    <row r="82" spans="1:4" ht="33.75" hidden="1" customHeight="1" x14ac:dyDescent="0.35">
      <c r="A82" s="28" t="s">
        <v>210</v>
      </c>
      <c r="B82" s="28" t="s">
        <v>195</v>
      </c>
      <c r="C82" s="28" t="s">
        <v>209</v>
      </c>
      <c r="D82" s="28" t="s">
        <v>197</v>
      </c>
    </row>
    <row r="83" spans="1:4" ht="33.75" hidden="1" customHeight="1" x14ac:dyDescent="0.35">
      <c r="A83" s="28" t="s">
        <v>212</v>
      </c>
      <c r="B83" s="28" t="s">
        <v>195</v>
      </c>
      <c r="C83" s="28" t="s">
        <v>211</v>
      </c>
      <c r="D83" s="28" t="s">
        <v>197</v>
      </c>
    </row>
    <row r="84" spans="1:4" ht="33.75" hidden="1" customHeight="1" x14ac:dyDescent="0.35">
      <c r="A84" s="28" t="s">
        <v>214</v>
      </c>
      <c r="B84" s="28" t="s">
        <v>195</v>
      </c>
      <c r="C84" s="28" t="s">
        <v>213</v>
      </c>
      <c r="D84" s="28" t="s">
        <v>197</v>
      </c>
    </row>
    <row r="85" spans="1:4" ht="33.75" hidden="1" customHeight="1" x14ac:dyDescent="0.35">
      <c r="A85" s="27" t="s">
        <v>218</v>
      </c>
      <c r="B85" s="27" t="s">
        <v>215</v>
      </c>
      <c r="C85" s="27" t="s">
        <v>216</v>
      </c>
      <c r="D85" s="27" t="s">
        <v>217</v>
      </c>
    </row>
    <row r="86" spans="1:4" s="45" customFormat="1" ht="33.75" hidden="1" customHeight="1" x14ac:dyDescent="0.35">
      <c r="A86" s="27" t="s">
        <v>220</v>
      </c>
      <c r="B86" s="27" t="s">
        <v>215</v>
      </c>
      <c r="C86" s="27" t="s">
        <v>219</v>
      </c>
      <c r="D86" s="27" t="s">
        <v>217</v>
      </c>
    </row>
    <row r="87" spans="1:4" ht="33.75" hidden="1" customHeight="1" x14ac:dyDescent="0.35">
      <c r="A87" s="27" t="s">
        <v>32</v>
      </c>
      <c r="B87" s="27" t="s">
        <v>215</v>
      </c>
      <c r="C87" s="27" t="s">
        <v>221</v>
      </c>
      <c r="D87" s="27" t="s">
        <v>217</v>
      </c>
    </row>
    <row r="88" spans="1:4" ht="33.75" hidden="1" customHeight="1" x14ac:dyDescent="0.35">
      <c r="A88" s="28" t="s">
        <v>223</v>
      </c>
      <c r="B88" s="28" t="s">
        <v>215</v>
      </c>
      <c r="C88" s="28" t="s">
        <v>222</v>
      </c>
      <c r="D88" s="28" t="s">
        <v>217</v>
      </c>
    </row>
    <row r="89" spans="1:4" ht="33.75" hidden="1" customHeight="1" x14ac:dyDescent="0.35">
      <c r="A89" s="28" t="s">
        <v>22</v>
      </c>
      <c r="B89" s="28" t="s">
        <v>340</v>
      </c>
      <c r="C89" s="28" t="s">
        <v>341</v>
      </c>
      <c r="D89" s="28" t="s">
        <v>342</v>
      </c>
    </row>
    <row r="90" spans="1:4" ht="33.75" hidden="1" customHeight="1" x14ac:dyDescent="0.35">
      <c r="A90" s="28" t="s">
        <v>23</v>
      </c>
      <c r="B90" s="28" t="s">
        <v>340</v>
      </c>
      <c r="C90" s="28" t="s">
        <v>343</v>
      </c>
      <c r="D90" s="28" t="s">
        <v>342</v>
      </c>
    </row>
    <row r="91" spans="1:4" ht="33.75" hidden="1" customHeight="1" x14ac:dyDescent="0.35">
      <c r="A91" s="28" t="s">
        <v>24</v>
      </c>
      <c r="B91" s="28" t="s">
        <v>340</v>
      </c>
      <c r="C91" s="28" t="s">
        <v>344</v>
      </c>
      <c r="D91" s="28" t="s">
        <v>342</v>
      </c>
    </row>
    <row r="92" spans="1:4" ht="33.75" hidden="1" customHeight="1" x14ac:dyDescent="0.35">
      <c r="A92" s="28" t="s">
        <v>21</v>
      </c>
      <c r="B92" s="28" t="s">
        <v>340</v>
      </c>
      <c r="C92" s="28" t="s">
        <v>345</v>
      </c>
      <c r="D92" s="28" t="s">
        <v>342</v>
      </c>
    </row>
    <row r="93" spans="1:4" ht="33.75" hidden="1" customHeight="1" x14ac:dyDescent="0.35">
      <c r="A93" s="27" t="s">
        <v>227</v>
      </c>
      <c r="B93" s="27" t="s">
        <v>224</v>
      </c>
      <c r="C93" s="27" t="s">
        <v>225</v>
      </c>
      <c r="D93" s="27" t="s">
        <v>226</v>
      </c>
    </row>
    <row r="94" spans="1:4" ht="33.75" hidden="1" customHeight="1" x14ac:dyDescent="0.35">
      <c r="A94" s="27" t="s">
        <v>229</v>
      </c>
      <c r="B94" s="27" t="s">
        <v>224</v>
      </c>
      <c r="C94" s="27" t="s">
        <v>228</v>
      </c>
      <c r="D94" s="27" t="s">
        <v>226</v>
      </c>
    </row>
    <row r="95" spans="1:4" ht="33.75" hidden="1" customHeight="1" x14ac:dyDescent="0.35">
      <c r="A95" s="27" t="s">
        <v>57</v>
      </c>
      <c r="B95" s="27" t="s">
        <v>224</v>
      </c>
      <c r="C95" s="27" t="s">
        <v>230</v>
      </c>
      <c r="D95" s="27" t="s">
        <v>226</v>
      </c>
    </row>
    <row r="96" spans="1:4" ht="33.75" hidden="1" customHeight="1" x14ac:dyDescent="0.35">
      <c r="A96" s="27" t="s">
        <v>234</v>
      </c>
      <c r="B96" s="27" t="s">
        <v>231</v>
      </c>
      <c r="C96" s="27" t="s">
        <v>232</v>
      </c>
      <c r="D96" s="27" t="s">
        <v>233</v>
      </c>
    </row>
    <row r="97" spans="1:4" ht="33.75" hidden="1" customHeight="1" x14ac:dyDescent="0.35">
      <c r="A97" s="27" t="s">
        <v>20</v>
      </c>
      <c r="B97" s="27" t="s">
        <v>231</v>
      </c>
      <c r="C97" s="27" t="s">
        <v>235</v>
      </c>
      <c r="D97" s="27" t="s">
        <v>233</v>
      </c>
    </row>
    <row r="98" spans="1:4" ht="33.75" hidden="1" customHeight="1" x14ac:dyDescent="0.35">
      <c r="A98" s="27" t="s">
        <v>239</v>
      </c>
      <c r="B98" s="27" t="s">
        <v>236</v>
      </c>
      <c r="C98" s="27" t="s">
        <v>237</v>
      </c>
      <c r="D98" s="27" t="s">
        <v>238</v>
      </c>
    </row>
    <row r="99" spans="1:4" ht="33.75" hidden="1" customHeight="1" x14ac:dyDescent="0.35">
      <c r="A99" s="27" t="s">
        <v>241</v>
      </c>
      <c r="B99" s="27" t="s">
        <v>236</v>
      </c>
      <c r="C99" s="27" t="s">
        <v>240</v>
      </c>
      <c r="D99" s="27" t="s">
        <v>238</v>
      </c>
    </row>
    <row r="100" spans="1:4" ht="33.75" hidden="1" customHeight="1" x14ac:dyDescent="0.35">
      <c r="A100" s="27" t="s">
        <v>243</v>
      </c>
      <c r="B100" s="27" t="s">
        <v>236</v>
      </c>
      <c r="C100" s="27" t="s">
        <v>242</v>
      </c>
      <c r="D100" s="27" t="s">
        <v>238</v>
      </c>
    </row>
    <row r="101" spans="1:4" ht="33.75" hidden="1" customHeight="1" x14ac:dyDescent="0.35">
      <c r="A101" s="27" t="s">
        <v>245</v>
      </c>
      <c r="B101" s="27" t="s">
        <v>236</v>
      </c>
      <c r="C101" s="27" t="s">
        <v>244</v>
      </c>
      <c r="D101" s="27" t="s">
        <v>238</v>
      </c>
    </row>
    <row r="102" spans="1:4" ht="33.75" hidden="1" customHeight="1" x14ac:dyDescent="0.35">
      <c r="A102" s="27" t="s">
        <v>247</v>
      </c>
      <c r="B102" s="27" t="s">
        <v>236</v>
      </c>
      <c r="C102" s="27" t="s">
        <v>246</v>
      </c>
      <c r="D102" s="27" t="s">
        <v>238</v>
      </c>
    </row>
    <row r="103" spans="1:4" ht="33.75" hidden="1" customHeight="1" x14ac:dyDescent="0.35">
      <c r="A103" s="27" t="s">
        <v>249</v>
      </c>
      <c r="B103" s="27" t="s">
        <v>236</v>
      </c>
      <c r="C103" s="27" t="s">
        <v>248</v>
      </c>
      <c r="D103" s="27" t="s">
        <v>238</v>
      </c>
    </row>
    <row r="104" spans="1:4" ht="33.75" hidden="1" customHeight="1" x14ac:dyDescent="0.35">
      <c r="A104" s="61" t="s">
        <v>363</v>
      </c>
      <c r="B104" s="61" t="s">
        <v>236</v>
      </c>
      <c r="C104" s="61" t="s">
        <v>364</v>
      </c>
      <c r="D104" s="61" t="s">
        <v>238</v>
      </c>
    </row>
    <row r="105" spans="1:4" ht="33.75" hidden="1" customHeight="1" x14ac:dyDescent="0.35">
      <c r="A105" s="27" t="s">
        <v>253</v>
      </c>
      <c r="B105" s="27" t="s">
        <v>250</v>
      </c>
      <c r="C105" s="27" t="s">
        <v>251</v>
      </c>
      <c r="D105" s="27" t="s">
        <v>252</v>
      </c>
    </row>
    <row r="106" spans="1:4" ht="33.75" hidden="1" customHeight="1" x14ac:dyDescent="0.35">
      <c r="A106" s="28" t="s">
        <v>346</v>
      </c>
      <c r="B106" s="28" t="s">
        <v>250</v>
      </c>
      <c r="C106" s="28" t="s">
        <v>347</v>
      </c>
      <c r="D106" s="28" t="s">
        <v>252</v>
      </c>
    </row>
    <row r="107" spans="1:4" ht="33.75" hidden="1" customHeight="1" x14ac:dyDescent="0.35">
      <c r="A107" s="27" t="s">
        <v>255</v>
      </c>
      <c r="B107" s="27" t="s">
        <v>250</v>
      </c>
      <c r="C107" s="27" t="s">
        <v>254</v>
      </c>
      <c r="D107" s="27" t="s">
        <v>252</v>
      </c>
    </row>
    <row r="108" spans="1:4" ht="33.75" hidden="1" customHeight="1" x14ac:dyDescent="0.35">
      <c r="A108" s="27" t="s">
        <v>37</v>
      </c>
      <c r="B108" s="27" t="s">
        <v>250</v>
      </c>
      <c r="C108" s="27" t="s">
        <v>256</v>
      </c>
      <c r="D108" s="27" t="s">
        <v>252</v>
      </c>
    </row>
    <row r="109" spans="1:4" ht="33.75" hidden="1" customHeight="1" x14ac:dyDescent="0.35">
      <c r="A109" s="27" t="s">
        <v>18</v>
      </c>
      <c r="B109" s="27" t="s">
        <v>250</v>
      </c>
      <c r="C109" s="27" t="s">
        <v>257</v>
      </c>
      <c r="D109" s="27" t="s">
        <v>252</v>
      </c>
    </row>
    <row r="110" spans="1:4" ht="33.75" hidden="1" customHeight="1" x14ac:dyDescent="0.35">
      <c r="A110" s="27" t="s">
        <v>38</v>
      </c>
      <c r="B110" s="27" t="s">
        <v>250</v>
      </c>
      <c r="C110" s="27" t="s">
        <v>258</v>
      </c>
      <c r="D110" s="27" t="s">
        <v>252</v>
      </c>
    </row>
    <row r="111" spans="1:4" ht="33.75" hidden="1" customHeight="1" x14ac:dyDescent="0.35">
      <c r="A111" s="27" t="s">
        <v>39</v>
      </c>
      <c r="B111" s="27" t="s">
        <v>250</v>
      </c>
      <c r="C111" s="27" t="s">
        <v>259</v>
      </c>
      <c r="D111" s="27" t="s">
        <v>252</v>
      </c>
    </row>
    <row r="112" spans="1:4" ht="33.75" hidden="1" customHeight="1" x14ac:dyDescent="0.35">
      <c r="A112" s="27" t="s">
        <v>260</v>
      </c>
      <c r="B112" s="27" t="s">
        <v>250</v>
      </c>
      <c r="C112" s="27" t="s">
        <v>365</v>
      </c>
      <c r="D112" s="27" t="s">
        <v>252</v>
      </c>
    </row>
    <row r="113" spans="1:4" ht="33.75" hidden="1" customHeight="1" x14ac:dyDescent="0.35">
      <c r="A113" s="28" t="s">
        <v>263</v>
      </c>
      <c r="B113" s="28" t="s">
        <v>250</v>
      </c>
      <c r="C113" s="28" t="s">
        <v>262</v>
      </c>
      <c r="D113" s="28" t="s">
        <v>252</v>
      </c>
    </row>
    <row r="114" spans="1:4" ht="33.75" hidden="1" customHeight="1" x14ac:dyDescent="0.35">
      <c r="A114" s="28" t="s">
        <v>36</v>
      </c>
      <c r="B114" s="28" t="s">
        <v>250</v>
      </c>
      <c r="C114" s="28" t="s">
        <v>261</v>
      </c>
      <c r="D114" s="28" t="s">
        <v>252</v>
      </c>
    </row>
    <row r="115" spans="1:4" ht="33.75" hidden="1" customHeight="1" x14ac:dyDescent="0.35">
      <c r="A115" s="27" t="s">
        <v>267</v>
      </c>
      <c r="B115" s="27" t="s">
        <v>264</v>
      </c>
      <c r="C115" s="27" t="s">
        <v>265</v>
      </c>
      <c r="D115" s="27" t="s">
        <v>266</v>
      </c>
    </row>
    <row r="116" spans="1:4" ht="33.75" hidden="1" customHeight="1" x14ac:dyDescent="0.35">
      <c r="A116" s="27" t="s">
        <v>54</v>
      </c>
      <c r="B116" s="27" t="s">
        <v>264</v>
      </c>
      <c r="C116" s="27" t="s">
        <v>268</v>
      </c>
      <c r="D116" s="27" t="s">
        <v>266</v>
      </c>
    </row>
    <row r="117" spans="1:4" ht="33.75" hidden="1" customHeight="1" x14ac:dyDescent="0.35">
      <c r="A117" s="27" t="s">
        <v>270</v>
      </c>
      <c r="B117" s="27" t="s">
        <v>264</v>
      </c>
      <c r="C117" s="27" t="s">
        <v>269</v>
      </c>
      <c r="D117" s="27" t="s">
        <v>266</v>
      </c>
    </row>
    <row r="118" spans="1:4" ht="33.75" hidden="1" customHeight="1" x14ac:dyDescent="0.35">
      <c r="A118" s="28" t="s">
        <v>353</v>
      </c>
      <c r="B118" s="28" t="s">
        <v>264</v>
      </c>
      <c r="C118" s="28" t="s">
        <v>354</v>
      </c>
      <c r="D118" s="28" t="s">
        <v>266</v>
      </c>
    </row>
    <row r="119" spans="1:4" s="45" customFormat="1" ht="33.75" hidden="1" customHeight="1" x14ac:dyDescent="0.35">
      <c r="A119" s="27" t="s">
        <v>275</v>
      </c>
      <c r="B119" s="27" t="s">
        <v>272</v>
      </c>
      <c r="C119" s="27" t="s">
        <v>273</v>
      </c>
      <c r="D119" s="27" t="s">
        <v>274</v>
      </c>
    </row>
    <row r="120" spans="1:4" ht="33.75" hidden="1" customHeight="1" x14ac:dyDescent="0.35">
      <c r="A120" s="27" t="s">
        <v>34</v>
      </c>
      <c r="B120" s="27" t="s">
        <v>272</v>
      </c>
      <c r="C120" s="27" t="s">
        <v>290</v>
      </c>
      <c r="D120" s="27" t="s">
        <v>274</v>
      </c>
    </row>
    <row r="121" spans="1:4" ht="33.75" hidden="1" customHeight="1" x14ac:dyDescent="0.35">
      <c r="A121" s="27" t="s">
        <v>35</v>
      </c>
      <c r="B121" s="27" t="s">
        <v>272</v>
      </c>
      <c r="C121" s="27" t="s">
        <v>291</v>
      </c>
      <c r="D121" s="27" t="s">
        <v>274</v>
      </c>
    </row>
    <row r="122" spans="1:4" ht="33.75" hidden="1" customHeight="1" x14ac:dyDescent="0.35">
      <c r="A122" s="27" t="s">
        <v>293</v>
      </c>
      <c r="B122" s="27" t="s">
        <v>272</v>
      </c>
      <c r="C122" s="27" t="s">
        <v>292</v>
      </c>
      <c r="D122" s="27" t="s">
        <v>274</v>
      </c>
    </row>
    <row r="123" spans="1:4" ht="33.75" hidden="1" customHeight="1" x14ac:dyDescent="0.35">
      <c r="A123" s="27" t="s">
        <v>277</v>
      </c>
      <c r="B123" s="27" t="s">
        <v>272</v>
      </c>
      <c r="C123" s="27" t="s">
        <v>276</v>
      </c>
      <c r="D123" s="27" t="s">
        <v>274</v>
      </c>
    </row>
    <row r="124" spans="1:4" ht="33.75" hidden="1" customHeight="1" x14ac:dyDescent="0.35">
      <c r="A124" s="27" t="s">
        <v>279</v>
      </c>
      <c r="B124" s="27" t="s">
        <v>272</v>
      </c>
      <c r="C124" s="27" t="s">
        <v>278</v>
      </c>
      <c r="D124" s="27" t="s">
        <v>274</v>
      </c>
    </row>
    <row r="125" spans="1:4" ht="33.75" hidden="1" customHeight="1" x14ac:dyDescent="0.35">
      <c r="A125" s="27" t="s">
        <v>280</v>
      </c>
      <c r="B125" s="27" t="s">
        <v>272</v>
      </c>
      <c r="C125" s="27" t="s">
        <v>261</v>
      </c>
      <c r="D125" s="27" t="s">
        <v>274</v>
      </c>
    </row>
    <row r="126" spans="1:4" ht="33.75" hidden="1" customHeight="1" x14ac:dyDescent="0.35">
      <c r="A126" s="27" t="s">
        <v>282</v>
      </c>
      <c r="B126" s="27" t="s">
        <v>272</v>
      </c>
      <c r="C126" s="27" t="s">
        <v>281</v>
      </c>
      <c r="D126" s="27" t="s">
        <v>274</v>
      </c>
    </row>
    <row r="127" spans="1:4" ht="33.75" hidden="1" customHeight="1" x14ac:dyDescent="0.35">
      <c r="A127" s="27" t="s">
        <v>284</v>
      </c>
      <c r="B127" s="27" t="s">
        <v>272</v>
      </c>
      <c r="C127" s="27" t="s">
        <v>283</v>
      </c>
      <c r="D127" s="27" t="s">
        <v>274</v>
      </c>
    </row>
    <row r="128" spans="1:4" ht="33.75" hidden="1" customHeight="1" x14ac:dyDescent="0.35">
      <c r="A128" s="27" t="s">
        <v>286</v>
      </c>
      <c r="B128" s="27" t="s">
        <v>272</v>
      </c>
      <c r="C128" s="27" t="s">
        <v>285</v>
      </c>
      <c r="D128" s="27" t="s">
        <v>274</v>
      </c>
    </row>
    <row r="129" spans="1:4" ht="33.75" hidden="1" customHeight="1" x14ac:dyDescent="0.35">
      <c r="A129" s="27" t="s">
        <v>288</v>
      </c>
      <c r="B129" s="27" t="s">
        <v>272</v>
      </c>
      <c r="C129" s="27" t="s">
        <v>287</v>
      </c>
      <c r="D129" s="27" t="s">
        <v>274</v>
      </c>
    </row>
    <row r="130" spans="1:4" ht="33.75" hidden="1" customHeight="1" x14ac:dyDescent="0.35">
      <c r="A130" s="27" t="s">
        <v>33</v>
      </c>
      <c r="B130" s="27" t="s">
        <v>272</v>
      </c>
      <c r="C130" s="27" t="s">
        <v>289</v>
      </c>
      <c r="D130" s="27" t="s">
        <v>274</v>
      </c>
    </row>
    <row r="131" spans="1:4" ht="33.75" hidden="1" customHeight="1" x14ac:dyDescent="0.35">
      <c r="A131" s="29" t="s">
        <v>61</v>
      </c>
      <c r="B131" s="27" t="s">
        <v>294</v>
      </c>
      <c r="C131" s="27" t="s">
        <v>295</v>
      </c>
      <c r="D131" s="27" t="s">
        <v>296</v>
      </c>
    </row>
    <row r="132" spans="1:4" ht="33.75" hidden="1" customHeight="1" x14ac:dyDescent="0.35">
      <c r="A132" s="27" t="s">
        <v>298</v>
      </c>
      <c r="B132" s="27" t="s">
        <v>294</v>
      </c>
      <c r="C132" s="27" t="s">
        <v>297</v>
      </c>
      <c r="D132" s="27" t="s">
        <v>296</v>
      </c>
    </row>
    <row r="133" spans="1:4" ht="33.75" hidden="1" customHeight="1" x14ac:dyDescent="0.35">
      <c r="A133" s="27" t="s">
        <v>300</v>
      </c>
      <c r="B133" s="27" t="s">
        <v>294</v>
      </c>
      <c r="C133" s="27" t="s">
        <v>299</v>
      </c>
      <c r="D133" s="27" t="s">
        <v>296</v>
      </c>
    </row>
    <row r="134" spans="1:4" ht="33.75" hidden="1" customHeight="1" x14ac:dyDescent="0.35">
      <c r="A134" s="27" t="s">
        <v>302</v>
      </c>
      <c r="B134" s="27" t="s">
        <v>294</v>
      </c>
      <c r="C134" s="27" t="s">
        <v>301</v>
      </c>
      <c r="D134" s="27" t="s">
        <v>296</v>
      </c>
    </row>
    <row r="135" spans="1:4" ht="33.75" hidden="1" customHeight="1" x14ac:dyDescent="0.35">
      <c r="A135" s="27" t="s">
        <v>304</v>
      </c>
      <c r="B135" s="27" t="s">
        <v>294</v>
      </c>
      <c r="C135" s="27" t="s">
        <v>303</v>
      </c>
      <c r="D135" s="27" t="s">
        <v>296</v>
      </c>
    </row>
    <row r="136" spans="1:4" ht="33.75" hidden="1" customHeight="1" x14ac:dyDescent="0.35">
      <c r="A136" s="27" t="s">
        <v>306</v>
      </c>
      <c r="B136" s="27" t="s">
        <v>294</v>
      </c>
      <c r="C136" s="27" t="s">
        <v>305</v>
      </c>
      <c r="D136" s="27" t="s">
        <v>296</v>
      </c>
    </row>
    <row r="137" spans="1:4" ht="33.75" hidden="1" customHeight="1" x14ac:dyDescent="0.35">
      <c r="A137" s="28" t="s">
        <v>308</v>
      </c>
      <c r="B137" s="28" t="s">
        <v>294</v>
      </c>
      <c r="C137" s="28" t="s">
        <v>307</v>
      </c>
      <c r="D137" s="28" t="s">
        <v>296</v>
      </c>
    </row>
    <row r="138" spans="1:4" ht="33.75" hidden="1" customHeight="1" x14ac:dyDescent="0.35">
      <c r="A138" s="28" t="s">
        <v>310</v>
      </c>
      <c r="B138" s="28" t="s">
        <v>294</v>
      </c>
      <c r="C138" s="28" t="s">
        <v>309</v>
      </c>
      <c r="D138" s="28" t="s">
        <v>296</v>
      </c>
    </row>
    <row r="139" spans="1:4" ht="33.75" hidden="1" customHeight="1" x14ac:dyDescent="0.35">
      <c r="A139" s="28" t="s">
        <v>312</v>
      </c>
      <c r="B139" s="28" t="s">
        <v>294</v>
      </c>
      <c r="C139" s="28" t="s">
        <v>311</v>
      </c>
      <c r="D139" s="28" t="s">
        <v>296</v>
      </c>
    </row>
    <row r="140" spans="1:4" ht="33.75" hidden="1" customHeight="1" x14ac:dyDescent="0.35">
      <c r="A140" s="27" t="s">
        <v>316</v>
      </c>
      <c r="B140" s="27" t="s">
        <v>313</v>
      </c>
      <c r="C140" s="27" t="s">
        <v>314</v>
      </c>
      <c r="D140" s="27" t="s">
        <v>315</v>
      </c>
    </row>
    <row r="141" spans="1:4" ht="33.75" hidden="1" customHeight="1" x14ac:dyDescent="0.35">
      <c r="A141" s="27" t="s">
        <v>318</v>
      </c>
      <c r="B141" s="27" t="s">
        <v>313</v>
      </c>
      <c r="C141" s="27" t="s">
        <v>317</v>
      </c>
      <c r="D141" s="27" t="s">
        <v>315</v>
      </c>
    </row>
    <row r="142" spans="1:4" ht="33.75" hidden="1" customHeight="1" x14ac:dyDescent="0.35">
      <c r="A142" s="27" t="s">
        <v>320</v>
      </c>
      <c r="B142" s="27" t="s">
        <v>313</v>
      </c>
      <c r="C142" s="27" t="s">
        <v>319</v>
      </c>
      <c r="D142" s="27" t="s">
        <v>315</v>
      </c>
    </row>
    <row r="143" spans="1:4" ht="33.75" hidden="1" customHeight="1" x14ac:dyDescent="0.35">
      <c r="A143" s="27" t="s">
        <v>60</v>
      </c>
      <c r="B143" s="27" t="s">
        <v>313</v>
      </c>
      <c r="C143" s="27" t="s">
        <v>321</v>
      </c>
      <c r="D143" s="27" t="s">
        <v>315</v>
      </c>
    </row>
    <row r="144" spans="1:4" ht="33.75" hidden="1" customHeight="1" x14ac:dyDescent="0.35">
      <c r="A144" s="27" t="s">
        <v>60</v>
      </c>
      <c r="B144" s="27" t="s">
        <v>313</v>
      </c>
      <c r="C144" s="27" t="s">
        <v>321</v>
      </c>
      <c r="D144" s="27" t="s">
        <v>315</v>
      </c>
    </row>
    <row r="145" spans="1:4" ht="33.75" hidden="1" customHeight="1" x14ac:dyDescent="0.35">
      <c r="A145" s="27" t="s">
        <v>325</v>
      </c>
      <c r="B145" s="27" t="s">
        <v>322</v>
      </c>
      <c r="C145" s="27" t="s">
        <v>323</v>
      </c>
      <c r="D145" s="27" t="s">
        <v>324</v>
      </c>
    </row>
    <row r="146" spans="1:4" ht="33.75" hidden="1" customHeight="1" x14ac:dyDescent="0.35">
      <c r="A146" s="27" t="s">
        <v>325</v>
      </c>
      <c r="B146" s="27" t="s">
        <v>322</v>
      </c>
      <c r="C146" s="27" t="s">
        <v>323</v>
      </c>
      <c r="D146" s="27" t="s">
        <v>324</v>
      </c>
    </row>
    <row r="147" spans="1:4" ht="33.75" hidden="1" customHeight="1" x14ac:dyDescent="0.35">
      <c r="A147" s="27" t="s">
        <v>327</v>
      </c>
      <c r="B147" s="27" t="s">
        <v>322</v>
      </c>
      <c r="C147" s="27" t="s">
        <v>326</v>
      </c>
      <c r="D147" s="27" t="s">
        <v>324</v>
      </c>
    </row>
    <row r="148" spans="1:4" ht="33.75" hidden="1" customHeight="1" x14ac:dyDescent="0.35">
      <c r="A148" s="27" t="s">
        <v>327</v>
      </c>
      <c r="B148" s="27" t="s">
        <v>322</v>
      </c>
      <c r="C148" s="27" t="s">
        <v>326</v>
      </c>
      <c r="D148" s="27" t="s">
        <v>324</v>
      </c>
    </row>
    <row r="149" spans="1:4" ht="33.75" hidden="1" customHeight="1" x14ac:dyDescent="0.35">
      <c r="A149" s="27" t="s">
        <v>329</v>
      </c>
      <c r="B149" s="27" t="s">
        <v>322</v>
      </c>
      <c r="C149" s="27" t="s">
        <v>328</v>
      </c>
      <c r="D149" s="27" t="s">
        <v>324</v>
      </c>
    </row>
    <row r="150" spans="1:4" ht="33.75" hidden="1" customHeight="1" x14ac:dyDescent="0.35">
      <c r="A150" s="27" t="s">
        <v>329</v>
      </c>
      <c r="B150" s="27" t="s">
        <v>322</v>
      </c>
      <c r="C150" s="27" t="s">
        <v>328</v>
      </c>
      <c r="D150" s="27" t="s">
        <v>324</v>
      </c>
    </row>
    <row r="151" spans="1:4" ht="33.75" hidden="1" customHeight="1" x14ac:dyDescent="0.35">
      <c r="A151" s="27" t="s">
        <v>331</v>
      </c>
      <c r="B151" s="27" t="s">
        <v>322</v>
      </c>
      <c r="C151" s="27" t="s">
        <v>330</v>
      </c>
      <c r="D151" s="27" t="s">
        <v>324</v>
      </c>
    </row>
    <row r="152" spans="1:4" ht="33.75" hidden="1" customHeight="1" x14ac:dyDescent="0.35">
      <c r="A152" s="27" t="s">
        <v>331</v>
      </c>
      <c r="B152" s="27" t="s">
        <v>322</v>
      </c>
      <c r="C152" s="27" t="s">
        <v>330</v>
      </c>
      <c r="D152" s="27" t="s">
        <v>324</v>
      </c>
    </row>
    <row r="153" spans="1:4" ht="33.75" hidden="1" customHeight="1" x14ac:dyDescent="0.35">
      <c r="A153" s="27" t="s">
        <v>58</v>
      </c>
      <c r="B153" s="27" t="s">
        <v>322</v>
      </c>
      <c r="C153" s="27" t="s">
        <v>332</v>
      </c>
      <c r="D153" s="27" t="s">
        <v>324</v>
      </c>
    </row>
    <row r="154" spans="1:4" ht="33.75" hidden="1" customHeight="1" x14ac:dyDescent="0.35">
      <c r="A154" s="27" t="s">
        <v>58</v>
      </c>
      <c r="B154" s="27" t="s">
        <v>322</v>
      </c>
      <c r="C154" s="27" t="s">
        <v>332</v>
      </c>
      <c r="D154" s="27" t="s">
        <v>324</v>
      </c>
    </row>
    <row r="155" spans="1:4" ht="33.75" hidden="1" customHeight="1" x14ac:dyDescent="0.35">
      <c r="A155" s="28" t="s">
        <v>334</v>
      </c>
      <c r="B155" s="28" t="s">
        <v>322</v>
      </c>
      <c r="C155" s="28" t="s">
        <v>333</v>
      </c>
      <c r="D155" s="28" t="s">
        <v>324</v>
      </c>
    </row>
    <row r="156" spans="1:4" ht="33.75" hidden="1" customHeight="1" x14ac:dyDescent="0.35">
      <c r="A156" s="28" t="s">
        <v>334</v>
      </c>
      <c r="B156" s="28" t="s">
        <v>322</v>
      </c>
      <c r="C156" s="28" t="s">
        <v>333</v>
      </c>
      <c r="D156" s="28" t="s">
        <v>324</v>
      </c>
    </row>
    <row r="157" spans="1:4" ht="33.75" hidden="1" customHeight="1" x14ac:dyDescent="0.35">
      <c r="A157" s="28" t="s">
        <v>59</v>
      </c>
      <c r="B157" s="28" t="s">
        <v>322</v>
      </c>
      <c r="C157" s="28" t="s">
        <v>335</v>
      </c>
      <c r="D157" s="28" t="s">
        <v>324</v>
      </c>
    </row>
    <row r="158" spans="1:4" ht="33.75" hidden="1" customHeight="1" x14ac:dyDescent="0.35">
      <c r="A158" s="28" t="s">
        <v>59</v>
      </c>
      <c r="B158" s="28" t="s">
        <v>322</v>
      </c>
      <c r="C158" s="28" t="s">
        <v>335</v>
      </c>
      <c r="D158" s="28" t="s">
        <v>324</v>
      </c>
    </row>
    <row r="159" spans="1:4" ht="33.75" hidden="1" customHeight="1" x14ac:dyDescent="0.35">
      <c r="A159" s="28" t="s">
        <v>337</v>
      </c>
      <c r="B159" s="28" t="s">
        <v>322</v>
      </c>
      <c r="C159" s="28" t="s">
        <v>336</v>
      </c>
      <c r="D159" s="28" t="s">
        <v>324</v>
      </c>
    </row>
    <row r="160" spans="1:4" ht="33.75" hidden="1" customHeight="1" x14ac:dyDescent="0.35">
      <c r="A160" s="28" t="s">
        <v>337</v>
      </c>
      <c r="B160" s="28" t="s">
        <v>322</v>
      </c>
      <c r="C160" s="28" t="s">
        <v>336</v>
      </c>
      <c r="D160" s="28" t="s">
        <v>324</v>
      </c>
    </row>
    <row r="161" spans="1:4" ht="33.75" hidden="1" customHeight="1" x14ac:dyDescent="0.35">
      <c r="A161" s="28" t="s">
        <v>339</v>
      </c>
      <c r="B161" s="28" t="s">
        <v>322</v>
      </c>
      <c r="C161" s="28" t="s">
        <v>338</v>
      </c>
      <c r="D161" s="28" t="s">
        <v>324</v>
      </c>
    </row>
    <row r="162" spans="1:4" ht="31.5" hidden="1" customHeight="1" x14ac:dyDescent="0.35">
      <c r="A162" s="28" t="s">
        <v>339</v>
      </c>
      <c r="B162" s="28" t="s">
        <v>322</v>
      </c>
      <c r="C162" s="28" t="s">
        <v>338</v>
      </c>
      <c r="D162" s="28" t="s">
        <v>324</v>
      </c>
    </row>
  </sheetData>
  <autoFilter ref="A1:D162">
    <filterColumn colId="3">
      <filters>
        <filter val="AL"/>
      </filters>
    </filterColumn>
  </autoFilter>
  <sortState ref="A2:D162">
    <sortCondition ref="A2:A16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3"/>
  <sheetViews>
    <sheetView tabSelected="1" workbookViewId="0">
      <selection activeCell="A4" sqref="A4"/>
    </sheetView>
  </sheetViews>
  <sheetFormatPr baseColWidth="10" defaultRowHeight="14.5" x14ac:dyDescent="0.35"/>
  <cols>
    <col min="1" max="1" width="15.26953125" customWidth="1"/>
    <col min="2" max="2" width="14.1796875" customWidth="1"/>
    <col min="3" max="3" width="17.54296875" customWidth="1"/>
  </cols>
  <sheetData>
    <row r="1" spans="1:3" x14ac:dyDescent="0.35">
      <c r="A1" s="15" t="s">
        <v>12</v>
      </c>
      <c r="B1" s="15" t="s">
        <v>13</v>
      </c>
      <c r="C1" s="15" t="s">
        <v>14</v>
      </c>
    </row>
    <row r="2" spans="1:3" x14ac:dyDescent="0.35">
      <c r="A2" s="16"/>
      <c r="B2" s="16"/>
      <c r="C2" s="17" t="s">
        <v>17</v>
      </c>
    </row>
    <row r="3" spans="1:3" x14ac:dyDescent="0.35">
      <c r="A3" s="24">
        <v>44181</v>
      </c>
      <c r="B3" s="24">
        <v>44275</v>
      </c>
      <c r="C3" t="s">
        <v>385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inicio</vt:lpstr>
      <vt:lpstr>base</vt:lpstr>
      <vt:lpstr>NO TOCAR</vt:lpstr>
      <vt:lpstr>Actualizaciones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Arenal Seco, Francisco</cp:lastModifiedBy>
  <dcterms:created xsi:type="dcterms:W3CDTF">2020-11-25T08:49:27Z</dcterms:created>
  <dcterms:modified xsi:type="dcterms:W3CDTF">2021-03-26T12:16:26Z</dcterms:modified>
</cp:coreProperties>
</file>