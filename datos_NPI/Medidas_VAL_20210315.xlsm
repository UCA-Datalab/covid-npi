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rancisco.arenal\Desktop\indicador Impacto MEdidas\TODAS\"/>
    </mc:Choice>
  </mc:AlternateContent>
  <bookViews>
    <workbookView xWindow="-120" yWindow="-120" windowWidth="19320" windowHeight="8040" firstSheet="1" activeTab="1"/>
  </bookViews>
  <sheets>
    <sheet name="inicio" sheetId="3" r:id="rId1"/>
    <sheet name="base" sheetId="2" r:id="rId2"/>
    <sheet name="NO TOCAR" sheetId="7" r:id="rId3"/>
    <sheet name="Actualizaciones" sheetId="6" r:id="rId4"/>
    <sheet name="Población Castellón" sheetId="8" r:id="rId5"/>
    <sheet name="Población Valencia" sheetId="9" r:id="rId6"/>
    <sheet name="Población Alicante" sheetId="10" r:id="rId7"/>
    <sheet name="Población comunidad" sheetId="12" r:id="rId8"/>
    <sheet name="Hoja3" sheetId="13" r:id="rId9"/>
  </sheets>
  <definedNames>
    <definedName name="_xlnm._FilterDatabase" localSheetId="1" hidden="1">base!$A$1:$Q$153</definedName>
    <definedName name="_xlnm._FilterDatabase" localSheetId="2" hidden="1">'NO TOCAR'!$A$1:$D$147</definedName>
    <definedName name="_xlnm._FilterDatabase" localSheetId="6" hidden="1">'Población Alicante'!$A$9:$C$150</definedName>
    <definedName name="_xlnm._FilterDatabase" localSheetId="4" hidden="1">'Población Castellón'!$A$9:$C$144</definedName>
    <definedName name="_xlnm._FilterDatabase" localSheetId="7" hidden="1">'Población comunidad'!$A$3:$D$545</definedName>
    <definedName name="_xlnm._FilterDatabase" localSheetId="5" hidden="1">'Población Valencia'!$A$9:$C$275</definedName>
    <definedName name="Andalucía" localSheetId="3">#REF!</definedName>
    <definedName name="Andalucía">#REF!</definedName>
    <definedName name="Aragón" localSheetId="3">#REF!</definedName>
    <definedName name="Aragón">#REF!</definedName>
    <definedName name="Canarias" localSheetId="3">#REF!</definedName>
    <definedName name="Canarias">#REF!</definedName>
    <definedName name="Castilla_La_Mancha">#REF!</definedName>
    <definedName name="Castilla_y_León">#REF!</definedName>
    <definedName name="Cataluña">#REF!</definedName>
    <definedName name="comunidad_autónoma">#REF!</definedName>
    <definedName name="Comunidad_Valenciana">#REF!</definedName>
    <definedName name="Extremadura">#REF!</definedName>
    <definedName name="Galicia">#REF!</definedName>
    <definedName name="País_Vasco">#REF!</definedName>
  </definedNames>
  <calcPr calcId="162913"/>
</workbook>
</file>

<file path=xl/calcChain.xml><?xml version="1.0" encoding="utf-8"?>
<calcChain xmlns="http://schemas.openxmlformats.org/spreadsheetml/2006/main">
  <c r="J152" i="2" l="1"/>
  <c r="I152" i="2"/>
  <c r="G152" i="2"/>
  <c r="J151" i="2"/>
  <c r="I151" i="2"/>
  <c r="G151" i="2"/>
  <c r="J150" i="2"/>
  <c r="I150" i="2"/>
  <c r="G150" i="2"/>
  <c r="G149" i="2"/>
  <c r="I149" i="2"/>
  <c r="J149" i="2"/>
  <c r="J148" i="2"/>
  <c r="I148" i="2"/>
  <c r="G148" i="2"/>
  <c r="J147" i="2"/>
  <c r="I147" i="2"/>
  <c r="G147" i="2"/>
  <c r="J146" i="2"/>
  <c r="I146" i="2"/>
  <c r="G146" i="2"/>
  <c r="J145" i="2"/>
  <c r="I145" i="2"/>
  <c r="G145" i="2"/>
  <c r="J144" i="2"/>
  <c r="I144" i="2"/>
  <c r="G144" i="2"/>
  <c r="J143" i="2"/>
  <c r="I143" i="2"/>
  <c r="G143" i="2"/>
  <c r="J142" i="2"/>
  <c r="I142" i="2"/>
  <c r="G142" i="2"/>
  <c r="J141" i="2"/>
  <c r="I141" i="2"/>
  <c r="G141" i="2"/>
  <c r="J140" i="2"/>
  <c r="I140" i="2"/>
  <c r="G140" i="2"/>
  <c r="J136" i="2"/>
  <c r="I136" i="2"/>
  <c r="G136" i="2"/>
  <c r="J135" i="2"/>
  <c r="I135" i="2"/>
  <c r="G135" i="2"/>
  <c r="J134" i="2"/>
  <c r="I134" i="2"/>
  <c r="G134" i="2"/>
  <c r="J133" i="2"/>
  <c r="I133" i="2"/>
  <c r="G133" i="2"/>
  <c r="G132" i="2"/>
  <c r="I132" i="2"/>
  <c r="J132" i="2"/>
  <c r="G131" i="2"/>
  <c r="I131" i="2"/>
  <c r="J131" i="2"/>
  <c r="G130" i="2"/>
  <c r="I130" i="2"/>
  <c r="J130" i="2"/>
  <c r="G129" i="2"/>
  <c r="I129" i="2"/>
  <c r="J129" i="2"/>
  <c r="J128" i="2"/>
  <c r="I128" i="2"/>
  <c r="G128" i="2"/>
  <c r="J127" i="2"/>
  <c r="I127" i="2"/>
  <c r="G127" i="2"/>
  <c r="J122" i="2"/>
  <c r="I122" i="2"/>
  <c r="G122" i="2"/>
  <c r="J121" i="2"/>
  <c r="I121" i="2"/>
  <c r="G121" i="2"/>
  <c r="D537" i="12"/>
  <c r="D524" i="12"/>
  <c r="D500" i="12"/>
  <c r="D470" i="12"/>
  <c r="D469" i="12"/>
  <c r="D434" i="12"/>
  <c r="D417" i="12"/>
  <c r="D412" i="12"/>
  <c r="D387" i="12"/>
  <c r="D381" i="12"/>
  <c r="D356" i="12"/>
  <c r="D322" i="12"/>
  <c r="D264" i="12"/>
  <c r="D127" i="12"/>
  <c r="D40" i="12"/>
  <c r="J120" i="2"/>
  <c r="I120" i="2"/>
  <c r="G120" i="2"/>
  <c r="J119" i="2"/>
  <c r="I119" i="2"/>
  <c r="G119" i="2"/>
  <c r="J118" i="2"/>
  <c r="I118" i="2"/>
  <c r="G118" i="2"/>
  <c r="J117" i="2"/>
  <c r="I117" i="2"/>
  <c r="G117" i="2"/>
  <c r="J116" i="2"/>
  <c r="I116" i="2"/>
  <c r="G116" i="2"/>
  <c r="J115" i="2"/>
  <c r="I115" i="2"/>
  <c r="G115" i="2"/>
  <c r="G93" i="2"/>
  <c r="G94" i="2"/>
  <c r="G113" i="2"/>
  <c r="I113" i="2"/>
  <c r="J113" i="2"/>
  <c r="G114" i="2"/>
  <c r="I114" i="2"/>
  <c r="J114" i="2"/>
  <c r="J112" i="2"/>
  <c r="I112" i="2"/>
  <c r="G112" i="2"/>
  <c r="J111" i="2"/>
  <c r="I111" i="2"/>
  <c r="G111" i="2"/>
  <c r="J108" i="2"/>
  <c r="I108" i="2"/>
  <c r="G108" i="2"/>
  <c r="J107" i="2"/>
  <c r="I107" i="2"/>
  <c r="G107" i="2"/>
  <c r="J106" i="2"/>
  <c r="I106" i="2"/>
  <c r="G106" i="2"/>
  <c r="G105" i="2"/>
  <c r="I105" i="2"/>
  <c r="J105" i="2"/>
  <c r="J104" i="2"/>
  <c r="I104" i="2"/>
  <c r="G104" i="2"/>
  <c r="J103" i="2"/>
  <c r="I103" i="2"/>
  <c r="G103" i="2"/>
  <c r="J102" i="2"/>
  <c r="I102" i="2"/>
  <c r="G102" i="2"/>
  <c r="J101" i="2"/>
  <c r="I101" i="2"/>
  <c r="G101" i="2"/>
  <c r="D9" i="10"/>
  <c r="C3" i="12"/>
  <c r="D12" i="12" s="1"/>
  <c r="J100" i="2"/>
  <c r="I100" i="2"/>
  <c r="G100" i="2"/>
  <c r="G99" i="2"/>
  <c r="I99" i="2"/>
  <c r="J99" i="2"/>
  <c r="J98" i="2"/>
  <c r="I98" i="2"/>
  <c r="G98" i="2"/>
  <c r="J97" i="2"/>
  <c r="I97" i="2"/>
  <c r="J96" i="2"/>
  <c r="I96" i="2"/>
  <c r="G97" i="2"/>
  <c r="G96" i="2"/>
  <c r="J95" i="2"/>
  <c r="I95" i="2"/>
  <c r="G95" i="2"/>
  <c r="J92" i="2"/>
  <c r="I92" i="2"/>
  <c r="G92" i="2"/>
  <c r="J91" i="2"/>
  <c r="I91" i="2"/>
  <c r="G91" i="2"/>
  <c r="J90" i="2"/>
  <c r="I90" i="2"/>
  <c r="G90" i="2"/>
  <c r="G89" i="2"/>
  <c r="I89" i="2"/>
  <c r="J89" i="2"/>
  <c r="J88" i="2"/>
  <c r="I88" i="2"/>
  <c r="G88" i="2"/>
  <c r="J87" i="2"/>
  <c r="I87" i="2"/>
  <c r="G87" i="2"/>
  <c r="J86" i="2"/>
  <c r="I86" i="2"/>
  <c r="G86" i="2"/>
  <c r="J85" i="2"/>
  <c r="I85" i="2"/>
  <c r="G85" i="2"/>
  <c r="J84" i="2"/>
  <c r="I84" i="2"/>
  <c r="G84" i="2"/>
  <c r="D542" i="12" l="1"/>
  <c r="D534" i="12"/>
  <c r="D526" i="12"/>
  <c r="D518" i="12"/>
  <c r="D510" i="12"/>
  <c r="D502" i="12"/>
  <c r="D494" i="12"/>
  <c r="D486" i="12"/>
  <c r="D478" i="12"/>
  <c r="D462" i="12"/>
  <c r="D454" i="12"/>
  <c r="D446" i="12"/>
  <c r="D438" i="12"/>
  <c r="D426" i="12"/>
  <c r="D410" i="12"/>
  <c r="D394" i="12"/>
  <c r="D378" i="12"/>
  <c r="D347" i="12"/>
  <c r="D306" i="12"/>
  <c r="D263" i="12"/>
  <c r="D220" i="12"/>
  <c r="D178" i="12"/>
  <c r="D135" i="12"/>
  <c r="D92" i="12"/>
  <c r="D50" i="12"/>
  <c r="D539" i="12"/>
  <c r="D531" i="12"/>
  <c r="D523" i="12"/>
  <c r="D515" i="12"/>
  <c r="D507" i="12"/>
  <c r="D499" i="12"/>
  <c r="D491" i="12"/>
  <c r="D483" i="12"/>
  <c r="D475" i="12"/>
  <c r="D467" i="12"/>
  <c r="D459" i="12"/>
  <c r="D451" i="12"/>
  <c r="D443" i="12"/>
  <c r="D419" i="12"/>
  <c r="D403" i="12"/>
  <c r="D371" i="12"/>
  <c r="D338" i="12"/>
  <c r="D295" i="12"/>
  <c r="D252" i="12"/>
  <c r="D210" i="12"/>
  <c r="D167" i="12"/>
  <c r="D124" i="12"/>
  <c r="D82" i="12"/>
  <c r="D39" i="12"/>
  <c r="D4" i="12"/>
  <c r="D538" i="12"/>
  <c r="D530" i="12"/>
  <c r="D522" i="12"/>
  <c r="D514" i="12"/>
  <c r="D506" i="12"/>
  <c r="D498" i="12"/>
  <c r="D490" i="12"/>
  <c r="D482" i="12"/>
  <c r="D474" i="12"/>
  <c r="D466" i="12"/>
  <c r="D458" i="12"/>
  <c r="D450" i="12"/>
  <c r="D442" i="12"/>
  <c r="D433" i="12"/>
  <c r="D418" i="12"/>
  <c r="D402" i="12"/>
  <c r="D386" i="12"/>
  <c r="D363" i="12"/>
  <c r="D327" i="12"/>
  <c r="D284" i="12"/>
  <c r="D242" i="12"/>
  <c r="D199" i="12"/>
  <c r="D156" i="12"/>
  <c r="D114" i="12"/>
  <c r="D71" i="12"/>
  <c r="D28" i="12"/>
  <c r="D543" i="12"/>
  <c r="D535" i="12"/>
  <c r="D527" i="12"/>
  <c r="D519" i="12"/>
  <c r="D511" i="12"/>
  <c r="D503" i="12"/>
  <c r="D495" i="12"/>
  <c r="D487" i="12"/>
  <c r="D479" i="12"/>
  <c r="D471" i="12"/>
  <c r="D463" i="12"/>
  <c r="D455" i="12"/>
  <c r="D447" i="12"/>
  <c r="D439" i="12"/>
  <c r="D427" i="12"/>
  <c r="D411" i="12"/>
  <c r="D395" i="12"/>
  <c r="D379" i="12"/>
  <c r="D355" i="12"/>
  <c r="D316" i="12"/>
  <c r="D274" i="12"/>
  <c r="D231" i="12"/>
  <c r="D188" i="12"/>
  <c r="D146" i="12"/>
  <c r="D103" i="12"/>
  <c r="D60" i="12"/>
  <c r="D18" i="12"/>
  <c r="D370" i="12"/>
  <c r="D362" i="12"/>
  <c r="D354" i="12"/>
  <c r="D346" i="12"/>
  <c r="D336" i="12"/>
  <c r="D326" i="12"/>
  <c r="D315" i="12"/>
  <c r="D304" i="12"/>
  <c r="D294" i="12"/>
  <c r="D283" i="12"/>
  <c r="D272" i="12"/>
  <c r="D262" i="12"/>
  <c r="D251" i="12"/>
  <c r="D240" i="12"/>
  <c r="D230" i="12"/>
  <c r="D219" i="12"/>
  <c r="D208" i="12"/>
  <c r="D198" i="12"/>
  <c r="D187" i="12"/>
  <c r="D176" i="12"/>
  <c r="D166" i="12"/>
  <c r="D155" i="12"/>
  <c r="D144" i="12"/>
  <c r="D134" i="12"/>
  <c r="D123" i="12"/>
  <c r="D112" i="12"/>
  <c r="D102" i="12"/>
  <c r="D91" i="12"/>
  <c r="D80" i="12"/>
  <c r="D70" i="12"/>
  <c r="D59" i="12"/>
  <c r="D48" i="12"/>
  <c r="D38" i="12"/>
  <c r="D27" i="12"/>
  <c r="D16" i="12"/>
  <c r="D545" i="12"/>
  <c r="D541" i="12"/>
  <c r="D533" i="12"/>
  <c r="D529" i="12"/>
  <c r="D525" i="12"/>
  <c r="D521" i="12"/>
  <c r="D517" i="12"/>
  <c r="D513" i="12"/>
  <c r="D509" i="12"/>
  <c r="D505" i="12"/>
  <c r="D501" i="12"/>
  <c r="D497" i="12"/>
  <c r="D493" i="12"/>
  <c r="D489" i="12"/>
  <c r="D485" i="12"/>
  <c r="D481" i="12"/>
  <c r="D477" i="12"/>
  <c r="D473" i="12"/>
  <c r="D465" i="12"/>
  <c r="D461" i="12"/>
  <c r="D457" i="12"/>
  <c r="D453" i="12"/>
  <c r="D449" i="12"/>
  <c r="D445" i="12"/>
  <c r="D441" i="12"/>
  <c r="D437" i="12"/>
  <c r="D431" i="12"/>
  <c r="D423" i="12"/>
  <c r="D415" i="12"/>
  <c r="D407" i="12"/>
  <c r="D399" i="12"/>
  <c r="D391" i="12"/>
  <c r="D383" i="12"/>
  <c r="D375" i="12"/>
  <c r="D367" i="12"/>
  <c r="D359" i="12"/>
  <c r="D351" i="12"/>
  <c r="D343" i="12"/>
  <c r="D332" i="12"/>
  <c r="D311" i="12"/>
  <c r="D300" i="12"/>
  <c r="D290" i="12"/>
  <c r="D279" i="12"/>
  <c r="D268" i="12"/>
  <c r="D258" i="12"/>
  <c r="D247" i="12"/>
  <c r="D236" i="12"/>
  <c r="D226" i="12"/>
  <c r="D215" i="12"/>
  <c r="D204" i="12"/>
  <c r="D194" i="12"/>
  <c r="D183" i="12"/>
  <c r="D172" i="12"/>
  <c r="D162" i="12"/>
  <c r="D151" i="12"/>
  <c r="D140" i="12"/>
  <c r="D130" i="12"/>
  <c r="D119" i="12"/>
  <c r="D108" i="12"/>
  <c r="D98" i="12"/>
  <c r="D87" i="12"/>
  <c r="D76" i="12"/>
  <c r="D66" i="12"/>
  <c r="D55" i="12"/>
  <c r="D44" i="12"/>
  <c r="D34" i="12"/>
  <c r="D23" i="12"/>
  <c r="D5" i="12"/>
  <c r="D9" i="12"/>
  <c r="D13" i="12"/>
  <c r="D17" i="12"/>
  <c r="D21" i="12"/>
  <c r="D25" i="12"/>
  <c r="D29" i="12"/>
  <c r="D33" i="12"/>
  <c r="D37" i="12"/>
  <c r="D41" i="12"/>
  <c r="D45" i="12"/>
  <c r="D49" i="12"/>
  <c r="D53" i="12"/>
  <c r="D57" i="12"/>
  <c r="D61" i="12"/>
  <c r="D65" i="12"/>
  <c r="D69" i="12"/>
  <c r="D73" i="12"/>
  <c r="D77" i="12"/>
  <c r="D81" i="12"/>
  <c r="D85" i="12"/>
  <c r="D89" i="12"/>
  <c r="D93" i="12"/>
  <c r="D97" i="12"/>
  <c r="D101" i="12"/>
  <c r="D105" i="12"/>
  <c r="D109" i="12"/>
  <c r="D113" i="12"/>
  <c r="D117" i="12"/>
  <c r="D121" i="12"/>
  <c r="D125" i="12"/>
  <c r="D129" i="12"/>
  <c r="D133" i="12"/>
  <c r="D137" i="12"/>
  <c r="D141" i="12"/>
  <c r="D145" i="12"/>
  <c r="D149" i="12"/>
  <c r="D153" i="12"/>
  <c r="D157" i="12"/>
  <c r="D161" i="12"/>
  <c r="D165" i="12"/>
  <c r="D169" i="12"/>
  <c r="D173" i="12"/>
  <c r="D177" i="12"/>
  <c r="D181" i="12"/>
  <c r="D185" i="12"/>
  <c r="D189" i="12"/>
  <c r="D193" i="12"/>
  <c r="D197" i="12"/>
  <c r="D201" i="12"/>
  <c r="D205" i="12"/>
  <c r="D209" i="12"/>
  <c r="D213" i="12"/>
  <c r="D217" i="12"/>
  <c r="D221" i="12"/>
  <c r="D225" i="12"/>
  <c r="D229" i="12"/>
  <c r="D233" i="12"/>
  <c r="D237" i="12"/>
  <c r="D241" i="12"/>
  <c r="D245" i="12"/>
  <c r="D249" i="12"/>
  <c r="D253" i="12"/>
  <c r="D257" i="12"/>
  <c r="D261" i="12"/>
  <c r="D265" i="12"/>
  <c r="D269" i="12"/>
  <c r="D273" i="12"/>
  <c r="D277" i="12"/>
  <c r="D281" i="12"/>
  <c r="D285" i="12"/>
  <c r="D289" i="12"/>
  <c r="D293" i="12"/>
  <c r="D297" i="12"/>
  <c r="D301" i="12"/>
  <c r="D305" i="12"/>
  <c r="D309" i="12"/>
  <c r="D313" i="12"/>
  <c r="D317" i="12"/>
  <c r="D321" i="12"/>
  <c r="D325" i="12"/>
  <c r="D329" i="12"/>
  <c r="D333" i="12"/>
  <c r="D337" i="12"/>
  <c r="D341" i="12"/>
  <c r="D6" i="12"/>
  <c r="D7" i="12"/>
  <c r="D8" i="12"/>
  <c r="D14" i="12"/>
  <c r="D19" i="12"/>
  <c r="D24" i="12"/>
  <c r="D30" i="12"/>
  <c r="D35" i="12"/>
  <c r="D46" i="12"/>
  <c r="D51" i="12"/>
  <c r="D56" i="12"/>
  <c r="D62" i="12"/>
  <c r="D67" i="12"/>
  <c r="D72" i="12"/>
  <c r="D78" i="12"/>
  <c r="D83" i="12"/>
  <c r="D88" i="12"/>
  <c r="D94" i="12"/>
  <c r="D99" i="12"/>
  <c r="D104" i="12"/>
  <c r="D110" i="12"/>
  <c r="D115" i="12"/>
  <c r="D120" i="12"/>
  <c r="D126" i="12"/>
  <c r="D131" i="12"/>
  <c r="D136" i="12"/>
  <c r="D142" i="12"/>
  <c r="D147" i="12"/>
  <c r="D152" i="12"/>
  <c r="D158" i="12"/>
  <c r="D163" i="12"/>
  <c r="D168" i="12"/>
  <c r="D174" i="12"/>
  <c r="D179" i="12"/>
  <c r="D184" i="12"/>
  <c r="D190" i="12"/>
  <c r="D195" i="12"/>
  <c r="D200" i="12"/>
  <c r="D206" i="12"/>
  <c r="D211" i="12"/>
  <c r="D216" i="12"/>
  <c r="D222" i="12"/>
  <c r="D227" i="12"/>
  <c r="D232" i="12"/>
  <c r="D238" i="12"/>
  <c r="D243" i="12"/>
  <c r="D248" i="12"/>
  <c r="D254" i="12"/>
  <c r="D259" i="12"/>
  <c r="D270" i="12"/>
  <c r="D275" i="12"/>
  <c r="D280" i="12"/>
  <c r="D286" i="12"/>
  <c r="D291" i="12"/>
  <c r="D296" i="12"/>
  <c r="D302" i="12"/>
  <c r="D307" i="12"/>
  <c r="D312" i="12"/>
  <c r="D318" i="12"/>
  <c r="D323" i="12"/>
  <c r="D328" i="12"/>
  <c r="D334" i="12"/>
  <c r="D339" i="12"/>
  <c r="D344" i="12"/>
  <c r="D348" i="12"/>
  <c r="D352" i="12"/>
  <c r="D360" i="12"/>
  <c r="D364" i="12"/>
  <c r="D368" i="12"/>
  <c r="D372" i="12"/>
  <c r="D376" i="12"/>
  <c r="D380" i="12"/>
  <c r="D384" i="12"/>
  <c r="D388" i="12"/>
  <c r="D392" i="12"/>
  <c r="D396" i="12"/>
  <c r="D400" i="12"/>
  <c r="D404" i="12"/>
  <c r="D408" i="12"/>
  <c r="D416" i="12"/>
  <c r="D420" i="12"/>
  <c r="D424" i="12"/>
  <c r="D428" i="12"/>
  <c r="D432" i="12"/>
  <c r="D436" i="12"/>
  <c r="D10" i="12"/>
  <c r="D15" i="12"/>
  <c r="D20" i="12"/>
  <c r="D26" i="12"/>
  <c r="D31" i="12"/>
  <c r="D36" i="12"/>
  <c r="D42" i="12"/>
  <c r="D47" i="12"/>
  <c r="D52" i="12"/>
  <c r="D58" i="12"/>
  <c r="D63" i="12"/>
  <c r="D68" i="12"/>
  <c r="D74" i="12"/>
  <c r="D79" i="12"/>
  <c r="D84" i="12"/>
  <c r="D90" i="12"/>
  <c r="D95" i="12"/>
  <c r="D100" i="12"/>
  <c r="D106" i="12"/>
  <c r="D111" i="12"/>
  <c r="D116" i="12"/>
  <c r="D122" i="12"/>
  <c r="D132" i="12"/>
  <c r="D138" i="12"/>
  <c r="D143" i="12"/>
  <c r="D148" i="12"/>
  <c r="D154" i="12"/>
  <c r="D159" i="12"/>
  <c r="D164" i="12"/>
  <c r="D170" i="12"/>
  <c r="D175" i="12"/>
  <c r="D180" i="12"/>
  <c r="D186" i="12"/>
  <c r="D191" i="12"/>
  <c r="D196" i="12"/>
  <c r="D202" i="12"/>
  <c r="D207" i="12"/>
  <c r="D212" i="12"/>
  <c r="D218" i="12"/>
  <c r="D223" i="12"/>
  <c r="D228" i="12"/>
  <c r="D234" i="12"/>
  <c r="D239" i="12"/>
  <c r="D244" i="12"/>
  <c r="D250" i="12"/>
  <c r="D255" i="12"/>
  <c r="D260" i="12"/>
  <c r="D266" i="12"/>
  <c r="D271" i="12"/>
  <c r="D276" i="12"/>
  <c r="D282" i="12"/>
  <c r="D287" i="12"/>
  <c r="D292" i="12"/>
  <c r="D298" i="12"/>
  <c r="D303" i="12"/>
  <c r="D308" i="12"/>
  <c r="D314" i="12"/>
  <c r="D319" i="12"/>
  <c r="D324" i="12"/>
  <c r="D330" i="12"/>
  <c r="D335" i="12"/>
  <c r="D340" i="12"/>
  <c r="D345" i="12"/>
  <c r="D349" i="12"/>
  <c r="D353" i="12"/>
  <c r="D357" i="12"/>
  <c r="D361" i="12"/>
  <c r="D365" i="12"/>
  <c r="D369" i="12"/>
  <c r="D373" i="12"/>
  <c r="D377" i="12"/>
  <c r="D385" i="12"/>
  <c r="D389" i="12"/>
  <c r="D393" i="12"/>
  <c r="D397" i="12"/>
  <c r="D401" i="12"/>
  <c r="D405" i="12"/>
  <c r="D409" i="12"/>
  <c r="D413" i="12"/>
  <c r="D421" i="12"/>
  <c r="D425" i="12"/>
  <c r="D429" i="12"/>
  <c r="D544" i="12"/>
  <c r="D540" i="12"/>
  <c r="D536" i="12"/>
  <c r="D532" i="12"/>
  <c r="D528" i="12"/>
  <c r="D520" i="12"/>
  <c r="D516" i="12"/>
  <c r="D512" i="12"/>
  <c r="D508" i="12"/>
  <c r="D504" i="12"/>
  <c r="D496" i="12"/>
  <c r="D492" i="12"/>
  <c r="D488" i="12"/>
  <c r="D484" i="12"/>
  <c r="D480" i="12"/>
  <c r="D476" i="12"/>
  <c r="D472" i="12"/>
  <c r="D468" i="12"/>
  <c r="D464" i="12"/>
  <c r="D460" i="12"/>
  <c r="D456" i="12"/>
  <c r="D452" i="12"/>
  <c r="D448" i="12"/>
  <c r="D444" i="12"/>
  <c r="D440" i="12"/>
  <c r="D435" i="12"/>
  <c r="D430" i="12"/>
  <c r="D422" i="12"/>
  <c r="D414" i="12"/>
  <c r="D406" i="12"/>
  <c r="D398" i="12"/>
  <c r="D390" i="12"/>
  <c r="D382" i="12"/>
  <c r="D374" i="12"/>
  <c r="D366" i="12"/>
  <c r="D358" i="12"/>
  <c r="D350" i="12"/>
  <c r="D342" i="12"/>
  <c r="D331" i="12"/>
  <c r="D320" i="12"/>
  <c r="D310" i="12"/>
  <c r="D299" i="12"/>
  <c r="D288" i="12"/>
  <c r="D278" i="12"/>
  <c r="D267" i="12"/>
  <c r="D256" i="12"/>
  <c r="D246" i="12"/>
  <c r="D235" i="12"/>
  <c r="D224" i="12"/>
  <c r="D214" i="12"/>
  <c r="D203" i="12"/>
  <c r="D192" i="12"/>
  <c r="D182" i="12"/>
  <c r="D171" i="12"/>
  <c r="D160" i="12"/>
  <c r="D150" i="12"/>
  <c r="D139" i="12"/>
  <c r="D128" i="12"/>
  <c r="D118" i="12"/>
  <c r="D107" i="12"/>
  <c r="D96" i="12"/>
  <c r="D86" i="12"/>
  <c r="D75" i="12"/>
  <c r="D64" i="12"/>
  <c r="D54" i="12"/>
  <c r="D43" i="12"/>
  <c r="D32" i="12"/>
  <c r="D22" i="12"/>
  <c r="D11" i="12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9" i="10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9" i="9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9" i="8"/>
  <c r="J2" i="2" l="1"/>
  <c r="I2" i="2"/>
  <c r="G2" i="2"/>
  <c r="J3" i="2"/>
  <c r="I3" i="2"/>
  <c r="G3" i="2"/>
  <c r="J4" i="2"/>
  <c r="I4" i="2"/>
  <c r="G4" i="2"/>
  <c r="J5" i="2"/>
  <c r="I5" i="2"/>
  <c r="G5" i="2"/>
  <c r="J7" i="2"/>
  <c r="I7" i="2"/>
  <c r="G7" i="2"/>
  <c r="J6" i="2"/>
  <c r="I6" i="2"/>
  <c r="G6" i="2"/>
  <c r="J8" i="2"/>
  <c r="I8" i="2"/>
  <c r="G8" i="2"/>
  <c r="J9" i="2"/>
  <c r="I9" i="2"/>
  <c r="G9" i="2"/>
  <c r="J10" i="2"/>
  <c r="I10" i="2"/>
  <c r="G10" i="2"/>
  <c r="J11" i="2"/>
  <c r="I11" i="2"/>
  <c r="G11" i="2"/>
  <c r="J12" i="2"/>
  <c r="I12" i="2"/>
  <c r="G12" i="2"/>
  <c r="J13" i="2"/>
  <c r="I13" i="2"/>
  <c r="G13" i="2"/>
  <c r="J14" i="2"/>
  <c r="I14" i="2"/>
  <c r="G14" i="2"/>
  <c r="J15" i="2"/>
  <c r="I15" i="2"/>
  <c r="G15" i="2"/>
  <c r="J16" i="2"/>
  <c r="I16" i="2"/>
  <c r="G16" i="2"/>
  <c r="J17" i="2"/>
  <c r="I17" i="2"/>
  <c r="G17" i="2"/>
  <c r="J18" i="2"/>
  <c r="I18" i="2"/>
  <c r="G18" i="2"/>
  <c r="J19" i="2"/>
  <c r="I19" i="2"/>
  <c r="G19" i="2"/>
  <c r="J20" i="2"/>
  <c r="I20" i="2"/>
  <c r="G20" i="2"/>
  <c r="J21" i="2"/>
  <c r="I21" i="2"/>
  <c r="G21" i="2"/>
  <c r="J22" i="2"/>
  <c r="I22" i="2"/>
  <c r="G22" i="2"/>
  <c r="J24" i="2"/>
  <c r="I24" i="2"/>
  <c r="G24" i="2"/>
  <c r="J23" i="2"/>
  <c r="I23" i="2"/>
  <c r="G23" i="2"/>
  <c r="J25" i="2"/>
  <c r="I25" i="2"/>
  <c r="G25" i="2"/>
  <c r="J26" i="2"/>
  <c r="I26" i="2"/>
  <c r="G26" i="2"/>
  <c r="J27" i="2"/>
  <c r="I27" i="2"/>
  <c r="G27" i="2"/>
  <c r="J28" i="2"/>
  <c r="I28" i="2"/>
  <c r="G28" i="2"/>
  <c r="J29" i="2"/>
  <c r="I29" i="2"/>
  <c r="G29" i="2"/>
  <c r="J30" i="2"/>
  <c r="I30" i="2"/>
  <c r="G30" i="2"/>
  <c r="J31" i="2"/>
  <c r="I31" i="2"/>
  <c r="G31" i="2"/>
  <c r="J32" i="2"/>
  <c r="I32" i="2"/>
  <c r="G32" i="2"/>
  <c r="J33" i="2"/>
  <c r="I33" i="2"/>
  <c r="G33" i="2"/>
  <c r="J34" i="2"/>
  <c r="I34" i="2"/>
  <c r="G34" i="2"/>
  <c r="J35" i="2"/>
  <c r="I35" i="2"/>
  <c r="G35" i="2"/>
  <c r="J36" i="2"/>
  <c r="I36" i="2"/>
  <c r="G36" i="2"/>
  <c r="J37" i="2"/>
  <c r="I37" i="2"/>
  <c r="G37" i="2"/>
  <c r="J38" i="2" l="1"/>
  <c r="I38" i="2"/>
  <c r="G38" i="2"/>
  <c r="J39" i="2"/>
  <c r="I39" i="2"/>
  <c r="G39" i="2"/>
  <c r="J40" i="2"/>
  <c r="I40" i="2"/>
  <c r="G40" i="2"/>
  <c r="J41" i="2"/>
  <c r="I41" i="2"/>
  <c r="G41" i="2"/>
  <c r="J42" i="2" l="1"/>
  <c r="I42" i="2"/>
  <c r="G42" i="2"/>
  <c r="J43" i="2"/>
  <c r="I43" i="2"/>
  <c r="G43" i="2"/>
  <c r="J44" i="2" l="1"/>
  <c r="I44" i="2"/>
  <c r="G44" i="2"/>
  <c r="J45" i="2"/>
  <c r="I45" i="2"/>
  <c r="G45" i="2"/>
  <c r="J46" i="2"/>
  <c r="I46" i="2"/>
  <c r="G46" i="2"/>
  <c r="J47" i="2"/>
  <c r="I47" i="2"/>
  <c r="G47" i="2"/>
  <c r="J48" i="2"/>
  <c r="I48" i="2"/>
  <c r="G48" i="2"/>
  <c r="J49" i="2" l="1"/>
  <c r="I49" i="2"/>
  <c r="G49" i="2"/>
  <c r="J50" i="2"/>
  <c r="I50" i="2"/>
  <c r="G50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51" i="2"/>
  <c r="I52" i="2"/>
  <c r="J52" i="2"/>
  <c r="I53" i="2"/>
  <c r="J53" i="2"/>
  <c r="I54" i="2"/>
  <c r="J54" i="2"/>
  <c r="I55" i="2"/>
  <c r="J55" i="2"/>
  <c r="I56" i="2"/>
  <c r="J56" i="2"/>
  <c r="I57" i="2"/>
  <c r="J57" i="2"/>
  <c r="I58" i="2"/>
  <c r="J58" i="2"/>
  <c r="I59" i="2"/>
  <c r="J59" i="2"/>
  <c r="I60" i="2"/>
  <c r="J60" i="2"/>
  <c r="I61" i="2"/>
  <c r="J61" i="2"/>
  <c r="I62" i="2"/>
  <c r="J62" i="2"/>
  <c r="I63" i="2"/>
  <c r="J63" i="2"/>
  <c r="I64" i="2"/>
  <c r="J64" i="2"/>
  <c r="I65" i="2"/>
  <c r="J65" i="2"/>
  <c r="I66" i="2"/>
  <c r="J66" i="2"/>
  <c r="I67" i="2"/>
  <c r="J67" i="2"/>
  <c r="I68" i="2"/>
  <c r="J68" i="2"/>
  <c r="I69" i="2"/>
  <c r="J69" i="2"/>
  <c r="I70" i="2"/>
  <c r="J70" i="2"/>
  <c r="I71" i="2"/>
  <c r="J71" i="2"/>
  <c r="I72" i="2"/>
  <c r="J72" i="2"/>
  <c r="I73" i="2"/>
  <c r="J73" i="2"/>
  <c r="I74" i="2"/>
  <c r="J74" i="2"/>
  <c r="I75" i="2"/>
  <c r="J75" i="2"/>
  <c r="I76" i="2"/>
  <c r="J76" i="2"/>
  <c r="I77" i="2"/>
  <c r="J77" i="2"/>
  <c r="I78" i="2"/>
  <c r="J78" i="2"/>
  <c r="I79" i="2"/>
  <c r="J79" i="2"/>
  <c r="I80" i="2"/>
  <c r="J80" i="2"/>
  <c r="I81" i="2"/>
  <c r="J81" i="2"/>
  <c r="I82" i="2"/>
  <c r="J82" i="2"/>
  <c r="I83" i="2"/>
  <c r="J83" i="2"/>
  <c r="J51" i="2"/>
  <c r="I51" i="2"/>
</calcChain>
</file>

<file path=xl/comments1.xml><?xml version="1.0" encoding="utf-8"?>
<comments xmlns="http://schemas.openxmlformats.org/spreadsheetml/2006/main">
  <authors>
    <author>Arenal Seco, Francisco</author>
  </authors>
  <commentList>
    <comment ref="G135" authorId="0" shapeId="0">
      <text>
        <r>
          <rPr>
            <b/>
            <sz val="9"/>
            <color indexed="81"/>
            <rFont val="Tahoma"/>
            <family val="2"/>
          </rPr>
          <t>Arenal Seco, Francisco:</t>
        </r>
        <r>
          <rPr>
            <sz val="9"/>
            <color indexed="81"/>
            <rFont val="Tahoma"/>
            <family val="2"/>
          </rPr>
          <t xml:space="preserve">
En 12-3-2021 se vincula al toque de queda
</t>
        </r>
      </text>
    </comment>
  </commentList>
</comments>
</file>

<file path=xl/sharedStrings.xml><?xml version="1.0" encoding="utf-8"?>
<sst xmlns="http://schemas.openxmlformats.org/spreadsheetml/2006/main" count="2345" uniqueCount="1459">
  <si>
    <t>provincia</t>
  </si>
  <si>
    <t>fecha_inicio</t>
  </si>
  <si>
    <t>fecha_fin</t>
  </si>
  <si>
    <t>cod_gen</t>
  </si>
  <si>
    <t>cod_con</t>
  </si>
  <si>
    <t>medida_concreta</t>
  </si>
  <si>
    <t>valor</t>
  </si>
  <si>
    <t>unidad de medida</t>
  </si>
  <si>
    <t>fecha_publicacion_oficial</t>
  </si>
  <si>
    <t>ambito</t>
  </si>
  <si>
    <t>comunidad_autonoma</t>
  </si>
  <si>
    <t>medida_generica</t>
  </si>
  <si>
    <t>desde</t>
  </si>
  <si>
    <t>hasta</t>
  </si>
  <si>
    <t>responsable</t>
  </si>
  <si>
    <t>% afectado (si subprovincial; mín 25%)</t>
  </si>
  <si>
    <t>nivel_educacion</t>
  </si>
  <si>
    <t>Elena Plans</t>
  </si>
  <si>
    <t>ON.4</t>
  </si>
  <si>
    <t>MH.2</t>
  </si>
  <si>
    <t>CE.3</t>
  </si>
  <si>
    <t>CE.4</t>
  </si>
  <si>
    <t>CE.2</t>
  </si>
  <si>
    <t>CE.5</t>
  </si>
  <si>
    <t>CE.6</t>
  </si>
  <si>
    <t>CO.8</t>
  </si>
  <si>
    <t>CO.10</t>
  </si>
  <si>
    <t>ED.4</t>
  </si>
  <si>
    <t>RH.9</t>
  </si>
  <si>
    <t>RH.10</t>
  </si>
  <si>
    <t>RH.11</t>
  </si>
  <si>
    <t>ON.9</t>
  </si>
  <si>
    <t>ON.3</t>
  </si>
  <si>
    <t>ON.5</t>
  </si>
  <si>
    <t>ON.6</t>
  </si>
  <si>
    <t>AL.4</t>
  </si>
  <si>
    <t>AL.8</t>
  </si>
  <si>
    <t>AL.2</t>
  </si>
  <si>
    <t>CD.6</t>
  </si>
  <si>
    <t>CD.9</t>
  </si>
  <si>
    <t>CD.12</t>
  </si>
  <si>
    <t>AF.12</t>
  </si>
  <si>
    <t>AF.7</t>
  </si>
  <si>
    <t>AF.5</t>
  </si>
  <si>
    <t>AF.15</t>
  </si>
  <si>
    <t>AF.16</t>
  </si>
  <si>
    <t>AF.6</t>
  </si>
  <si>
    <t>AF.19</t>
  </si>
  <si>
    <t>AF.23</t>
  </si>
  <si>
    <t>PA.2</t>
  </si>
  <si>
    <t>CD.15</t>
  </si>
  <si>
    <t>CD.14</t>
  </si>
  <si>
    <t>LA.3</t>
  </si>
  <si>
    <t>TR.5</t>
  </si>
  <si>
    <t>TR.7</t>
  </si>
  <si>
    <t>TP.4</t>
  </si>
  <si>
    <t>RS.1</t>
  </si>
  <si>
    <t>Media genérica</t>
  </si>
  <si>
    <t>Media concreta</t>
  </si>
  <si>
    <t>Código medida genérica</t>
  </si>
  <si>
    <t>Código medida concreta</t>
  </si>
  <si>
    <t>Deporte y actividad física</t>
  </si>
  <si>
    <t>Cierre de instalaciones y centros deportivos en general</t>
  </si>
  <si>
    <t>AF</t>
  </si>
  <si>
    <t>AF.1</t>
  </si>
  <si>
    <t>Cierre de instalaciones y centros deportivos en zonas interiores (manteniéndose las exteriores)</t>
  </si>
  <si>
    <t>AF.2</t>
  </si>
  <si>
    <t>Cancelación de eventos deportivos salvo sin público / a puerta cerrada</t>
  </si>
  <si>
    <t>AF.3</t>
  </si>
  <si>
    <t>Cancelación / prohibición de actividades deportivas grupales con contacto físico</t>
  </si>
  <si>
    <t>AF.4</t>
  </si>
  <si>
    <t>Limitación de aforo ZONAS INTERIORES de instalaciones y centros deportivos (fuera del ámbito regulado por el Consejo Superior de Deportes)</t>
  </si>
  <si>
    <t>Limitación de aforo ZONAS EXTERIORES de instalaciones y centros deportivos (fuera del ámbito regulado por el Consejo Superior de Deportes)</t>
  </si>
  <si>
    <t>Limitaciones a la actividad fisica grupal en exteriores</t>
  </si>
  <si>
    <t>Cierre de piscinas deportivas</t>
  </si>
  <si>
    <t>AF.8</t>
  </si>
  <si>
    <t>Limitación de aforo piscinas deportivas</t>
  </si>
  <si>
    <t>AF.9</t>
  </si>
  <si>
    <t>Cierre total de estaciones de esquí</t>
  </si>
  <si>
    <t>AF.10</t>
  </si>
  <si>
    <t>Limitación de aforo en estaciones de esquí</t>
  </si>
  <si>
    <t>AF.11</t>
  </si>
  <si>
    <t>Limitaciones a la actividad fisica grupal en interiores</t>
  </si>
  <si>
    <t>Prohibición de asistencia de público en eventos deportivos en exteriores</t>
  </si>
  <si>
    <t>AF.13</t>
  </si>
  <si>
    <t>Prohibición de asistencia de público en eventos deportivos en interiores</t>
  </si>
  <si>
    <t>AF.14</t>
  </si>
  <si>
    <t>Aforo de asistencia de público en eventos deportivos en exteriores</t>
  </si>
  <si>
    <t>Aforo de asistencia de público en eventos deportivos en interiores</t>
  </si>
  <si>
    <t>Limitaciones en actividades deportivas grupales con contacto físico (por ejemplo, en número de personas)</t>
  </si>
  <si>
    <t>AF.17</t>
  </si>
  <si>
    <t>Cierre de piscinas de recreo (por restricciones, no por fin de temporada)</t>
  </si>
  <si>
    <t>AF.18</t>
  </si>
  <si>
    <t xml:space="preserve">Limitación de aforo piscinas de recreo </t>
  </si>
  <si>
    <t>Aforo  ecoturismo</t>
  </si>
  <si>
    <t>AF.20</t>
  </si>
  <si>
    <t>Cierre  ecoturismo</t>
  </si>
  <si>
    <t>AF.21</t>
  </si>
  <si>
    <t>Cierre de playas (por restricciones, no por fin de temporada)</t>
  </si>
  <si>
    <t>AF.22</t>
  </si>
  <si>
    <t xml:space="preserve">Limitación de aforo de playas </t>
  </si>
  <si>
    <t>Alojamientos (hoteles, albergues)</t>
  </si>
  <si>
    <t>Cierre total de alojamientos turísticos</t>
  </si>
  <si>
    <t>AL</t>
  </si>
  <si>
    <t>AL.1</t>
  </si>
  <si>
    <t>Limitación de aforo de alojamientos turísticos</t>
  </si>
  <si>
    <t xml:space="preserve">Cierre de espacios comunes de alojamientos como hoteles </t>
  </si>
  <si>
    <t>AL.3</t>
  </si>
  <si>
    <t>Aforo en espacios comunes de alojamientos como hoteles</t>
  </si>
  <si>
    <t>Cierre de espacios comunes en residencias de estudiantes</t>
  </si>
  <si>
    <t>AL.5</t>
  </si>
  <si>
    <t>Aforo en espacios comunes en residencias de estudiantes</t>
  </si>
  <si>
    <t>AL.6</t>
  </si>
  <si>
    <t>Cierre de espacios comunes de alojamientos como albergues</t>
  </si>
  <si>
    <t>AL.7</t>
  </si>
  <si>
    <t>Aforo en espacios comunes de alojamientos como albergues</t>
  </si>
  <si>
    <t>Cultura y eventos (exc. deportivos)</t>
  </si>
  <si>
    <t>Cierre de bibliotecas, museos y monumentos en general</t>
  </si>
  <si>
    <t>CD</t>
  </si>
  <si>
    <t>CD.1</t>
  </si>
  <si>
    <t>Cierre de bibliotecas, museos y monumentos en interiores, permaneciendo abiertos los monumentos exteriores</t>
  </si>
  <si>
    <t>CD.2</t>
  </si>
  <si>
    <t xml:space="preserve">Cierre de cines, teatros, auditorios, circos de carpa y espacios similares, así como locales y establecimientos destinados a actos y espectáculos culturales </t>
  </si>
  <si>
    <t>CD.3</t>
  </si>
  <si>
    <t>Cierre de actos y espectáculos culturales en locales interiores, permitiéndose los exteriores</t>
  </si>
  <si>
    <t>CD.4</t>
  </si>
  <si>
    <t>Cierre de salas multiusos</t>
  </si>
  <si>
    <t>CD.5</t>
  </si>
  <si>
    <t>Limitación de aforo en bilbiotecas, museos y monumentos en general</t>
  </si>
  <si>
    <t>Limitación de aforo en bilbiotecas, museos y monumentos en espacios interiores (si diferente de los exteriores)</t>
  </si>
  <si>
    <t>CD.7</t>
  </si>
  <si>
    <t>Limitación de aforo museos y monumentos en exteriores (si diferente de los interiores)</t>
  </si>
  <si>
    <t>CD.8</t>
  </si>
  <si>
    <t>Limitación de aforo en cines, teatros, auditorios, circos de carpa y espacios similares, así como locales y establecimientos destinados a actos y espectáculos culturales en interior</t>
  </si>
  <si>
    <t>Limitación de aforo en actos y espectáculos culturales en exteriores</t>
  </si>
  <si>
    <t>CD.10</t>
  </si>
  <si>
    <t>Limitación de aforo en salas multiusos</t>
  </si>
  <si>
    <t>CD.11</t>
  </si>
  <si>
    <t>Prohibición de eventos a partir de cierto número de asistentes</t>
  </si>
  <si>
    <t>Necesidad de autorizacion previa para eventos a partir de cierto número de asistentes</t>
  </si>
  <si>
    <t>CD.13</t>
  </si>
  <si>
    <t>Aforo en festejos taurinos</t>
  </si>
  <si>
    <t>Aforo de zoos y parques de atracciones</t>
  </si>
  <si>
    <t>Cierre de zoos y parques de atracciones</t>
  </si>
  <si>
    <t>CD.16</t>
  </si>
  <si>
    <t>Prohibición de festejos taurinos</t>
  </si>
  <si>
    <t>CD.17</t>
  </si>
  <si>
    <t>Ceremonias religiosas</t>
  </si>
  <si>
    <t>CE</t>
  </si>
  <si>
    <t>Aforo en lugares de culto</t>
  </si>
  <si>
    <t>Aforo velatorios, entierros y ceremonias fúnebres en espacios interiores</t>
  </si>
  <si>
    <t>Aforo en velatorios, entierros y ceremonias fúnebres en espacios exteriores</t>
  </si>
  <si>
    <t>Aforo en otras ceremonias (bodas, bautizos) en espacios interiores</t>
  </si>
  <si>
    <t>Aforo en otras ceremonias (bodas, bautizos) en espacios exteriores</t>
  </si>
  <si>
    <t>Prohibición de coros</t>
  </si>
  <si>
    <t>CE.7</t>
  </si>
  <si>
    <t>Aforo de coros</t>
  </si>
  <si>
    <t>CE.8</t>
  </si>
  <si>
    <t>Comercio</t>
  </si>
  <si>
    <t>Cierre de todo el comercio no esencial</t>
  </si>
  <si>
    <t>CO</t>
  </si>
  <si>
    <t>CO.1</t>
  </si>
  <si>
    <t>Cierre de espacios comerciales según tamaño (p.e. de más de 400 m2)</t>
  </si>
  <si>
    <t>CO.2</t>
  </si>
  <si>
    <t xml:space="preserve">Cierre de actividades comerciales que implican contacto físico con el cliente (permitiendo o no alguna excepción) </t>
  </si>
  <si>
    <t>CO.3</t>
  </si>
  <si>
    <t>Cierre total de centros comerciales</t>
  </si>
  <si>
    <t>CO.4</t>
  </si>
  <si>
    <t>Cierre de zonas comunes dentro de los centros comerciales</t>
  </si>
  <si>
    <t>CO.5</t>
  </si>
  <si>
    <t>Cierre de mercadillos y/o mercados al aire libre</t>
  </si>
  <si>
    <t>CO.6</t>
  </si>
  <si>
    <t>Limitación de horario comercio no esencial</t>
  </si>
  <si>
    <t>CO.7</t>
  </si>
  <si>
    <t>Aforo de locales comerciales en general</t>
  </si>
  <si>
    <t>Aforo de centros comerciales (si diferente al de locales comerciales en general)</t>
  </si>
  <si>
    <t>CO.9</t>
  </si>
  <si>
    <t>Aforo de mercadillos  y/o mercados al aire libre</t>
  </si>
  <si>
    <t>Ampliación de los días y/o horarios de apertura de comercios</t>
  </si>
  <si>
    <t>CO.11</t>
  </si>
  <si>
    <t>Centros recreativos</t>
  </si>
  <si>
    <t xml:space="preserve">Cierre de centros recreativos de mayores (hogares del jubilado) </t>
  </si>
  <si>
    <t>CR</t>
  </si>
  <si>
    <t>CR.1</t>
  </si>
  <si>
    <t xml:space="preserve">Limitación de aforo de centros recreativos de mayores (hogares del jubilado) </t>
  </si>
  <si>
    <t>CR.2</t>
  </si>
  <si>
    <t>Cierre de centros recreativos de jóvenes (ludotecas, centros de ocio juvenil…)</t>
  </si>
  <si>
    <t>CR.3</t>
  </si>
  <si>
    <t>Limitación de aforo de centros recreativos de jóvenes (ludotecas, centros de ocio juvenil…)</t>
  </si>
  <si>
    <t>CR.4</t>
  </si>
  <si>
    <t>Centros sociosanitarios</t>
  </si>
  <si>
    <t>Prohibicion de salidas de residentes</t>
  </si>
  <si>
    <t>CS</t>
  </si>
  <si>
    <t>CS.1</t>
  </si>
  <si>
    <t xml:space="preserve">Limitación de salidas de residentes </t>
  </si>
  <si>
    <t>CS.2</t>
  </si>
  <si>
    <t>Limitación de visitas</t>
  </si>
  <si>
    <t>CS.3</t>
  </si>
  <si>
    <t>Cierre de centros de día sociosanitarios</t>
  </si>
  <si>
    <t>CS.4</t>
  </si>
  <si>
    <t>Limiraciones de aforo en centros de día sociosanitarios</t>
  </si>
  <si>
    <t>CS.5</t>
  </si>
  <si>
    <t>Cribado de nuevos ingresos de residentes</t>
  </si>
  <si>
    <t>CS.6</t>
  </si>
  <si>
    <t>Cribado de trabajadores nuevos o a la vuelta de permisos o vacaciones</t>
  </si>
  <si>
    <t>CS.7</t>
  </si>
  <si>
    <t>Cribados periódicos de residentes</t>
  </si>
  <si>
    <t>CS.8</t>
  </si>
  <si>
    <t>Cribados perioódicos de trabajadores</t>
  </si>
  <si>
    <t>CS.9</t>
  </si>
  <si>
    <t>Educación</t>
  </si>
  <si>
    <t>Cierre de centros educativos (por restricciones o vacaciones)</t>
  </si>
  <si>
    <t>ED</t>
  </si>
  <si>
    <t>ED.1</t>
  </si>
  <si>
    <t>Cierre de academias, autoescuelas y otros centros de formación no reglada (incluidas actividades promovidas por las administraciones locales)</t>
  </si>
  <si>
    <t>ED.3</t>
  </si>
  <si>
    <t>Limitación de aforo de academias, autoescuelas y otros centros de formación no reglada (incluidas actividades promovidas por las administraciones locales)</t>
  </si>
  <si>
    <t>Suspensión de clases presenciales</t>
  </si>
  <si>
    <t>ED.5</t>
  </si>
  <si>
    <t>Locales de apuestas</t>
  </si>
  <si>
    <t>Cierre total delocales de apuestas, bingos etc.</t>
  </si>
  <si>
    <t>LA</t>
  </si>
  <si>
    <t>LA.1</t>
  </si>
  <si>
    <t>Limitación de horario en locles de apuestas, bingos etc.</t>
  </si>
  <si>
    <t>LA.2</t>
  </si>
  <si>
    <t>Aforo en locales de apuestas, bingos etc.</t>
  </si>
  <si>
    <t>Medidas de higiene</t>
  </si>
  <si>
    <t>Mascarilla obligatoria cuando no se cumpla la distancia física</t>
  </si>
  <si>
    <t>MH</t>
  </si>
  <si>
    <t>MH.1</t>
  </si>
  <si>
    <t>Mascarilla obligatoria incluso con distancia física  (con excepciones)</t>
  </si>
  <si>
    <t>Movilidad</t>
  </si>
  <si>
    <t>Confinamiento domiciliario obligatorio</t>
  </si>
  <si>
    <t>MV</t>
  </si>
  <si>
    <t>MV.1</t>
  </si>
  <si>
    <t>Recomendación de permanecer en el domicilio</t>
  </si>
  <si>
    <t>MV.2</t>
  </si>
  <si>
    <t>Limitación de la movilidad nocturna (toque de queda)</t>
  </si>
  <si>
    <t>MV.3</t>
  </si>
  <si>
    <t>Cierre perimetral de entrada y/o salida</t>
  </si>
  <si>
    <t>MV.4</t>
  </si>
  <si>
    <t>Horario preferente paseo personas mayores</t>
  </si>
  <si>
    <t>MV.5</t>
  </si>
  <si>
    <t>Segmentación de la población (p.e. horarios de paseo diferenciados por edades, no solo de mayores)</t>
  </si>
  <si>
    <t>MV.6</t>
  </si>
  <si>
    <t>Ocio nocturno</t>
  </si>
  <si>
    <t>Cierre total del ocio nocturno</t>
  </si>
  <si>
    <t>ON</t>
  </si>
  <si>
    <t>ON.1</t>
  </si>
  <si>
    <t>Cierre del ocio nocturno en locales interiores (permitiendo los exteriores)</t>
  </si>
  <si>
    <t>ON.2</t>
  </si>
  <si>
    <t>Prohibición de pistas de baile (permite uso para estar sentados en mesas)</t>
  </si>
  <si>
    <t>Aforo en locales de ocio nocturno en general</t>
  </si>
  <si>
    <t>Aforo en locales de ocio nocturno en interiores (si diferente de los exteriores)</t>
  </si>
  <si>
    <t>Aforo en locales de ocio nocturno en exteriores (si diferente de los interiores)</t>
  </si>
  <si>
    <t>ON.7</t>
  </si>
  <si>
    <t>Prohibición de consumo en barra</t>
  </si>
  <si>
    <t>Limitación de horario en el ocio nocturno (número de horas hasta un hipotético cierre a las 3:00 am)</t>
  </si>
  <si>
    <t>ON.8</t>
  </si>
  <si>
    <t>Parques</t>
  </si>
  <si>
    <t>Cierre de parques y jardines</t>
  </si>
  <si>
    <t>PA</t>
  </si>
  <si>
    <t>PA.1</t>
  </si>
  <si>
    <t>Cierre de zonas infantiles</t>
  </si>
  <si>
    <t>Limitación de horario en parques y jardines</t>
  </si>
  <si>
    <t>PA.3</t>
  </si>
  <si>
    <t>Restauración, hostelería y bares</t>
  </si>
  <si>
    <t>Cierre general de restaurantes y bares (SIN permitir servicio para llevar)</t>
  </si>
  <si>
    <t>RH</t>
  </si>
  <si>
    <t>RH.1</t>
  </si>
  <si>
    <t>Cierre general de restaurantes y bares (permitiendo servicio para llevar/consumo en domicilio)</t>
  </si>
  <si>
    <t>RH.2</t>
  </si>
  <si>
    <t xml:space="preserve">Cierre únicamente de zonas interiores de restaurantes y bares </t>
  </si>
  <si>
    <t>RH.3</t>
  </si>
  <si>
    <t>RH.4</t>
  </si>
  <si>
    <t>Limitación de horario en restaurantes y bares</t>
  </si>
  <si>
    <t>RH.5</t>
  </si>
  <si>
    <t>Aforo en terrazas al aire libre</t>
  </si>
  <si>
    <t>RH.6</t>
  </si>
  <si>
    <t>Aforo en zona interiores</t>
  </si>
  <si>
    <t>RH.7</t>
  </si>
  <si>
    <t>Aforo en barra</t>
  </si>
  <si>
    <t>RH.8</t>
  </si>
  <si>
    <t>Ocupación máxima personas por mesa  en general</t>
  </si>
  <si>
    <t>Ocupación máxima personas por mesa  en exteriores (si diferente de interiores)</t>
  </si>
  <si>
    <t>Ocupación máxima personas por mesa  en interiores (si diferente de exteriores)</t>
  </si>
  <si>
    <t>Prohibición de fumar en terrazas</t>
  </si>
  <si>
    <t>RH.12</t>
  </si>
  <si>
    <t>Relaciones sociales</t>
  </si>
  <si>
    <t>Limitación al número de personas que se pueden reunir en cualquier circunstancia (con excepciones como convivientes, transporte público, contexto laboral o similares)</t>
  </si>
  <si>
    <t>RS</t>
  </si>
  <si>
    <t>Limitación al número de personas en reuniones solo en lugares públicos (tanto interiores como exteriores)</t>
  </si>
  <si>
    <t>RS.2</t>
  </si>
  <si>
    <t>Limitación al número de personas en reuniones solo en lugares públicos interiores</t>
  </si>
  <si>
    <t>RS.3</t>
  </si>
  <si>
    <t>Prohibición fumar en vía pública &lt; 2 metros</t>
  </si>
  <si>
    <t>RS.4</t>
  </si>
  <si>
    <t>Prohibicion de comer en vía publica</t>
  </si>
  <si>
    <t>RS.5</t>
  </si>
  <si>
    <t>Prohibición consumo alcohol en vía pública</t>
  </si>
  <si>
    <t>RS.6</t>
  </si>
  <si>
    <t>Recomendación sbre el número de personas que se pueden reunir en cualquier circunstancia (con excepciones como convivientes, transporte público, contexto laboral o similares)</t>
  </si>
  <si>
    <t>RS.7</t>
  </si>
  <si>
    <t>Limitación de encuentros fuera del grupo de convivencia habitual (por ejemplo, durante un horario limitado, en cuyo caso, consignar horas)</t>
  </si>
  <si>
    <t>RS.8</t>
  </si>
  <si>
    <t>Recomendación de reducir encuentros fuera del grupo de convivencia habitual</t>
  </si>
  <si>
    <t>RS.9</t>
  </si>
  <si>
    <t>Transporte público</t>
  </si>
  <si>
    <t>Limitacion de aforo en transporte público</t>
  </si>
  <si>
    <t>TP</t>
  </si>
  <si>
    <t>TP.1</t>
  </si>
  <si>
    <t>Obligacion de uso de mascarillas</t>
  </si>
  <si>
    <t>TP.2</t>
  </si>
  <si>
    <t>Prohibición consumo alimentos/bebidas</t>
  </si>
  <si>
    <t>TP.3</t>
  </si>
  <si>
    <t>Aumento de la frecuencia de transporte público</t>
  </si>
  <si>
    <t>Trabajo</t>
  </si>
  <si>
    <t>Cierre de centros de trabajos no esenciales</t>
  </si>
  <si>
    <t>TR</t>
  </si>
  <si>
    <t>TR.1</t>
  </si>
  <si>
    <t>Obligación de teletrabajar para los empleos en los que sea posible</t>
  </si>
  <si>
    <t>TR.2</t>
  </si>
  <si>
    <t>Promoción del teletrabajo</t>
  </si>
  <si>
    <t>TR.3</t>
  </si>
  <si>
    <t>Suspensión de eventos profesionales (congresos, encuentros, etc.) en espacios abiertos</t>
  </si>
  <si>
    <t>TR.4</t>
  </si>
  <si>
    <t>Aforo en eventos profesionales (congresos, encuentros, etc.) en espacios abiertos</t>
  </si>
  <si>
    <t>Suspensión de eventos profesionales (congresos, encuentros, etc.) en espacios cerrados</t>
  </si>
  <si>
    <t>TR.6</t>
  </si>
  <si>
    <t>Aforo en eventos profesionales (congresos, encuentros, etc.) en espacios cerrados</t>
  </si>
  <si>
    <t>Suspensión de eventos profesionales (congresos, encuentros, etc.) en espacios abiertos y cerrados</t>
  </si>
  <si>
    <t>TR.8</t>
  </si>
  <si>
    <t>Aforo en eventos profesionales (congresos, encuentros, etc.) en espacios abiertos y cerrados</t>
  </si>
  <si>
    <t>TR.9</t>
  </si>
  <si>
    <t>ON.10</t>
  </si>
  <si>
    <t>Ocupación de personas máxima por mesa</t>
  </si>
  <si>
    <t>autonómico</t>
  </si>
  <si>
    <t>Comunidad_Valenciana</t>
  </si>
  <si>
    <t>m2</t>
  </si>
  <si>
    <t>porcentaje</t>
  </si>
  <si>
    <t>personas</t>
  </si>
  <si>
    <t>hora (en formato 24h)</t>
  </si>
  <si>
    <t>23:00 - 6:00</t>
  </si>
  <si>
    <t>MV.7</t>
  </si>
  <si>
    <t>Restriccion de movilidad interna en el territorio (en niveles inferiores al nivel territorial al que se aplica)</t>
  </si>
  <si>
    <t>Suspensión de fiestas locales y verbenas</t>
  </si>
  <si>
    <t>PA.4</t>
  </si>
  <si>
    <t>Limitación de AFORO en parques y jardines</t>
  </si>
  <si>
    <t>CE.9</t>
  </si>
  <si>
    <t>Prohibición, restricción solo a convivientes o restricción equivalente en velatorios, entierros y ceremonias fúnebres (interior y exterior)</t>
  </si>
  <si>
    <t>CE.10</t>
  </si>
  <si>
    <t>Prohibición, restricción solo a convivientes o restricción equivalente en otras ceremonias como bodas y bautizos (interior y exterior)</t>
  </si>
  <si>
    <t>CS.11</t>
  </si>
  <si>
    <t>Prohibición de visitas</t>
  </si>
  <si>
    <t>Cifras oficiales de población resultantes de la revisión del Padrón municipal a 1 de enero</t>
  </si>
  <si>
    <t>Detalle municipal</t>
  </si>
  <si>
    <t xml:space="preserve">Castellón/Castelló: Población por municipios y sexo. </t>
  </si>
  <si>
    <t>Unidades: Personas</t>
  </si>
  <si>
    <t xml:space="preserve"> </t>
  </si>
  <si>
    <t>Total</t>
  </si>
  <si>
    <t>12 Castellón/Castello</t>
  </si>
  <si>
    <t>12002 Aín</t>
  </si>
  <si>
    <t>12003 Albocàsser</t>
  </si>
  <si>
    <t>12004 Alcalà de Xivert</t>
  </si>
  <si>
    <t>12005 Alcora, l'</t>
  </si>
  <si>
    <t>12006 Alcudia de Veo</t>
  </si>
  <si>
    <t>12007 Alfondeguilla</t>
  </si>
  <si>
    <t>12008 Algimia de Almonacid</t>
  </si>
  <si>
    <t>12009 Almassora</t>
  </si>
  <si>
    <t>12010 Almedíjar</t>
  </si>
  <si>
    <t>12011 Almenara</t>
  </si>
  <si>
    <t>12901 Alqueries, les/Alquerías del Niño Perdido</t>
  </si>
  <si>
    <t>12012 Altura</t>
  </si>
  <si>
    <t>12013 Arañuel</t>
  </si>
  <si>
    <t>12014 Ares del Maestrat</t>
  </si>
  <si>
    <t>12015 Argelita</t>
  </si>
  <si>
    <t>12016 Artana</t>
  </si>
  <si>
    <t>12001 Atzeneta del Maestrat</t>
  </si>
  <si>
    <t>12017 Ayódar</t>
  </si>
  <si>
    <t>12018 Azuébar</t>
  </si>
  <si>
    <t>12020 Barracas</t>
  </si>
  <si>
    <t>12022 Bejís</t>
  </si>
  <si>
    <t>12024 Benafer</t>
  </si>
  <si>
    <t>12025 Benafigos</t>
  </si>
  <si>
    <t>12026 Benassal</t>
  </si>
  <si>
    <t>12027 Benicarló</t>
  </si>
  <si>
    <t>12028 Benicasim/Benicàssim</t>
  </si>
  <si>
    <t>12029 Benlloc</t>
  </si>
  <si>
    <t>12021 Betxí</t>
  </si>
  <si>
    <t>12032 Borriana/Burriana</t>
  </si>
  <si>
    <t>12031 Borriol</t>
  </si>
  <si>
    <t>12033 Cabanes</t>
  </si>
  <si>
    <t>12034 Càlig</t>
  </si>
  <si>
    <t>12036 Canet lo Roig</t>
  </si>
  <si>
    <t>12037 Castell de Cabres</t>
  </si>
  <si>
    <t>12038 Castellfort</t>
  </si>
  <si>
    <t>12039 Castellnovo</t>
  </si>
  <si>
    <t>12040 Castelló de la Plana</t>
  </si>
  <si>
    <t>12041 Castillo de Villamalefa</t>
  </si>
  <si>
    <t>12042 Catí</t>
  </si>
  <si>
    <t>12043 Caudiel</t>
  </si>
  <si>
    <t>12044 Cervera del Maestre</t>
  </si>
  <si>
    <t>12053 Chilches/Xilxes</t>
  </si>
  <si>
    <t>12055 Chodos/Xodos</t>
  </si>
  <si>
    <t>12056 Chóvar</t>
  </si>
  <si>
    <t>12045 Cinctorres</t>
  </si>
  <si>
    <t>12046 Cirat</t>
  </si>
  <si>
    <t>12048 Cortes de Arenoso</t>
  </si>
  <si>
    <t>12049 Costur</t>
  </si>
  <si>
    <t>12050 Coves de Vinromà, les</t>
  </si>
  <si>
    <t>12051 Culla</t>
  </si>
  <si>
    <t>12057 Eslida</t>
  </si>
  <si>
    <t>12058 Espadilla</t>
  </si>
  <si>
    <t>12059 Fanzara</t>
  </si>
  <si>
    <t>12060 Figueroles</t>
  </si>
  <si>
    <t>12061 Forcall</t>
  </si>
  <si>
    <t>12063 Fuente la Reina</t>
  </si>
  <si>
    <t>12064 Fuentes de Ayódar</t>
  </si>
  <si>
    <t>12065 Gaibiel</t>
  </si>
  <si>
    <t>12067 Geldo</t>
  </si>
  <si>
    <t>12068 Herbés</t>
  </si>
  <si>
    <t>12069 Higueras</t>
  </si>
  <si>
    <t>12070 Jana, la</t>
  </si>
  <si>
    <t>12071 Jérica</t>
  </si>
  <si>
    <t>12074 Llosa, la</t>
  </si>
  <si>
    <t xml:space="preserve">12072 Llucena/Lucena del Cid	</t>
  </si>
  <si>
    <t>12073 Ludiente</t>
  </si>
  <si>
    <t>12075 Mata de Morella, la</t>
  </si>
  <si>
    <t>12076 Matet</t>
  </si>
  <si>
    <t>12077 Moncofa</t>
  </si>
  <si>
    <t>12078 Montán</t>
  </si>
  <si>
    <t>12079 Montanejos</t>
  </si>
  <si>
    <t>12080 Morella</t>
  </si>
  <si>
    <t>12081 Navajas</t>
  </si>
  <si>
    <t>12082 Nules</t>
  </si>
  <si>
    <t>12083 Olocau del Rey</t>
  </si>
  <si>
    <t>12084 Onda</t>
  </si>
  <si>
    <t>12085 Oropesa del Mar/Orpesa</t>
  </si>
  <si>
    <t>12087 Palanques</t>
  </si>
  <si>
    <t>12088 Pavías</t>
  </si>
  <si>
    <t>12089 Peníscola/Peñíscola</t>
  </si>
  <si>
    <t>12090 Pina de Montalgrao</t>
  </si>
  <si>
    <t>12093 Pobla de Benifassà, la</t>
  </si>
  <si>
    <t>12094 Pobla Tornesa, la</t>
  </si>
  <si>
    <t>12091 Portell de Morella</t>
  </si>
  <si>
    <t>12092 Puebla de Arenoso</t>
  </si>
  <si>
    <t>12095 Ribesalbes</t>
  </si>
  <si>
    <t>12096 Rossell</t>
  </si>
  <si>
    <t>12097 Sacañet</t>
  </si>
  <si>
    <t>12098 Salzadella, la</t>
  </si>
  <si>
    <t>12101 San Rafael del Río</t>
  </si>
  <si>
    <t>12902 Sant Joan de Moró</t>
  </si>
  <si>
    <t>12099 Sant Jordi/San Jorge</t>
  </si>
  <si>
    <t>12100 Sant Mateu</t>
  </si>
  <si>
    <t>12102 Santa Magdalena de Pulpis</t>
  </si>
  <si>
    <t>12104 Segorbe</t>
  </si>
  <si>
    <t>12103 Serratella, la</t>
  </si>
  <si>
    <t>12105 Sierra Engarcerán</t>
  </si>
  <si>
    <t>12106 Soneja</t>
  </si>
  <si>
    <t>12107 Sot de Ferrer</t>
  </si>
  <si>
    <t>12108 Sueras/Suera</t>
  </si>
  <si>
    <t>12109 Tales</t>
  </si>
  <si>
    <t>12110 Teresa</t>
  </si>
  <si>
    <t>12111 Tírig</t>
  </si>
  <si>
    <t>12112 Todolella</t>
  </si>
  <si>
    <t>12113 Toga</t>
  </si>
  <si>
    <t>12114 Torás</t>
  </si>
  <si>
    <t>12115 Toro, El</t>
  </si>
  <si>
    <t>12116 Torralba del Pinar</t>
  </si>
  <si>
    <t>12119 Torre d'En Besora, la</t>
  </si>
  <si>
    <t>12120 Torre d'en Doménec, la</t>
  </si>
  <si>
    <t>12117 Torreblanca</t>
  </si>
  <si>
    <t>12118 Torrechiva</t>
  </si>
  <si>
    <t>12121 Traiguera</t>
  </si>
  <si>
    <t>12122 Useras/Useres, les</t>
  </si>
  <si>
    <t>12124 Vall d'Alba</t>
  </si>
  <si>
    <t>12125 Vall de Almonacid</t>
  </si>
  <si>
    <t>12126 Vall d'Uixó, la</t>
  </si>
  <si>
    <t>12123 Vallat</t>
  </si>
  <si>
    <t>12127 Vallibona</t>
  </si>
  <si>
    <t>12128 Vilafamés</t>
  </si>
  <si>
    <t>12129 Vilafranca/Villafranca del Cid</t>
  </si>
  <si>
    <t>12132 Vilanova d'Alcolea</t>
  </si>
  <si>
    <t>12134 Vilar de Canes</t>
  </si>
  <si>
    <t>12135 Vila-real</t>
  </si>
  <si>
    <t>12136 Vilavella, la</t>
  </si>
  <si>
    <t>12130 Villahermosa del Río</t>
  </si>
  <si>
    <t>12131 Villamalur</t>
  </si>
  <si>
    <t>12133 Villanueva de Viver</t>
  </si>
  <si>
    <t>12137 Villores</t>
  </si>
  <si>
    <t>12138 Vinaròs</t>
  </si>
  <si>
    <t>12139 Vistabella del Maestrat</t>
  </si>
  <si>
    <t>12140 Viver</t>
  </si>
  <si>
    <t>12052 Xert</t>
  </si>
  <si>
    <t>12141 Zorita del Maestrazgo</t>
  </si>
  <si>
    <t>12142 Zucaina</t>
  </si>
  <si>
    <t xml:space="preserve">Valencia/València: Población por municipios y sexo. </t>
  </si>
  <si>
    <t>46 Valencia/València</t>
  </si>
  <si>
    <t>46001 Ademuz</t>
  </si>
  <si>
    <t>46002 Ador</t>
  </si>
  <si>
    <t>46004 Agullent</t>
  </si>
  <si>
    <t>46042 Aielo de Malferit</t>
  </si>
  <si>
    <t>46043 Aielo de Rugat</t>
  </si>
  <si>
    <t>46005 Alaquàs</t>
  </si>
  <si>
    <t>46006 Albaida</t>
  </si>
  <si>
    <t>46007 Albal</t>
  </si>
  <si>
    <t>46008 Albalat de la Ribera</t>
  </si>
  <si>
    <t>46009 Albalat dels Sorells</t>
  </si>
  <si>
    <t>46010 Albalat dels Tarongers</t>
  </si>
  <si>
    <t>46011 Alberic</t>
  </si>
  <si>
    <t>46012 Alborache</t>
  </si>
  <si>
    <t>46013 Alboraia/Alboraya</t>
  </si>
  <si>
    <t>46014 Albuixech</t>
  </si>
  <si>
    <t>46016 Alcàntera de Xúquer</t>
  </si>
  <si>
    <t>46015 Alcàsser</t>
  </si>
  <si>
    <t>46018 Alcublas</t>
  </si>
  <si>
    <t>46020 Alcúdia de Crespins, l'</t>
  </si>
  <si>
    <t>46019 Alcúdia, l'</t>
  </si>
  <si>
    <t>46021 Aldaia</t>
  </si>
  <si>
    <t>46022 Alfafar</t>
  </si>
  <si>
    <t>46024 Alfara de la Baronia</t>
  </si>
  <si>
    <t>46025 Alfara del Patriarca</t>
  </si>
  <si>
    <t>46026 Alfarp</t>
  </si>
  <si>
    <t>46027 Alfarrasí</t>
  </si>
  <si>
    <t>46023 Alfauir</t>
  </si>
  <si>
    <t>46028 Algar de Palancia</t>
  </si>
  <si>
    <t>46029 Algemesí</t>
  </si>
  <si>
    <t xml:space="preserve">46030 Algímia d'Alfara	</t>
  </si>
  <si>
    <t>46031 Alginet</t>
  </si>
  <si>
    <t>46032 Almàssera</t>
  </si>
  <si>
    <t>46033 Almiserà</t>
  </si>
  <si>
    <t>46034 Almoines</t>
  </si>
  <si>
    <t>46035 Almussafes</t>
  </si>
  <si>
    <t>46036 Alpuente</t>
  </si>
  <si>
    <t>46037 Alqueria de la Comtessa, l'</t>
  </si>
  <si>
    <t>46017 Alzira</t>
  </si>
  <si>
    <t>46038 Andilla</t>
  </si>
  <si>
    <t>46039 Anna</t>
  </si>
  <si>
    <t>46040 Antella</t>
  </si>
  <si>
    <t>46041 Aras de los Olmos</t>
  </si>
  <si>
    <t>46003 Atzeneta d'Albaida</t>
  </si>
  <si>
    <t>46044 Ayora</t>
  </si>
  <si>
    <t>46046 Barx</t>
  </si>
  <si>
    <t>46045 Barxeta</t>
  </si>
  <si>
    <t>46047 Bèlgida</t>
  </si>
  <si>
    <t>46048 Bellreguard</t>
  </si>
  <si>
    <t>46049 Bellús</t>
  </si>
  <si>
    <t>46050 Benagéber</t>
  </si>
  <si>
    <t>46051 Benaguasil</t>
  </si>
  <si>
    <t>46052 Benavites</t>
  </si>
  <si>
    <t>46053 Beneixida</t>
  </si>
  <si>
    <t>46054 Benetússer</t>
  </si>
  <si>
    <t>46055 Beniarjó</t>
  </si>
  <si>
    <t>46056 Beniatjar</t>
  </si>
  <si>
    <t>46057 Benicolet</t>
  </si>
  <si>
    <t>46904 Benicull de Xúquer</t>
  </si>
  <si>
    <t>46060 Benifaió</t>
  </si>
  <si>
    <t>46059 Benifairó de la Valldigna</t>
  </si>
  <si>
    <t>46058 Benifairó de les Valls</t>
  </si>
  <si>
    <t>46061 Beniflá</t>
  </si>
  <si>
    <t>46062 Benigànim</t>
  </si>
  <si>
    <t>46063 Benimodo</t>
  </si>
  <si>
    <t>46064 Benimuslem</t>
  </si>
  <si>
    <t>46065 Beniparrell</t>
  </si>
  <si>
    <t>46066 Benirredrà</t>
  </si>
  <si>
    <t>46067 Benissanó</t>
  </si>
  <si>
    <t>46068 Benissoda</t>
  </si>
  <si>
    <t>46069 Benissuera</t>
  </si>
  <si>
    <t>46070 Bétera</t>
  </si>
  <si>
    <t>46071 Bicorp</t>
  </si>
  <si>
    <t>46072 Bocairent</t>
  </si>
  <si>
    <t>46073 Bolbaite</t>
  </si>
  <si>
    <t>46074 Bonrepòs i Mirambell</t>
  </si>
  <si>
    <t>46075 Bufali</t>
  </si>
  <si>
    <t>46076 Bugarra</t>
  </si>
  <si>
    <t>46077 Buñol</t>
  </si>
  <si>
    <t>46078 Burjassot</t>
  </si>
  <si>
    <t>46079 Calles</t>
  </si>
  <si>
    <t>46080 Camporrobles</t>
  </si>
  <si>
    <t>46081 Canals</t>
  </si>
  <si>
    <t>46082 Canet d'En Berenguer</t>
  </si>
  <si>
    <t>46083 Carcaixent</t>
  </si>
  <si>
    <t>46084 Càrcer</t>
  </si>
  <si>
    <t>46085 Carlet</t>
  </si>
  <si>
    <t>46086 Carrícola</t>
  </si>
  <si>
    <t>46087 Casas Altas</t>
  </si>
  <si>
    <t>46088 Casas Bajas</t>
  </si>
  <si>
    <t>46089 Casinos</t>
  </si>
  <si>
    <t>46090 Castelló de Rugat</t>
  </si>
  <si>
    <t>46091 Castellonet de la Conquesta</t>
  </si>
  <si>
    <t>46092 Castielfabib</t>
  </si>
  <si>
    <t>46093 Catadau</t>
  </si>
  <si>
    <t>46094 Catarroja</t>
  </si>
  <si>
    <t>46095 Caudete de las Fuentes</t>
  </si>
  <si>
    <t>46096 Cerdà</t>
  </si>
  <si>
    <t>46107 Chella</t>
  </si>
  <si>
    <t>46106 Chelva</t>
  </si>
  <si>
    <t>46108 Chera</t>
  </si>
  <si>
    <t>46109 Cheste</t>
  </si>
  <si>
    <t>46111 Chiva</t>
  </si>
  <si>
    <t>46112 Chulilla</t>
  </si>
  <si>
    <t>46097 Cofrentes</t>
  </si>
  <si>
    <t>46098 Corbera</t>
  </si>
  <si>
    <t>46099 Cortes de Pallás</t>
  </si>
  <si>
    <t>46100 Cotes</t>
  </si>
  <si>
    <t>46105 Cullera</t>
  </si>
  <si>
    <t>46113 Daimús</t>
  </si>
  <si>
    <t>46114 Domeño</t>
  </si>
  <si>
    <t>46115 Dos Aguas</t>
  </si>
  <si>
    <t>46116 Eliana, l'</t>
  </si>
  <si>
    <t>46117 Emperador</t>
  </si>
  <si>
    <t>46118 Enguera</t>
  </si>
  <si>
    <t>46119 Ènova, l'</t>
  </si>
  <si>
    <t>46120 Estivella</t>
  </si>
  <si>
    <t>46121 Estubeny</t>
  </si>
  <si>
    <t>46122 Faura</t>
  </si>
  <si>
    <t>46123 Favara</t>
  </si>
  <si>
    <t>46126 Foios</t>
  </si>
  <si>
    <t>46128 Font de la Figuera, la</t>
  </si>
  <si>
    <t>46127 Font d'En Carròs, la</t>
  </si>
  <si>
    <t>46124 Fontanars dels Alforins</t>
  </si>
  <si>
    <t>46125 Fortaleny</t>
  </si>
  <si>
    <t>46129 Fuenterrobles</t>
  </si>
  <si>
    <t>46131 Gandia</t>
  </si>
  <si>
    <t>46902 Gátova</t>
  </si>
  <si>
    <t>46130 Gavarda</t>
  </si>
  <si>
    <t>46132 Genovés, el</t>
  </si>
  <si>
    <t>46133 Gestalgar</t>
  </si>
  <si>
    <t>46134 Gilet</t>
  </si>
  <si>
    <t>46135 Godella</t>
  </si>
  <si>
    <t>46136 Godelleta</t>
  </si>
  <si>
    <t>46137 Granja de la Costera, la</t>
  </si>
  <si>
    <t>46138 Guadasséquies</t>
  </si>
  <si>
    <t>46139 Guadassuar</t>
  </si>
  <si>
    <t>46140 Guardamar de la Safor</t>
  </si>
  <si>
    <t>46141 Higueruelas</t>
  </si>
  <si>
    <t>46142 Jalance</t>
  </si>
  <si>
    <t>46144 Jarafuel</t>
  </si>
  <si>
    <t>46154 Llanera de Ranes</t>
  </si>
  <si>
    <t>46155 Llaurí</t>
  </si>
  <si>
    <t>46147 Llíria</t>
  </si>
  <si>
    <t>46152 Llocnou de la Corona</t>
  </si>
  <si>
    <t>46153 Llocnou de Sant Jeroni</t>
  </si>
  <si>
    <t>46151 Llocnou d'En Fenollet</t>
  </si>
  <si>
    <t>46156 Llombai</t>
  </si>
  <si>
    <t>46157 Llosa de Ranes, la</t>
  </si>
  <si>
    <t>46150 Llutxent</t>
  </si>
  <si>
    <t>46148 Loriguilla</t>
  </si>
  <si>
    <t>46149 Losa del Obispo</t>
  </si>
  <si>
    <t>46158 Macastre</t>
  </si>
  <si>
    <t>46159 Manises</t>
  </si>
  <si>
    <t>46160 Manuel</t>
  </si>
  <si>
    <t>46161 Marines</t>
  </si>
  <si>
    <t>46162 Massalavés</t>
  </si>
  <si>
    <t>46163 Massalfassar</t>
  </si>
  <si>
    <t>46164 Massamagrell</t>
  </si>
  <si>
    <t>46165 Massanassa</t>
  </si>
  <si>
    <t>46166 Meliana</t>
  </si>
  <si>
    <t>46167 Millares</t>
  </si>
  <si>
    <t>46168 Miramar</t>
  </si>
  <si>
    <t>46169 Mislata</t>
  </si>
  <si>
    <t>46170 Mogente/Moixent</t>
  </si>
  <si>
    <t>46171 Moncada</t>
  </si>
  <si>
    <t>46173 Montaverner</t>
  </si>
  <si>
    <t>46174 Montesa</t>
  </si>
  <si>
    <t>46175 Montitxelvo/Montichelvo</t>
  </si>
  <si>
    <t>46176 Montroi/Montroy</t>
  </si>
  <si>
    <t>46172 Montserrat</t>
  </si>
  <si>
    <t>46177 Museros</t>
  </si>
  <si>
    <t>46178 Nàquera/Náquera</t>
  </si>
  <si>
    <t>46179 Navarrés</t>
  </si>
  <si>
    <t>46180 Novelé/Novetlè</t>
  </si>
  <si>
    <t>46181 Oliva</t>
  </si>
  <si>
    <t>46183 Olleria, l'</t>
  </si>
  <si>
    <t>46182 Olocau</t>
  </si>
  <si>
    <t>46184 Ontinyent</t>
  </si>
  <si>
    <t>46185 Otos</t>
  </si>
  <si>
    <t>46186 Paiporta</t>
  </si>
  <si>
    <t>46187 Palma de Gandía</t>
  </si>
  <si>
    <t>46188 Palmera</t>
  </si>
  <si>
    <t>46189 Palomar, el</t>
  </si>
  <si>
    <t>46190 Paterna</t>
  </si>
  <si>
    <t>46191 Pedralba</t>
  </si>
  <si>
    <t>46192 Petrés</t>
  </si>
  <si>
    <t>46193 Picanya</t>
  </si>
  <si>
    <t>46194 Picassent</t>
  </si>
  <si>
    <t>46195 Piles</t>
  </si>
  <si>
    <t>46196 Pinet</t>
  </si>
  <si>
    <t>46199 Pobla de Farnals, la</t>
  </si>
  <si>
    <t>46202 Pobla de Vallbona, la</t>
  </si>
  <si>
    <t>46200 Pobla del Duc, la</t>
  </si>
  <si>
    <t>46203 Pobla Llarga, la</t>
  </si>
  <si>
    <t>46197 Polinyà de Xúquer</t>
  </si>
  <si>
    <t>46198 Potries</t>
  </si>
  <si>
    <t>46205 Puçol</t>
  </si>
  <si>
    <t>46201 Puebla de San Miguel</t>
  </si>
  <si>
    <t>46204 Puig de Santa Maria, el</t>
  </si>
  <si>
    <t>46101 Quart de les Valls</t>
  </si>
  <si>
    <t>46102 Quart de Poblet</t>
  </si>
  <si>
    <t>46103 Quartell</t>
  </si>
  <si>
    <t>46104 Quatretonda</t>
  </si>
  <si>
    <t>46206 Quesa</t>
  </si>
  <si>
    <t>46207 Rafelbunyol</t>
  </si>
  <si>
    <t>46208 Rafelcofer</t>
  </si>
  <si>
    <t>46209 Rafelguaraf</t>
  </si>
  <si>
    <t>46210 Ráfol de Salem</t>
  </si>
  <si>
    <t>46212 Real</t>
  </si>
  <si>
    <t>46211 Real de Gandia, el</t>
  </si>
  <si>
    <t>46213 Requena</t>
  </si>
  <si>
    <t>46214 Riba-roja de Túria</t>
  </si>
  <si>
    <t>46215 Riola</t>
  </si>
  <si>
    <t>46216 Rocafort</t>
  </si>
  <si>
    <t>46217 Rotglà i Corberà</t>
  </si>
  <si>
    <t>46218 Rótova</t>
  </si>
  <si>
    <t>46219 Rugat</t>
  </si>
  <si>
    <t>46220 Sagunto/Sagunt</t>
  </si>
  <si>
    <t>46221 Salem</t>
  </si>
  <si>
    <t>46903 San Antonio de Benagéber</t>
  </si>
  <si>
    <t>46222 Sant Joanet</t>
  </si>
  <si>
    <t>46223 Sedaví</t>
  </si>
  <si>
    <t>46224 Segart</t>
  </si>
  <si>
    <t>46225 Sellent</t>
  </si>
  <si>
    <t>46226 Sempere</t>
  </si>
  <si>
    <t>46227 Senyera</t>
  </si>
  <si>
    <t>46228 Serra</t>
  </si>
  <si>
    <t>46229 Siete Aguas</t>
  </si>
  <si>
    <t>46230 Silla</t>
  </si>
  <si>
    <t>46231 Simat de la Valldigna</t>
  </si>
  <si>
    <t>46232 Sinarcas</t>
  </si>
  <si>
    <t>46233 Sollana</t>
  </si>
  <si>
    <t>46234 Sot de Chera</t>
  </si>
  <si>
    <t>46235 Sueca</t>
  </si>
  <si>
    <t>46236 Sumacàrcer</t>
  </si>
  <si>
    <t>46237 Tavernes Blanques</t>
  </si>
  <si>
    <t>46238 Tavernes de la Valldigna</t>
  </si>
  <si>
    <t>46239 Teresa de Cofrentes</t>
  </si>
  <si>
    <t>46240 Terrateig</t>
  </si>
  <si>
    <t>46241 Titaguas</t>
  </si>
  <si>
    <t>46242 Torrebaja</t>
  </si>
  <si>
    <t>46243 Torrella</t>
  </si>
  <si>
    <t>46244 Torrent</t>
  </si>
  <si>
    <t>46245 Torres Torres</t>
  </si>
  <si>
    <t>46246 Tous</t>
  </si>
  <si>
    <t>46247 Tuéjar</t>
  </si>
  <si>
    <t>46248 Turís</t>
  </si>
  <si>
    <t>46249 Utiel</t>
  </si>
  <si>
    <t>46250 València</t>
  </si>
  <si>
    <t>46251 Vallada</t>
  </si>
  <si>
    <t>46252 Vallanca</t>
  </si>
  <si>
    <t>46253 Vallés</t>
  </si>
  <si>
    <t>46254 Venta del Moro</t>
  </si>
  <si>
    <t>46255 Vilallonga/Villalonga</t>
  </si>
  <si>
    <t>46256 Vilamarxant</t>
  </si>
  <si>
    <t>46257 Villanueva de Castellón</t>
  </si>
  <si>
    <t>46258 Villar del Arzobispo</t>
  </si>
  <si>
    <t>46259 Villargordo del Cabriel</t>
  </si>
  <si>
    <t>46260 Vinalesa</t>
  </si>
  <si>
    <t>46145 Xàtiva</t>
  </si>
  <si>
    <t>46143 Xeraco</t>
  </si>
  <si>
    <t>46146 Xeresa</t>
  </si>
  <si>
    <t>46110 Xirivella</t>
  </si>
  <si>
    <t>46261 Yátova</t>
  </si>
  <si>
    <t>46262 Yesa, La</t>
  </si>
  <si>
    <t>46263 Zarra</t>
  </si>
  <si>
    <t xml:space="preserve">Alicante/Alacant: Población por municipios y sexo. </t>
  </si>
  <si>
    <t>03 Alicante/Alacant</t>
  </si>
  <si>
    <t>03002 Agost</t>
  </si>
  <si>
    <t>03003 Agres</t>
  </si>
  <si>
    <t>03004 Aigües</t>
  </si>
  <si>
    <t>03005 Albatera</t>
  </si>
  <si>
    <t>03006 Alcalalí</t>
  </si>
  <si>
    <t>03007 Alcocer de Planes</t>
  </si>
  <si>
    <t>03008 Alcoleja</t>
  </si>
  <si>
    <t>03009 Alcoy/Alcoi</t>
  </si>
  <si>
    <t>03010 Alfafara</t>
  </si>
  <si>
    <t>03011 Alfàs del Pi, l'</t>
  </si>
  <si>
    <t>03012 Algorfa</t>
  </si>
  <si>
    <t>03013 Algueña</t>
  </si>
  <si>
    <t>03014 Alicante/Alacant</t>
  </si>
  <si>
    <t>03015 Almoradí</t>
  </si>
  <si>
    <t>03016 Almudaina</t>
  </si>
  <si>
    <t>03017 Alqueria d'Asnar, l'</t>
  </si>
  <si>
    <t>03018 Altea</t>
  </si>
  <si>
    <t>03019 Aspe</t>
  </si>
  <si>
    <t>03001 Atzúbia, l'</t>
  </si>
  <si>
    <t>03020 Balones</t>
  </si>
  <si>
    <t>03021 Banyeres de Mariola</t>
  </si>
  <si>
    <t>03022 Benasau</t>
  </si>
  <si>
    <t>03023 Beneixama</t>
  </si>
  <si>
    <t>03024 Benejúzar</t>
  </si>
  <si>
    <t>03025 Benferri</t>
  </si>
  <si>
    <t>03026 Beniarbeig</t>
  </si>
  <si>
    <t>03027 Beniardá</t>
  </si>
  <si>
    <t>03028 Beniarrés</t>
  </si>
  <si>
    <t>03030 Benidoleig</t>
  </si>
  <si>
    <t>03031 Benidorm</t>
  </si>
  <si>
    <t>03032 Benifallim</t>
  </si>
  <si>
    <t>03033 Benifato</t>
  </si>
  <si>
    <t>03029 Benigembla</t>
  </si>
  <si>
    <t>03034 Benijófar</t>
  </si>
  <si>
    <t>03035 Benilloba</t>
  </si>
  <si>
    <t>03036 Benillup</t>
  </si>
  <si>
    <t>03037 Benimantell</t>
  </si>
  <si>
    <t>03038 Benimarfull</t>
  </si>
  <si>
    <t>03039 Benimassot</t>
  </si>
  <si>
    <t>03040 Benimeli</t>
  </si>
  <si>
    <t>03041 Benissa</t>
  </si>
  <si>
    <t>03042 Benitachell/Poble Nou de Benitatxell, el</t>
  </si>
  <si>
    <t>03043 Biar</t>
  </si>
  <si>
    <t>03044 Bigastro</t>
  </si>
  <si>
    <t>03045 Bolulla</t>
  </si>
  <si>
    <t>03046 Busot</t>
  </si>
  <si>
    <t>03049 Callosa de Segura</t>
  </si>
  <si>
    <t>03048 Callosa d'en Sarrià</t>
  </si>
  <si>
    <t>03047 Calp</t>
  </si>
  <si>
    <t>03050 Campello, el</t>
  </si>
  <si>
    <t>03051 Campo de Mirra/Camp de Mirra, el</t>
  </si>
  <si>
    <t>03052 Cañada</t>
  </si>
  <si>
    <t>03053 Castalla</t>
  </si>
  <si>
    <t>03054 Castell de Castells</t>
  </si>
  <si>
    <t>03075 Castell de Guadalest, el</t>
  </si>
  <si>
    <t>03055 Catral</t>
  </si>
  <si>
    <t>03056 Cocentaina</t>
  </si>
  <si>
    <t>03057 Confrides</t>
  </si>
  <si>
    <t>03058 Cox</t>
  </si>
  <si>
    <t>03059 Crevillent</t>
  </si>
  <si>
    <t>03061 Daya Nueva</t>
  </si>
  <si>
    <t>03062 Daya Vieja</t>
  </si>
  <si>
    <t>03063 Dénia</t>
  </si>
  <si>
    <t>03064 Dolores</t>
  </si>
  <si>
    <t>03065 Elche/Elx</t>
  </si>
  <si>
    <t>03066 Elda</t>
  </si>
  <si>
    <t>03067 Facheca</t>
  </si>
  <si>
    <t>03068 Famorca</t>
  </si>
  <si>
    <t>03069 Finestrat</t>
  </si>
  <si>
    <t>03077 Fondó de les Neus, el/Hondón de las Nieves</t>
  </si>
  <si>
    <t>03070 Formentera del Segura</t>
  </si>
  <si>
    <t>03072 Gaianes</t>
  </si>
  <si>
    <t>03071 Gata de Gorgos</t>
  </si>
  <si>
    <t>03073 Gorga</t>
  </si>
  <si>
    <t>03074 Granja de Rocamora</t>
  </si>
  <si>
    <t>03076 Guardamar del Segura</t>
  </si>
  <si>
    <t>03078 Hondón de los Frailes</t>
  </si>
  <si>
    <t>03079 Ibi</t>
  </si>
  <si>
    <t>03080 Jacarilla</t>
  </si>
  <si>
    <t>03082 Jávea/Xàbia</t>
  </si>
  <si>
    <t>03083 Jijona/Xixona</t>
  </si>
  <si>
    <t>03085 Llíber</t>
  </si>
  <si>
    <t>03084 Lorcha/Orxa, l'</t>
  </si>
  <si>
    <t>03086 Millena</t>
  </si>
  <si>
    <t>03088 Monforte del Cid</t>
  </si>
  <si>
    <t>03089 Monóvar/Monòver</t>
  </si>
  <si>
    <t>03903 Montesinos, Los</t>
  </si>
  <si>
    <t>03091 Murla</t>
  </si>
  <si>
    <t>03092 Muro de Alcoy</t>
  </si>
  <si>
    <t>03090 Mutxamel</t>
  </si>
  <si>
    <t>03093 Novelda</t>
  </si>
  <si>
    <t>03094 Nucia, la</t>
  </si>
  <si>
    <t>03095 Ondara</t>
  </si>
  <si>
    <t>03096 Onil</t>
  </si>
  <si>
    <t>03097 Orba</t>
  </si>
  <si>
    <t>03099 Orihuela</t>
  </si>
  <si>
    <t>03098 Orxeta</t>
  </si>
  <si>
    <t>03100 Parcent</t>
  </si>
  <si>
    <t>03101 Pedreguer</t>
  </si>
  <si>
    <t>03102 Pego</t>
  </si>
  <si>
    <t>03103 Penàguila</t>
  </si>
  <si>
    <t>03104 Petrer</t>
  </si>
  <si>
    <t>03902 Pilar de la Horadada</t>
  </si>
  <si>
    <t>03105 Pinós, el/Pinoso</t>
  </si>
  <si>
    <t>03106 Planes</t>
  </si>
  <si>
    <t>03901 Poblets, els</t>
  </si>
  <si>
    <t>03107 Polop</t>
  </si>
  <si>
    <t>03060 Quatretondeta</t>
  </si>
  <si>
    <t>03109 Rafal</t>
  </si>
  <si>
    <t>03110 Ràfol d'Almúnia, el</t>
  </si>
  <si>
    <t>03111 Redován</t>
  </si>
  <si>
    <t>03112 Relleu</t>
  </si>
  <si>
    <t>03113 Rojales</t>
  </si>
  <si>
    <t>03114 Romana, la</t>
  </si>
  <si>
    <t>03115 Sagra</t>
  </si>
  <si>
    <t>03116 Salinas</t>
  </si>
  <si>
    <t>03118 San Fulgencio</t>
  </si>
  <si>
    <t>03904 San Isidro</t>
  </si>
  <si>
    <t>03120 San Miguel de Salinas</t>
  </si>
  <si>
    <t>03122 San Vicente del Raspeig/Sant Vicent del Raspeig</t>
  </si>
  <si>
    <t>03117 Sanet y Negrals</t>
  </si>
  <si>
    <t>03119 Sant Joan d'Alacant</t>
  </si>
  <si>
    <t>03121 Santa Pola</t>
  </si>
  <si>
    <t>03123 Sax</t>
  </si>
  <si>
    <t>03124 Sella</t>
  </si>
  <si>
    <t>03125 Senija</t>
  </si>
  <si>
    <t>03127 Tàrbena</t>
  </si>
  <si>
    <t>03128 Teulada</t>
  </si>
  <si>
    <t>03129 Tibi</t>
  </si>
  <si>
    <t>03130 Tollos</t>
  </si>
  <si>
    <t>03131 Tormos</t>
  </si>
  <si>
    <t>03132 Torremanzanas/Torre de les Maçanes, la</t>
  </si>
  <si>
    <t>03133 Torrevieja</t>
  </si>
  <si>
    <t>03134 Vall d'Alcalà, la</t>
  </si>
  <si>
    <t>03136 Vall de Gallinera</t>
  </si>
  <si>
    <t>03137 Vall de Laguar, la</t>
  </si>
  <si>
    <t>03135 Vall d'Ebo, la</t>
  </si>
  <si>
    <t>03138 Verger, el</t>
  </si>
  <si>
    <t>03139 Villajoyosa/Vila Joiosa, la</t>
  </si>
  <si>
    <t>03140 Villena</t>
  </si>
  <si>
    <t>03081 Xaló</t>
  </si>
  <si>
    <t>22:00 - 6:00</t>
  </si>
  <si>
    <t>subprovincial</t>
  </si>
  <si>
    <t>Aín</t>
  </si>
  <si>
    <t>Albocàsser</t>
  </si>
  <si>
    <t>Alcalà de Xivert</t>
  </si>
  <si>
    <t>Alcora, l'</t>
  </si>
  <si>
    <t>Alcudia de Veo</t>
  </si>
  <si>
    <t>Alfondeguilla</t>
  </si>
  <si>
    <t>Algimia de Almonacid</t>
  </si>
  <si>
    <t>Almassora</t>
  </si>
  <si>
    <t>Almedíjar</t>
  </si>
  <si>
    <t>Almenara</t>
  </si>
  <si>
    <t>Alqueries, les/Alquerías del Niño Perdido</t>
  </si>
  <si>
    <t>Altura</t>
  </si>
  <si>
    <t>Arañuel</t>
  </si>
  <si>
    <t>Ares del Maestrat</t>
  </si>
  <si>
    <t>Argelita</t>
  </si>
  <si>
    <t>Artana</t>
  </si>
  <si>
    <t>Atzeneta del Maestrat</t>
  </si>
  <si>
    <t>Ayódar</t>
  </si>
  <si>
    <t>Azuébar</t>
  </si>
  <si>
    <t>Barracas</t>
  </si>
  <si>
    <t>Bejís</t>
  </si>
  <si>
    <t>Benafer</t>
  </si>
  <si>
    <t>Benafigos</t>
  </si>
  <si>
    <t>Benassal</t>
  </si>
  <si>
    <t>Benicarló</t>
  </si>
  <si>
    <t>Benicasim/Benicàssim</t>
  </si>
  <si>
    <t>Benlloc</t>
  </si>
  <si>
    <t>Betxí</t>
  </si>
  <si>
    <t>Borriana/Burriana</t>
  </si>
  <si>
    <t>Borriol</t>
  </si>
  <si>
    <t>Cabanes</t>
  </si>
  <si>
    <t>Càlig</t>
  </si>
  <si>
    <t>Canet lo Roig</t>
  </si>
  <si>
    <t>Castell de Cabres</t>
  </si>
  <si>
    <t>Castellfort</t>
  </si>
  <si>
    <t>Castellnovo</t>
  </si>
  <si>
    <t>Castelló de la Plana</t>
  </si>
  <si>
    <t>Castillo de Villamalefa</t>
  </si>
  <si>
    <t>Catí</t>
  </si>
  <si>
    <t>Caudiel</t>
  </si>
  <si>
    <t>Cervera del Maestre</t>
  </si>
  <si>
    <t>Chilches/Xilxes</t>
  </si>
  <si>
    <t>Chodos/Xodos</t>
  </si>
  <si>
    <t>Chóvar</t>
  </si>
  <si>
    <t>Cinctorres</t>
  </si>
  <si>
    <t>Cirat</t>
  </si>
  <si>
    <t>Cortes de Arenoso</t>
  </si>
  <si>
    <t>Costur</t>
  </si>
  <si>
    <t>Coves de Vinromà, les</t>
  </si>
  <si>
    <t>Culla</t>
  </si>
  <si>
    <t>Eslida</t>
  </si>
  <si>
    <t>Espadilla</t>
  </si>
  <si>
    <t>Fanzara</t>
  </si>
  <si>
    <t>Figueroles</t>
  </si>
  <si>
    <t>Forcall</t>
  </si>
  <si>
    <t>Fuente la Reina</t>
  </si>
  <si>
    <t>Fuentes de Ayódar</t>
  </si>
  <si>
    <t>Gaibiel</t>
  </si>
  <si>
    <t>Geldo</t>
  </si>
  <si>
    <t>Herbés</t>
  </si>
  <si>
    <t>Higueras</t>
  </si>
  <si>
    <t>Jana, la</t>
  </si>
  <si>
    <t>Jérica</t>
  </si>
  <si>
    <t>Llosa, la</t>
  </si>
  <si>
    <t xml:space="preserve">Llucena/Lucena del Cid	</t>
  </si>
  <si>
    <t>Ludiente</t>
  </si>
  <si>
    <t>Mata de Morella, la</t>
  </si>
  <si>
    <t>Matet</t>
  </si>
  <si>
    <t>Moncofa</t>
  </si>
  <si>
    <t>Montán</t>
  </si>
  <si>
    <t>Montanejos</t>
  </si>
  <si>
    <t>Morella</t>
  </si>
  <si>
    <t>Navajas</t>
  </si>
  <si>
    <t>Nules</t>
  </si>
  <si>
    <t>Olocau del Rey</t>
  </si>
  <si>
    <t>Onda</t>
  </si>
  <si>
    <t>Oropesa del Mar/Orpesa</t>
  </si>
  <si>
    <t>Palanques</t>
  </si>
  <si>
    <t>Pavías</t>
  </si>
  <si>
    <t>Peníscola/Peñíscola</t>
  </si>
  <si>
    <t>Pina de Montalgrao</t>
  </si>
  <si>
    <t>Pobla de Benifassà, la</t>
  </si>
  <si>
    <t>Pobla Tornesa, la</t>
  </si>
  <si>
    <t>Portell de Morella</t>
  </si>
  <si>
    <t>Puebla de Arenoso</t>
  </si>
  <si>
    <t>Ribesalbes</t>
  </si>
  <si>
    <t>Rossell</t>
  </si>
  <si>
    <t>Sacañet</t>
  </si>
  <si>
    <t>Salzadella, la</t>
  </si>
  <si>
    <t>San Rafael del Río</t>
  </si>
  <si>
    <t>Sant Joan de Moró</t>
  </si>
  <si>
    <t>Sant Jordi/San Jorge</t>
  </si>
  <si>
    <t>Sant Mateu</t>
  </si>
  <si>
    <t>Santa Magdalena de Pulpis</t>
  </si>
  <si>
    <t>Segorbe</t>
  </si>
  <si>
    <t>Serratella, la</t>
  </si>
  <si>
    <t>Sierra Engarcerán</t>
  </si>
  <si>
    <t>Soneja</t>
  </si>
  <si>
    <t>Sot de Ferrer</t>
  </si>
  <si>
    <t>Sueras/Suera</t>
  </si>
  <si>
    <t>Tales</t>
  </si>
  <si>
    <t>Teresa</t>
  </si>
  <si>
    <t>Tírig</t>
  </si>
  <si>
    <t>Todolella</t>
  </si>
  <si>
    <t>Toga</t>
  </si>
  <si>
    <t>Torás</t>
  </si>
  <si>
    <t>Toro, El</t>
  </si>
  <si>
    <t>Torralba del Pinar</t>
  </si>
  <si>
    <t>Torre d'En Besora, la</t>
  </si>
  <si>
    <t>Torre d'en Doménec, la</t>
  </si>
  <si>
    <t>Torreblanca</t>
  </si>
  <si>
    <t>Torrechiva</t>
  </si>
  <si>
    <t>Traiguera</t>
  </si>
  <si>
    <t>Useras/Useres, les</t>
  </si>
  <si>
    <t>Vall d'Alba</t>
  </si>
  <si>
    <t>Vall de Almonacid</t>
  </si>
  <si>
    <t>Vall d'Uixó, la</t>
  </si>
  <si>
    <t>Vallat</t>
  </si>
  <si>
    <t>Vallibona</t>
  </si>
  <si>
    <t>Vilafamés</t>
  </si>
  <si>
    <t>Vilafranca/Villafranca del Cid</t>
  </si>
  <si>
    <t>Vilanova d'Alcolea</t>
  </si>
  <si>
    <t>Vilar de Canes</t>
  </si>
  <si>
    <t>Vila-real</t>
  </si>
  <si>
    <t>Vilavella, la</t>
  </si>
  <si>
    <t>Villahermosa del Río</t>
  </si>
  <si>
    <t>Villamalur</t>
  </si>
  <si>
    <t>Villanueva de Viver</t>
  </si>
  <si>
    <t>Villores</t>
  </si>
  <si>
    <t>Vinaròs</t>
  </si>
  <si>
    <t>Vistabella del Maestrat</t>
  </si>
  <si>
    <t>Viver</t>
  </si>
  <si>
    <t>Xert</t>
  </si>
  <si>
    <t>Zorita del Maestrazgo</t>
  </si>
  <si>
    <t>Zucaina</t>
  </si>
  <si>
    <t>Ademuz</t>
  </si>
  <si>
    <t>Ador</t>
  </si>
  <si>
    <t>Agullent</t>
  </si>
  <si>
    <t>Aielo de Malferit</t>
  </si>
  <si>
    <t>Aielo de Rugat</t>
  </si>
  <si>
    <t>Alaquàs</t>
  </si>
  <si>
    <t>Albaida</t>
  </si>
  <si>
    <t>Albal</t>
  </si>
  <si>
    <t>Albalat de la Ribera</t>
  </si>
  <si>
    <t>Albalat dels Sorells</t>
  </si>
  <si>
    <t>Albalat dels Tarongers</t>
  </si>
  <si>
    <t>Alberic</t>
  </si>
  <si>
    <t>Alborache</t>
  </si>
  <si>
    <t>Alboraia/Alboraya</t>
  </si>
  <si>
    <t>Albuixech</t>
  </si>
  <si>
    <t>Alcàntera de Xúquer</t>
  </si>
  <si>
    <t>Alcàsser</t>
  </si>
  <si>
    <t>Alcublas</t>
  </si>
  <si>
    <t>Alcúdia de Crespins, l'</t>
  </si>
  <si>
    <t>Alcúdia, l'</t>
  </si>
  <si>
    <t>Aldaia</t>
  </si>
  <si>
    <t>Alfafar</t>
  </si>
  <si>
    <t>Alfara de la Baronia</t>
  </si>
  <si>
    <t>Alfara del Patriarca</t>
  </si>
  <si>
    <t>Alfarp</t>
  </si>
  <si>
    <t>Alfarrasí</t>
  </si>
  <si>
    <t>Alfauir</t>
  </si>
  <si>
    <t>Algar de Palancia</t>
  </si>
  <si>
    <t>Algemesí</t>
  </si>
  <si>
    <t xml:space="preserve">Algímia d'Alfara	</t>
  </si>
  <si>
    <t>Alginet</t>
  </si>
  <si>
    <t>Almàssera</t>
  </si>
  <si>
    <t>Almiserà</t>
  </si>
  <si>
    <t>Almoines</t>
  </si>
  <si>
    <t>Almussafes</t>
  </si>
  <si>
    <t>Alpuente</t>
  </si>
  <si>
    <t>Alqueria de la Comtessa, l'</t>
  </si>
  <si>
    <t>Alzira</t>
  </si>
  <si>
    <t>Andilla</t>
  </si>
  <si>
    <t>Anna</t>
  </si>
  <si>
    <t>Antella</t>
  </si>
  <si>
    <t>Aras de los Olmos</t>
  </si>
  <si>
    <t>Atzeneta d'Albaida</t>
  </si>
  <si>
    <t>Ayora</t>
  </si>
  <si>
    <t>Barx</t>
  </si>
  <si>
    <t>Barxeta</t>
  </si>
  <si>
    <t>Bèlgida</t>
  </si>
  <si>
    <t>Bellreguard</t>
  </si>
  <si>
    <t>Bellús</t>
  </si>
  <si>
    <t>Benagéber</t>
  </si>
  <si>
    <t>Benaguasil</t>
  </si>
  <si>
    <t>Benavites</t>
  </si>
  <si>
    <t>Beneixida</t>
  </si>
  <si>
    <t>Benetússer</t>
  </si>
  <si>
    <t>Beniarjó</t>
  </si>
  <si>
    <t>Beniatjar</t>
  </si>
  <si>
    <t>Benicolet</t>
  </si>
  <si>
    <t>Benicull de Xúquer</t>
  </si>
  <si>
    <t>Benifaió</t>
  </si>
  <si>
    <t>Benifairó de la Valldigna</t>
  </si>
  <si>
    <t>Benifairó de les Valls</t>
  </si>
  <si>
    <t>Beniflá</t>
  </si>
  <si>
    <t>Benigànim</t>
  </si>
  <si>
    <t>Benimodo</t>
  </si>
  <si>
    <t>Benimuslem</t>
  </si>
  <si>
    <t>Beniparrell</t>
  </si>
  <si>
    <t>Benirredrà</t>
  </si>
  <si>
    <t>Benissanó</t>
  </si>
  <si>
    <t>Benissoda</t>
  </si>
  <si>
    <t>Benissuera</t>
  </si>
  <si>
    <t>Bétera</t>
  </si>
  <si>
    <t>Bicorp</t>
  </si>
  <si>
    <t>Bocairent</t>
  </si>
  <si>
    <t>Bolbaite</t>
  </si>
  <si>
    <t>Bonrepòs i Mirambell</t>
  </si>
  <si>
    <t>Bufali</t>
  </si>
  <si>
    <t>Bugarra</t>
  </si>
  <si>
    <t>Buñol</t>
  </si>
  <si>
    <t>Burjassot</t>
  </si>
  <si>
    <t>Calles</t>
  </si>
  <si>
    <t>Camporrobles</t>
  </si>
  <si>
    <t>Canals</t>
  </si>
  <si>
    <t>Canet d'En Berenguer</t>
  </si>
  <si>
    <t>Carcaixent</t>
  </si>
  <si>
    <t>Càrcer</t>
  </si>
  <si>
    <t>Carlet</t>
  </si>
  <si>
    <t>Carrícola</t>
  </si>
  <si>
    <t>Casas Altas</t>
  </si>
  <si>
    <t>Casas Bajas</t>
  </si>
  <si>
    <t>Casinos</t>
  </si>
  <si>
    <t>Castelló de Rugat</t>
  </si>
  <si>
    <t>Castellonet de la Conquesta</t>
  </si>
  <si>
    <t>Castielfabib</t>
  </si>
  <si>
    <t>Catadau</t>
  </si>
  <si>
    <t>Catarroja</t>
  </si>
  <si>
    <t>Caudete de las Fuentes</t>
  </si>
  <si>
    <t>Cerdà</t>
  </si>
  <si>
    <t>Chella</t>
  </si>
  <si>
    <t>Chelva</t>
  </si>
  <si>
    <t>Chera</t>
  </si>
  <si>
    <t>Cheste</t>
  </si>
  <si>
    <t>Chiva</t>
  </si>
  <si>
    <t>Chulilla</t>
  </si>
  <si>
    <t>Cofrentes</t>
  </si>
  <si>
    <t>Corbera</t>
  </si>
  <si>
    <t>Cortes de Pallás</t>
  </si>
  <si>
    <t>Cotes</t>
  </si>
  <si>
    <t>Cullera</t>
  </si>
  <si>
    <t>Daimús</t>
  </si>
  <si>
    <t>Domeño</t>
  </si>
  <si>
    <t>Dos Aguas</t>
  </si>
  <si>
    <t>Eliana, l'</t>
  </si>
  <si>
    <t>Emperador</t>
  </si>
  <si>
    <t>Enguera</t>
  </si>
  <si>
    <t>Ènova, l'</t>
  </si>
  <si>
    <t>Estivella</t>
  </si>
  <si>
    <t>Estubeny</t>
  </si>
  <si>
    <t>Faura</t>
  </si>
  <si>
    <t>Favara</t>
  </si>
  <si>
    <t>Foios</t>
  </si>
  <si>
    <t>Font de la Figuera, la</t>
  </si>
  <si>
    <t>Font d'En Carròs, la</t>
  </si>
  <si>
    <t>Fontanars dels Alforins</t>
  </si>
  <si>
    <t>Fortaleny</t>
  </si>
  <si>
    <t>Fuenterrobles</t>
  </si>
  <si>
    <t>Gandia</t>
  </si>
  <si>
    <t>Gátova</t>
  </si>
  <si>
    <t>Gavarda</t>
  </si>
  <si>
    <t>Genovés, el</t>
  </si>
  <si>
    <t>Gestalgar</t>
  </si>
  <si>
    <t>Gilet</t>
  </si>
  <si>
    <t>Godella</t>
  </si>
  <si>
    <t>Godelleta</t>
  </si>
  <si>
    <t>Granja de la Costera, la</t>
  </si>
  <si>
    <t>Guadasséquies</t>
  </si>
  <si>
    <t>Guadassuar</t>
  </si>
  <si>
    <t>Guardamar de la Safor</t>
  </si>
  <si>
    <t>Higueruelas</t>
  </si>
  <si>
    <t>Jalance</t>
  </si>
  <si>
    <t>Jarafuel</t>
  </si>
  <si>
    <t>Llanera de Ranes</t>
  </si>
  <si>
    <t>Llaurí</t>
  </si>
  <si>
    <t>Llíria</t>
  </si>
  <si>
    <t>Llocnou de la Corona</t>
  </si>
  <si>
    <t>Llocnou de Sant Jeroni</t>
  </si>
  <si>
    <t>Llocnou d'En Fenollet</t>
  </si>
  <si>
    <t>Llombai</t>
  </si>
  <si>
    <t>Llosa de Ranes, la</t>
  </si>
  <si>
    <t>Llutxent</t>
  </si>
  <si>
    <t>Loriguilla</t>
  </si>
  <si>
    <t>Losa del Obispo</t>
  </si>
  <si>
    <t>Macastre</t>
  </si>
  <si>
    <t>Manises</t>
  </si>
  <si>
    <t>Manuel</t>
  </si>
  <si>
    <t>Marines</t>
  </si>
  <si>
    <t>Massalavés</t>
  </si>
  <si>
    <t>Massalfassar</t>
  </si>
  <si>
    <t>Massamagrell</t>
  </si>
  <si>
    <t>Massanassa</t>
  </si>
  <si>
    <t>Meliana</t>
  </si>
  <si>
    <t>Millares</t>
  </si>
  <si>
    <t>Miramar</t>
  </si>
  <si>
    <t>Mislata</t>
  </si>
  <si>
    <t>Mogente/Moixent</t>
  </si>
  <si>
    <t>Moncada</t>
  </si>
  <si>
    <t>Montaverner</t>
  </si>
  <si>
    <t>Montesa</t>
  </si>
  <si>
    <t>Montitxelvo/Montichelvo</t>
  </si>
  <si>
    <t>Montroi/Montroy</t>
  </si>
  <si>
    <t>Montserrat</t>
  </si>
  <si>
    <t>Museros</t>
  </si>
  <si>
    <t>Nàquera/Náquera</t>
  </si>
  <si>
    <t>Navarrés</t>
  </si>
  <si>
    <t>Novelé/Novetlè</t>
  </si>
  <si>
    <t>Oliva</t>
  </si>
  <si>
    <t>Olleria, l'</t>
  </si>
  <si>
    <t>Olocau</t>
  </si>
  <si>
    <t>Ontinyent</t>
  </si>
  <si>
    <t>Otos</t>
  </si>
  <si>
    <t>Paiporta</t>
  </si>
  <si>
    <t>Palma de Gandía</t>
  </si>
  <si>
    <t>Palmera</t>
  </si>
  <si>
    <t>Palomar, el</t>
  </si>
  <si>
    <t>Paterna</t>
  </si>
  <si>
    <t>Pedralba</t>
  </si>
  <si>
    <t>Petrés</t>
  </si>
  <si>
    <t>Picanya</t>
  </si>
  <si>
    <t>Picassent</t>
  </si>
  <si>
    <t>Piles</t>
  </si>
  <si>
    <t>Pinet</t>
  </si>
  <si>
    <t>Pobla de Farnals, la</t>
  </si>
  <si>
    <t>Pobla de Vallbona, la</t>
  </si>
  <si>
    <t>Pobla del Duc, la</t>
  </si>
  <si>
    <t>Pobla Llarga, la</t>
  </si>
  <si>
    <t>Polinyà de Xúquer</t>
  </si>
  <si>
    <t>Potries</t>
  </si>
  <si>
    <t>Puçol</t>
  </si>
  <si>
    <t>Puebla de San Miguel</t>
  </si>
  <si>
    <t>Puig de Santa Maria, el</t>
  </si>
  <si>
    <t>Quart de les Valls</t>
  </si>
  <si>
    <t>Quart de Poblet</t>
  </si>
  <si>
    <t>Quartell</t>
  </si>
  <si>
    <t>Quatretonda</t>
  </si>
  <si>
    <t>Quesa</t>
  </si>
  <si>
    <t>Rafelbunyol</t>
  </si>
  <si>
    <t>Rafelcofer</t>
  </si>
  <si>
    <t>Rafelguaraf</t>
  </si>
  <si>
    <t>Ráfol de Salem</t>
  </si>
  <si>
    <t>Real</t>
  </si>
  <si>
    <t>Real de Gandia, el</t>
  </si>
  <si>
    <t>Requena</t>
  </si>
  <si>
    <t>Riba-roja de Túria</t>
  </si>
  <si>
    <t>Riola</t>
  </si>
  <si>
    <t>Rocafort</t>
  </si>
  <si>
    <t>Rotglà i Corberà</t>
  </si>
  <si>
    <t>Rótova</t>
  </si>
  <si>
    <t>Rugat</t>
  </si>
  <si>
    <t>Sagunto/Sagunt</t>
  </si>
  <si>
    <t>Salem</t>
  </si>
  <si>
    <t>San Antonio de Benagéber</t>
  </si>
  <si>
    <t>Sant Joanet</t>
  </si>
  <si>
    <t>Sedaví</t>
  </si>
  <si>
    <t>Segart</t>
  </si>
  <si>
    <t>Sellent</t>
  </si>
  <si>
    <t>Sempere</t>
  </si>
  <si>
    <t>Senyera</t>
  </si>
  <si>
    <t>Serra</t>
  </si>
  <si>
    <t>Siete Aguas</t>
  </si>
  <si>
    <t>Silla</t>
  </si>
  <si>
    <t>Simat de la Valldigna</t>
  </si>
  <si>
    <t>Sinarcas</t>
  </si>
  <si>
    <t>Sollana</t>
  </si>
  <si>
    <t>Sot de Chera</t>
  </si>
  <si>
    <t>Sueca</t>
  </si>
  <si>
    <t>Sumacàrcer</t>
  </si>
  <si>
    <t>Tavernes Blanques</t>
  </si>
  <si>
    <t>Tavernes de la Valldigna</t>
  </si>
  <si>
    <t>Teresa de Cofrentes</t>
  </si>
  <si>
    <t>Terrateig</t>
  </si>
  <si>
    <t>Titaguas</t>
  </si>
  <si>
    <t>Torrebaja</t>
  </si>
  <si>
    <t>Torrella</t>
  </si>
  <si>
    <t>Torrent</t>
  </si>
  <si>
    <t>Torres Torres</t>
  </si>
  <si>
    <t>Tous</t>
  </si>
  <si>
    <t>Tuéjar</t>
  </si>
  <si>
    <t>Turís</t>
  </si>
  <si>
    <t>Utiel</t>
  </si>
  <si>
    <t>València</t>
  </si>
  <si>
    <t>Vallada</t>
  </si>
  <si>
    <t>Vallanca</t>
  </si>
  <si>
    <t>Vallés</t>
  </si>
  <si>
    <t>Venta del Moro</t>
  </si>
  <si>
    <t>Vilallonga/Villalonga</t>
  </si>
  <si>
    <t>Vilamarxant</t>
  </si>
  <si>
    <t>Villanueva de Castellón</t>
  </si>
  <si>
    <t>Villar del Arzobispo</t>
  </si>
  <si>
    <t>Villargordo del Cabriel</t>
  </si>
  <si>
    <t>Vinalesa</t>
  </si>
  <si>
    <t>Xàtiva</t>
  </si>
  <si>
    <t>Xeraco</t>
  </si>
  <si>
    <t>Xeresa</t>
  </si>
  <si>
    <t>Xirivella</t>
  </si>
  <si>
    <t>Yátova</t>
  </si>
  <si>
    <t>Yesa, La</t>
  </si>
  <si>
    <t>Zarra</t>
  </si>
  <si>
    <t>Agost</t>
  </si>
  <si>
    <t>Agres</t>
  </si>
  <si>
    <t>Aigües</t>
  </si>
  <si>
    <t>Albatera</t>
  </si>
  <si>
    <t>Alcalalí</t>
  </si>
  <si>
    <t>Alcocer de Planes</t>
  </si>
  <si>
    <t>Alcoleja</t>
  </si>
  <si>
    <t>Alcoy/Alcoi</t>
  </si>
  <si>
    <t>Alfafara</t>
  </si>
  <si>
    <t>Alfàs del Pi, l'</t>
  </si>
  <si>
    <t>Algorfa</t>
  </si>
  <si>
    <t>Algueña</t>
  </si>
  <si>
    <t>Alicante/Alacant</t>
  </si>
  <si>
    <t>Almoradí</t>
  </si>
  <si>
    <t>Almudaina</t>
  </si>
  <si>
    <t>Alqueria d'Asnar, l'</t>
  </si>
  <si>
    <t>Altea</t>
  </si>
  <si>
    <t>Aspe</t>
  </si>
  <si>
    <t>Atzúbia, l'</t>
  </si>
  <si>
    <t>Balones</t>
  </si>
  <si>
    <t>Banyeres de Mariola</t>
  </si>
  <si>
    <t>Benasau</t>
  </si>
  <si>
    <t>Beneixama</t>
  </si>
  <si>
    <t>Benejúzar</t>
  </si>
  <si>
    <t>Benferri</t>
  </si>
  <si>
    <t>Beniarbeig</t>
  </si>
  <si>
    <t>Beniardá</t>
  </si>
  <si>
    <t>Beniarrés</t>
  </si>
  <si>
    <t>Benidoleig</t>
  </si>
  <si>
    <t>Benidorm</t>
  </si>
  <si>
    <t>Benifallim</t>
  </si>
  <si>
    <t>Benifato</t>
  </si>
  <si>
    <t>Benigembla</t>
  </si>
  <si>
    <t>Benijófar</t>
  </si>
  <si>
    <t>Benilloba</t>
  </si>
  <si>
    <t>Benillup</t>
  </si>
  <si>
    <t>Benimantell</t>
  </si>
  <si>
    <t>Benimarfull</t>
  </si>
  <si>
    <t>Benimassot</t>
  </si>
  <si>
    <t>Benimeli</t>
  </si>
  <si>
    <t>Benissa</t>
  </si>
  <si>
    <t>Benitachell/Poble Nou de Benitatxell, el</t>
  </si>
  <si>
    <t>Biar</t>
  </si>
  <si>
    <t>Bigastro</t>
  </si>
  <si>
    <t>Bolulla</t>
  </si>
  <si>
    <t>Busot</t>
  </si>
  <si>
    <t>Callosa de Segura</t>
  </si>
  <si>
    <t>Callosa d'en Sarrià</t>
  </si>
  <si>
    <t>Calp</t>
  </si>
  <si>
    <t>Campello, el</t>
  </si>
  <si>
    <t>Campo de Mirra/Camp de Mirra, el</t>
  </si>
  <si>
    <t>Cañada</t>
  </si>
  <si>
    <t>Castalla</t>
  </si>
  <si>
    <t>Castell de Castells</t>
  </si>
  <si>
    <t>Castell de Guadalest, el</t>
  </si>
  <si>
    <t>Catral</t>
  </si>
  <si>
    <t>Cocentaina</t>
  </si>
  <si>
    <t>Confrides</t>
  </si>
  <si>
    <t>Cox</t>
  </si>
  <si>
    <t>Crevillent</t>
  </si>
  <si>
    <t>Daya Nueva</t>
  </si>
  <si>
    <t>Daya Vieja</t>
  </si>
  <si>
    <t>Dénia</t>
  </si>
  <si>
    <t>Dolores</t>
  </si>
  <si>
    <t>Elche/Elx</t>
  </si>
  <si>
    <t>Elda</t>
  </si>
  <si>
    <t>Facheca</t>
  </si>
  <si>
    <t>Famorca</t>
  </si>
  <si>
    <t>Finestrat</t>
  </si>
  <si>
    <t>Fondó de les Neus, el/Hondón de las Nieves</t>
  </si>
  <si>
    <t>Formentera del Segura</t>
  </si>
  <si>
    <t>Gaianes</t>
  </si>
  <si>
    <t>Gata de Gorgos</t>
  </si>
  <si>
    <t>Gorga</t>
  </si>
  <si>
    <t>Granja de Rocamora</t>
  </si>
  <si>
    <t>Guardamar del Segura</t>
  </si>
  <si>
    <t>Hondón de los Frailes</t>
  </si>
  <si>
    <t>Ibi</t>
  </si>
  <si>
    <t>Jacarilla</t>
  </si>
  <si>
    <t>Jávea/Xàbia</t>
  </si>
  <si>
    <t>Jijona/Xixona</t>
  </si>
  <si>
    <t>Llíber</t>
  </si>
  <si>
    <t>Lorcha/Orxa, l'</t>
  </si>
  <si>
    <t>Millena</t>
  </si>
  <si>
    <t>Monforte del Cid</t>
  </si>
  <si>
    <t>Monóvar/Monòver</t>
  </si>
  <si>
    <t>Montesinos, Los</t>
  </si>
  <si>
    <t>Murla</t>
  </si>
  <si>
    <t>Muro de Alcoy</t>
  </si>
  <si>
    <t>Mutxamel</t>
  </si>
  <si>
    <t>Novelda</t>
  </si>
  <si>
    <t>Nucia, la</t>
  </si>
  <si>
    <t>Ondara</t>
  </si>
  <si>
    <t>Onil</t>
  </si>
  <si>
    <t>Orba</t>
  </si>
  <si>
    <t>Orihuela</t>
  </si>
  <si>
    <t>Orxeta</t>
  </si>
  <si>
    <t>Parcent</t>
  </si>
  <si>
    <t>Pedreguer</t>
  </si>
  <si>
    <t>Pego</t>
  </si>
  <si>
    <t>Penàguila</t>
  </si>
  <si>
    <t>Petrer</t>
  </si>
  <si>
    <t>Pilar de la Horadada</t>
  </si>
  <si>
    <t>Pinós, el/Pinoso</t>
  </si>
  <si>
    <t>Planes</t>
  </si>
  <si>
    <t>Poblets, els</t>
  </si>
  <si>
    <t>Polop</t>
  </si>
  <si>
    <t>Quatretondeta</t>
  </si>
  <si>
    <t>Rafal</t>
  </si>
  <si>
    <t>Ràfol d'Almúnia, el</t>
  </si>
  <si>
    <t>Redován</t>
  </si>
  <si>
    <t>Relleu</t>
  </si>
  <si>
    <t>Rojales</t>
  </si>
  <si>
    <t>Romana, la</t>
  </si>
  <si>
    <t>Sagra</t>
  </si>
  <si>
    <t>Salinas</t>
  </si>
  <si>
    <t>San Fulgencio</t>
  </si>
  <si>
    <t>San Isidro</t>
  </si>
  <si>
    <t>San Miguel de Salinas</t>
  </si>
  <si>
    <t>San Vicente del Raspeig/Sant Vicent del Raspeig</t>
  </si>
  <si>
    <t>Sanet y Negrals</t>
  </si>
  <si>
    <t>Sant Joan d'Alacant</t>
  </si>
  <si>
    <t>Santa Pola</t>
  </si>
  <si>
    <t>Sax</t>
  </si>
  <si>
    <t>Sella</t>
  </si>
  <si>
    <t>Senija</t>
  </si>
  <si>
    <t>Tàrbena</t>
  </si>
  <si>
    <t>Teulada</t>
  </si>
  <si>
    <t>Tibi</t>
  </si>
  <si>
    <t>Tollos</t>
  </si>
  <si>
    <t>Tormos</t>
  </si>
  <si>
    <t>Torremanzanas/Torre de les Maçanes, la</t>
  </si>
  <si>
    <t>Torrevieja</t>
  </si>
  <si>
    <t>Vall d'Alcalà, la</t>
  </si>
  <si>
    <t>Vall de Gallinera</t>
  </si>
  <si>
    <t>Vall de Laguar, la</t>
  </si>
  <si>
    <t>Vall d'Ebo, la</t>
  </si>
  <si>
    <t>Verger, el</t>
  </si>
  <si>
    <t>Villajoyosa/Vila Joiosa, la</t>
  </si>
  <si>
    <t>Villena</t>
  </si>
  <si>
    <t>Xaló</t>
  </si>
  <si>
    <t>Total CCAA</t>
  </si>
  <si>
    <t>fines de semana (Viernes-lunes)</t>
  </si>
  <si>
    <t>Vispera-Festivo</t>
  </si>
  <si>
    <t>15:00-6:00</t>
  </si>
  <si>
    <t>Valencia</t>
  </si>
  <si>
    <t>Castellón</t>
  </si>
  <si>
    <t>Alicante</t>
  </si>
  <si>
    <t>Francisco Arenal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</si>
</sst>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0"/>
      <name val="Arial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/>
  </cellStyleXfs>
  <cellXfs count="46">
    <xf numFmtId="0" fontId="0" fillId="0" borderId="0" xfId="0"/>
    <xf numFmtId="0" fontId="1" fillId="0" borderId="0" xfId="0" applyFo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ill="1"/>
    <xf numFmtId="0" fontId="0" fillId="3" borderId="0" xfId="0" applyFill="1"/>
    <xf numFmtId="0" fontId="0" fillId="0" borderId="0" xfId="0" applyNumberFormat="1" applyFont="1"/>
    <xf numFmtId="0" fontId="1" fillId="0" borderId="0" xfId="0" applyNumberFormat="1" applyFont="1"/>
    <xf numFmtId="0" fontId="0" fillId="0" borderId="0" xfId="0" applyNumberFormat="1"/>
    <xf numFmtId="14" fontId="0" fillId="0" borderId="0" xfId="0" applyNumberFormat="1" applyFont="1"/>
    <xf numFmtId="14" fontId="0" fillId="0" borderId="0" xfId="0" applyNumberFormat="1" applyFont="1" applyAlignment="1">
      <alignment horizontal="center"/>
    </xf>
    <xf numFmtId="14" fontId="1" fillId="0" borderId="0" xfId="0" applyNumberFormat="1" applyFont="1"/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NumberFormat="1" applyFont="1"/>
    <xf numFmtId="14" fontId="0" fillId="0" borderId="0" xfId="0" applyNumberFormat="1" applyFon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9" fontId="0" fillId="0" borderId="0" xfId="0" applyNumberFormat="1" applyFont="1"/>
    <xf numFmtId="20" fontId="0" fillId="0" borderId="0" xfId="0" applyNumberFormat="1" applyFont="1"/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0" fillId="0" borderId="0" xfId="0" quotePrefix="1" applyNumberFormat="1" applyFont="1"/>
    <xf numFmtId="0" fontId="0" fillId="0" borderId="0" xfId="0" applyFont="1" applyAlignment="1">
      <alignment vertical="center" wrapText="1"/>
    </xf>
    <xf numFmtId="14" fontId="0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4" fontId="4" fillId="0" borderId="0" xfId="0" applyNumberFormat="1" applyFont="1" applyAlignment="1">
      <alignment horizontal="center"/>
    </xf>
    <xf numFmtId="0" fontId="0" fillId="0" borderId="0" xfId="0" applyFont="1" applyFill="1"/>
    <xf numFmtId="14" fontId="0" fillId="0" borderId="0" xfId="0" applyNumberFormat="1" applyFont="1" applyFill="1"/>
    <xf numFmtId="0" fontId="0" fillId="0" borderId="0" xfId="0" applyNumberFormat="1" applyFont="1" applyFill="1"/>
    <xf numFmtId="0" fontId="0" fillId="0" borderId="0" xfId="0" applyFill="1" applyAlignment="1">
      <alignment horizontal="center"/>
    </xf>
    <xf numFmtId="0" fontId="0" fillId="0" borderId="0" xfId="0" applyFont="1" applyFill="1" applyAlignment="1">
      <alignment horizontal="center"/>
    </xf>
    <xf numFmtId="0" fontId="6" fillId="0" borderId="0" xfId="0" applyFont="1" applyAlignment="1">
      <alignment horizontal="left" vertical="top" wrapText="1"/>
    </xf>
    <xf numFmtId="3" fontId="0" fillId="0" borderId="0" xfId="0" applyNumberFormat="1"/>
    <xf numFmtId="2" fontId="0" fillId="0" borderId="0" xfId="0" applyNumberFormat="1"/>
    <xf numFmtId="0" fontId="5" fillId="0" borderId="0" xfId="0" applyFont="1" applyAlignment="1">
      <alignment horizontal="left" vertical="top" wrapText="1"/>
    </xf>
    <xf numFmtId="10" fontId="0" fillId="0" borderId="0" xfId="0" applyNumberForma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184150</xdr:colOff>
          <xdr:row>3</xdr:row>
          <xdr:rowOff>165100</xdr:rowOff>
        </xdr:from>
        <xdr:to>
          <xdr:col>5</xdr:col>
          <xdr:colOff>609600</xdr:colOff>
          <xdr:row>11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aquí para acceder al FORMULARIO para introducir MEDIDAS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4:F12"/>
  <sheetViews>
    <sheetView workbookViewId="0">
      <selection activeCell="F13" sqref="F13"/>
    </sheetView>
  </sheetViews>
  <sheetFormatPr baseColWidth="10" defaultColWidth="11.453125" defaultRowHeight="14.5" x14ac:dyDescent="0.35"/>
  <cols>
    <col min="1" max="16384" width="11.453125" style="5"/>
  </cols>
  <sheetData>
    <row r="4" spans="2:6" x14ac:dyDescent="0.35">
      <c r="B4" s="6"/>
      <c r="C4" s="6"/>
      <c r="D4" s="6"/>
      <c r="E4" s="6"/>
      <c r="F4" s="6"/>
    </row>
    <row r="5" spans="2:6" x14ac:dyDescent="0.35">
      <c r="B5" s="6"/>
      <c r="C5" s="6"/>
      <c r="D5" s="6"/>
      <c r="E5" s="6"/>
      <c r="F5" s="6"/>
    </row>
    <row r="6" spans="2:6" x14ac:dyDescent="0.35">
      <c r="B6" s="6"/>
      <c r="C6" s="6"/>
      <c r="D6" s="6"/>
      <c r="E6" s="6"/>
      <c r="F6" s="6"/>
    </row>
    <row r="7" spans="2:6" x14ac:dyDescent="0.35">
      <c r="B7" s="6"/>
      <c r="C7" s="6"/>
      <c r="D7" s="6"/>
      <c r="E7" s="6"/>
      <c r="F7" s="6"/>
    </row>
    <row r="8" spans="2:6" x14ac:dyDescent="0.35">
      <c r="B8" s="6"/>
      <c r="C8" s="6"/>
      <c r="D8" s="6"/>
      <c r="E8" s="6"/>
      <c r="F8" s="6"/>
    </row>
    <row r="9" spans="2:6" x14ac:dyDescent="0.35">
      <c r="B9" s="6"/>
      <c r="C9" s="6"/>
      <c r="D9" s="6"/>
      <c r="E9" s="6"/>
      <c r="F9" s="6"/>
    </row>
    <row r="10" spans="2:6" x14ac:dyDescent="0.35">
      <c r="B10" s="6"/>
      <c r="C10" s="6"/>
      <c r="D10" s="6"/>
      <c r="E10" s="6"/>
      <c r="F10" s="6"/>
    </row>
    <row r="11" spans="2:6" x14ac:dyDescent="0.35">
      <c r="B11" s="6"/>
      <c r="C11" s="6"/>
      <c r="D11" s="6"/>
      <c r="E11" s="6"/>
      <c r="F11" s="6"/>
    </row>
    <row r="12" spans="2:6" x14ac:dyDescent="0.35">
      <c r="B12" s="6"/>
      <c r="C12" s="6"/>
      <c r="D12" s="6"/>
      <c r="E12" s="6"/>
      <c r="F12" s="6"/>
    </row>
  </sheetData>
  <sheetProtection algorithmName="SHA-512" hashValue="xbpshgR8pLsz8CToHH64X2EOR5NsnFkfRzjZVE7Ws6d7gSUMPaEnnA1FueJYEWVyaChUKZze0wYLcR1FjQ7nCA==" saltValue="CGhJOHG/Wx8zVhjkzjIvQg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lamar_formulario">
                <anchor moveWithCells="1" sizeWithCells="1">
                  <from>
                    <xdr:col>1</xdr:col>
                    <xdr:colOff>184150</xdr:colOff>
                    <xdr:row>3</xdr:row>
                    <xdr:rowOff>165100</xdr:rowOff>
                  </from>
                  <to>
                    <xdr:col>5</xdr:col>
                    <xdr:colOff>609600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Q211"/>
  <sheetViews>
    <sheetView tabSelected="1" topLeftCell="C145" zoomScale="70" zoomScaleNormal="70" workbookViewId="0">
      <selection activeCell="C153" sqref="A153:XFD153"/>
    </sheetView>
  </sheetViews>
  <sheetFormatPr baseColWidth="10" defaultRowHeight="14.5" x14ac:dyDescent="0.35"/>
  <cols>
    <col min="3" max="3" width="21" bestFit="1" customWidth="1"/>
    <col min="4" max="4" width="24" style="24" customWidth="1"/>
    <col min="5" max="5" width="19.54296875" style="24" bestFit="1" customWidth="1"/>
    <col min="6" max="6" width="16.81640625" style="14" bestFit="1" customWidth="1"/>
    <col min="7" max="7" width="74.26953125" style="34" customWidth="1"/>
    <col min="8" max="8" width="11.453125" style="9"/>
    <col min="9" max="9" width="32.453125" bestFit="1" customWidth="1"/>
    <col min="11" max="11" width="11.26953125" customWidth="1"/>
    <col min="12" max="12" width="7.7265625" customWidth="1"/>
  </cols>
  <sheetData>
    <row r="1" spans="1:17" s="2" customFormat="1" x14ac:dyDescent="0.35">
      <c r="A1" s="2" t="s">
        <v>9</v>
      </c>
      <c r="B1" s="2" t="s">
        <v>10</v>
      </c>
      <c r="C1" s="2" t="s">
        <v>0</v>
      </c>
      <c r="D1" s="2" t="s">
        <v>8</v>
      </c>
      <c r="E1" s="4" t="s">
        <v>1</v>
      </c>
      <c r="F1" s="4" t="s">
        <v>2</v>
      </c>
      <c r="G1" s="31" t="s">
        <v>5</v>
      </c>
      <c r="H1" s="7" t="s">
        <v>4</v>
      </c>
      <c r="I1" s="2" t="s">
        <v>11</v>
      </c>
      <c r="J1" s="2" t="s">
        <v>3</v>
      </c>
      <c r="K1" s="2" t="s">
        <v>7</v>
      </c>
      <c r="L1" s="2" t="s">
        <v>6</v>
      </c>
      <c r="M1" s="18" t="s">
        <v>15</v>
      </c>
      <c r="N1" s="4" t="s">
        <v>16</v>
      </c>
      <c r="O1" s="4"/>
      <c r="P1" s="4"/>
      <c r="Q1" s="4"/>
    </row>
    <row r="2" spans="1:17" s="36" customFormat="1" x14ac:dyDescent="0.35">
      <c r="A2" s="19" t="s">
        <v>336</v>
      </c>
      <c r="B2" s="19" t="s">
        <v>337</v>
      </c>
      <c r="C2" s="19"/>
      <c r="D2" s="10">
        <v>44183</v>
      </c>
      <c r="E2" s="10">
        <v>44183</v>
      </c>
      <c r="F2" s="35"/>
      <c r="G2" s="19" t="str">
        <f>VLOOKUP(H2,'NO TOCAR'!$A$2:$D$160,3,FALSE)</f>
        <v>Limitación al número de personas que se pueden reunir en cualquier circunstancia (con excepciones como convivientes, transporte público, contexto laboral o similares)</v>
      </c>
      <c r="H2" s="21" t="s">
        <v>56</v>
      </c>
      <c r="I2" s="19" t="str">
        <f>VLOOKUP(H2,'NO TOCAR'!$A$2:$D$160,2,FALSE)</f>
        <v>Relaciones sociales</v>
      </c>
      <c r="J2" s="19" t="str">
        <f>VLOOKUP(H2,'NO TOCAR'!$A$2:$D$160,4,FALSE)</f>
        <v>RS</v>
      </c>
      <c r="K2" s="19" t="s">
        <v>340</v>
      </c>
      <c r="L2" s="19">
        <v>6</v>
      </c>
      <c r="M2" s="39"/>
      <c r="N2" s="40"/>
      <c r="O2" s="40"/>
      <c r="P2" s="40"/>
      <c r="Q2" s="40"/>
    </row>
    <row r="3" spans="1:17" s="36" customFormat="1" x14ac:dyDescent="0.35">
      <c r="A3" s="19" t="s">
        <v>336</v>
      </c>
      <c r="B3" s="36" t="s">
        <v>337</v>
      </c>
      <c r="D3" s="37">
        <v>44140</v>
      </c>
      <c r="E3" s="37">
        <v>44141</v>
      </c>
      <c r="F3" s="37">
        <v>44269</v>
      </c>
      <c r="G3" s="36" t="str">
        <f>VLOOKUP(H3,'NO TOCAR'!$A$2:$D$160,3,FALSE)</f>
        <v>Aforo en lugares de culto</v>
      </c>
      <c r="H3" s="38" t="s">
        <v>22</v>
      </c>
      <c r="I3" s="36" t="str">
        <f>VLOOKUP(H3,'NO TOCAR'!$A$2:$D$160,2,FALSE)</f>
        <v>Ceremonias religiosas</v>
      </c>
      <c r="J3" s="36" t="str">
        <f>VLOOKUP(H3,'NO TOCAR'!$A$2:$D$160,4,FALSE)</f>
        <v>CE</v>
      </c>
      <c r="K3" s="19" t="s">
        <v>339</v>
      </c>
      <c r="L3" s="19">
        <v>30</v>
      </c>
      <c r="M3" s="39"/>
      <c r="N3" s="40"/>
      <c r="O3" s="40"/>
      <c r="P3" s="40"/>
      <c r="Q3" s="40"/>
    </row>
    <row r="4" spans="1:17" s="19" customFormat="1" x14ac:dyDescent="0.35">
      <c r="A4" s="19" t="s">
        <v>336</v>
      </c>
      <c r="B4" s="19" t="s">
        <v>337</v>
      </c>
      <c r="D4" s="10">
        <v>44129</v>
      </c>
      <c r="E4" s="10">
        <v>44129</v>
      </c>
      <c r="F4" s="37"/>
      <c r="G4" s="19" t="str">
        <f>VLOOKUP(H4,'NO TOCAR'!$A$2:$D$160,3,FALSE)</f>
        <v>Cierre perimetral de entrada y/o salida</v>
      </c>
      <c r="H4" s="21" t="s">
        <v>240</v>
      </c>
      <c r="I4" s="19" t="str">
        <f>VLOOKUP(H4,'NO TOCAR'!$A$2:$D$160,2,FALSE)</f>
        <v>Movilidad</v>
      </c>
      <c r="J4" s="19" t="str">
        <f>VLOOKUP(H4,'NO TOCAR'!$A$2:$D$160,4,FALSE)</f>
        <v>MV</v>
      </c>
      <c r="M4" s="18"/>
      <c r="N4" s="20"/>
      <c r="O4" s="20"/>
      <c r="P4" s="20"/>
      <c r="Q4" s="20"/>
    </row>
    <row r="5" spans="1:17" s="19" customFormat="1" x14ac:dyDescent="0.35">
      <c r="A5" s="19" t="s">
        <v>336</v>
      </c>
      <c r="B5" s="19" t="s">
        <v>337</v>
      </c>
      <c r="D5" s="10">
        <v>44129</v>
      </c>
      <c r="E5" s="10">
        <v>44129</v>
      </c>
      <c r="F5" s="37">
        <v>44202</v>
      </c>
      <c r="G5" s="19" t="str">
        <f>VLOOKUP(H5,'NO TOCAR'!$A$2:$D$160,3,FALSE)</f>
        <v>Limitación de la movilidad nocturna (toque de queda)</v>
      </c>
      <c r="H5" s="21" t="s">
        <v>238</v>
      </c>
      <c r="I5" s="19" t="str">
        <f>VLOOKUP(H5,'NO TOCAR'!$A$2:$D$160,2,FALSE)</f>
        <v>Movilidad</v>
      </c>
      <c r="J5" s="19" t="str">
        <f>VLOOKUP(H5,'NO TOCAR'!$A$2:$D$160,4,FALSE)</f>
        <v>MV</v>
      </c>
      <c r="K5" s="19" t="s">
        <v>341</v>
      </c>
      <c r="L5" s="19" t="s">
        <v>342</v>
      </c>
      <c r="M5" s="18"/>
      <c r="N5" s="20"/>
      <c r="O5" s="20"/>
      <c r="P5" s="20"/>
      <c r="Q5" s="20"/>
    </row>
    <row r="6" spans="1:17" s="19" customFormat="1" x14ac:dyDescent="0.35">
      <c r="A6" s="19" t="s">
        <v>336</v>
      </c>
      <c r="B6" s="19" t="s">
        <v>337</v>
      </c>
      <c r="D6" s="10">
        <v>44174</v>
      </c>
      <c r="E6" s="10">
        <v>44174</v>
      </c>
      <c r="F6" s="37">
        <v>44216</v>
      </c>
      <c r="G6" s="19" t="str">
        <f>VLOOKUP(H6,'NO TOCAR'!$A$2:$D$160,3,FALSE)</f>
        <v>Aforo en locales de ocio nocturno en exteriores (si diferente de los interiores)</v>
      </c>
      <c r="H6" s="21" t="s">
        <v>34</v>
      </c>
      <c r="I6" s="19" t="str">
        <f>VLOOKUP(H6,'NO TOCAR'!$A$2:$D$160,2,FALSE)</f>
        <v>Ocio nocturno</v>
      </c>
      <c r="J6" s="19" t="str">
        <f>VLOOKUP(H6,'NO TOCAR'!$A$2:$D$160,4,FALSE)</f>
        <v>ON</v>
      </c>
      <c r="K6" s="19" t="s">
        <v>339</v>
      </c>
      <c r="L6" s="19">
        <v>50</v>
      </c>
      <c r="M6" s="18"/>
      <c r="N6" s="20"/>
      <c r="O6" s="20"/>
      <c r="P6" s="20"/>
      <c r="Q6" s="20"/>
    </row>
    <row r="7" spans="1:17" s="19" customFormat="1" x14ac:dyDescent="0.35">
      <c r="A7" s="19" t="s">
        <v>336</v>
      </c>
      <c r="B7" s="19" t="s">
        <v>337</v>
      </c>
      <c r="D7" s="10">
        <v>44174</v>
      </c>
      <c r="E7" s="10">
        <v>44174</v>
      </c>
      <c r="F7" s="37">
        <v>44216</v>
      </c>
      <c r="G7" s="19" t="str">
        <f>VLOOKUP(H7,'NO TOCAR'!$A$2:$D$160,3,FALSE)</f>
        <v>Aforo en locales de ocio nocturno en interiores (si diferente de los exteriores)</v>
      </c>
      <c r="H7" s="21" t="s">
        <v>33</v>
      </c>
      <c r="I7" s="19" t="str">
        <f>VLOOKUP(H7,'NO TOCAR'!$A$2:$D$160,2,FALSE)</f>
        <v>Ocio nocturno</v>
      </c>
      <c r="J7" s="19" t="str">
        <f>VLOOKUP(H7,'NO TOCAR'!$A$2:$D$160,4,FALSE)</f>
        <v>ON</v>
      </c>
      <c r="K7" s="19" t="s">
        <v>339</v>
      </c>
      <c r="L7" s="19">
        <v>33</v>
      </c>
      <c r="M7" s="18"/>
      <c r="N7" s="20"/>
      <c r="O7" s="20"/>
      <c r="P7" s="20"/>
      <c r="Q7" s="20"/>
    </row>
    <row r="8" spans="1:17" s="19" customFormat="1" x14ac:dyDescent="0.35">
      <c r="A8" s="19" t="s">
        <v>336</v>
      </c>
      <c r="B8" s="19" t="s">
        <v>337</v>
      </c>
      <c r="D8" s="10">
        <v>44174</v>
      </c>
      <c r="E8" s="10">
        <v>44174</v>
      </c>
      <c r="F8" s="37"/>
      <c r="G8" s="19" t="str">
        <f>VLOOKUP(H8,'NO TOCAR'!$A$2:$D$160,3,FALSE)</f>
        <v>Prohibición de pistas de baile (permite uso para estar sentados en mesas)</v>
      </c>
      <c r="H8" s="21" t="s">
        <v>32</v>
      </c>
      <c r="I8" s="19" t="str">
        <f>VLOOKUP(H8,'NO TOCAR'!$A$2:$D$160,2,FALSE)</f>
        <v>Ocio nocturno</v>
      </c>
      <c r="J8" s="19" t="str">
        <f>VLOOKUP(H8,'NO TOCAR'!$A$2:$D$160,4,FALSE)</f>
        <v>ON</v>
      </c>
      <c r="M8" s="18"/>
      <c r="N8" s="20"/>
      <c r="O8" s="20"/>
      <c r="P8" s="20"/>
      <c r="Q8" s="20"/>
    </row>
    <row r="9" spans="1:17" s="19" customFormat="1" x14ac:dyDescent="0.35">
      <c r="A9" s="19" t="s">
        <v>336</v>
      </c>
      <c r="B9" s="19" t="s">
        <v>337</v>
      </c>
      <c r="D9" s="10">
        <v>44142</v>
      </c>
      <c r="E9" s="10">
        <v>44142</v>
      </c>
      <c r="F9" s="37">
        <v>44216</v>
      </c>
      <c r="G9" s="19" t="str">
        <f>VLOOKUP(H9,'NO TOCAR'!$A$2:$D$160,3,FALSE)</f>
        <v>Limitaciones a la actividad fisica grupal en interiores</v>
      </c>
      <c r="H9" s="21" t="s">
        <v>41</v>
      </c>
      <c r="I9" s="19" t="str">
        <f>VLOOKUP(H9,'NO TOCAR'!$A$2:$D$160,2,FALSE)</f>
        <v>Deporte y actividad física</v>
      </c>
      <c r="J9" s="19" t="str">
        <f>VLOOKUP(H9,'NO TOCAR'!$A$2:$D$160,4,FALSE)</f>
        <v>AF</v>
      </c>
      <c r="K9" s="19" t="s">
        <v>339</v>
      </c>
      <c r="L9" s="19">
        <v>33</v>
      </c>
      <c r="M9" s="18"/>
      <c r="N9" s="20"/>
      <c r="O9" s="20"/>
      <c r="P9" s="20"/>
      <c r="Q9" s="20"/>
    </row>
    <row r="10" spans="1:17" s="19" customFormat="1" x14ac:dyDescent="0.35">
      <c r="A10" s="19" t="s">
        <v>336</v>
      </c>
      <c r="B10" s="19" t="s">
        <v>337</v>
      </c>
      <c r="D10" s="10">
        <v>44142</v>
      </c>
      <c r="E10" s="10">
        <v>44142</v>
      </c>
      <c r="F10" s="37">
        <v>44216</v>
      </c>
      <c r="G10" s="19" t="str">
        <f>VLOOKUP(H10,'NO TOCAR'!$A$2:$D$160,3,FALSE)</f>
        <v>Limitaciones a la actividad fisica grupal en exteriores</v>
      </c>
      <c r="H10" s="21" t="s">
        <v>42</v>
      </c>
      <c r="I10" s="19" t="str">
        <f>VLOOKUP(H10,'NO TOCAR'!$A$2:$D$160,2,FALSE)</f>
        <v>Deporte y actividad física</v>
      </c>
      <c r="J10" s="19" t="str">
        <f>VLOOKUP(H10,'NO TOCAR'!$A$2:$D$160,4,FALSE)</f>
        <v>AF</v>
      </c>
      <c r="K10" s="19" t="s">
        <v>339</v>
      </c>
      <c r="L10" s="19">
        <v>33</v>
      </c>
      <c r="M10" s="18"/>
      <c r="N10" s="20"/>
      <c r="O10" s="20"/>
      <c r="P10" s="20"/>
      <c r="Q10" s="20"/>
    </row>
    <row r="11" spans="1:17" s="19" customFormat="1" x14ac:dyDescent="0.35">
      <c r="A11" s="19" t="s">
        <v>336</v>
      </c>
      <c r="B11" s="19" t="s">
        <v>337</v>
      </c>
      <c r="D11" s="10">
        <v>44142</v>
      </c>
      <c r="E11" s="10">
        <v>44142</v>
      </c>
      <c r="F11" s="37"/>
      <c r="G11" s="19" t="str">
        <f>VLOOKUP(H11,'NO TOCAR'!$A$2:$D$160,3,FALSE)</f>
        <v>Limitación de aforo de academias, autoescuelas y otros centros de formación no reglada (incluidas actividades promovidas por las administraciones locales)</v>
      </c>
      <c r="H11" s="21" t="s">
        <v>27</v>
      </c>
      <c r="I11" s="19" t="str">
        <f>VLOOKUP(H11,'NO TOCAR'!$A$2:$D$160,2,FALSE)</f>
        <v>Educación</v>
      </c>
      <c r="J11" s="19" t="str">
        <f>VLOOKUP(H11,'NO TOCAR'!$A$2:$D$160,4,FALSE)</f>
        <v>ED</v>
      </c>
      <c r="K11" s="19" t="s">
        <v>339</v>
      </c>
      <c r="L11" s="19">
        <v>50</v>
      </c>
      <c r="M11" s="18"/>
      <c r="N11" s="20"/>
      <c r="O11" s="20"/>
      <c r="P11" s="20"/>
      <c r="Q11" s="20"/>
    </row>
    <row r="12" spans="1:17" s="19" customFormat="1" x14ac:dyDescent="0.35">
      <c r="A12" s="19" t="s">
        <v>336</v>
      </c>
      <c r="B12" s="19" t="s">
        <v>337</v>
      </c>
      <c r="D12" s="10">
        <v>44142</v>
      </c>
      <c r="E12" s="10">
        <v>44142</v>
      </c>
      <c r="F12" s="37">
        <v>44174</v>
      </c>
      <c r="G12" s="19" t="str">
        <f>VLOOKUP(H12,'NO TOCAR'!$A$2:$D$160,3,FALSE)</f>
        <v xml:space="preserve">Limitación de aforo piscinas de recreo </v>
      </c>
      <c r="H12" s="21" t="s">
        <v>47</v>
      </c>
      <c r="I12" s="19" t="str">
        <f>VLOOKUP(H12,'NO TOCAR'!$A$2:$D$160,2,FALSE)</f>
        <v>Deporte y actividad física</v>
      </c>
      <c r="J12" s="19" t="str">
        <f>VLOOKUP(H12,'NO TOCAR'!$A$2:$D$160,4,FALSE)</f>
        <v>AF</v>
      </c>
      <c r="K12" s="19" t="s">
        <v>339</v>
      </c>
      <c r="L12" s="19">
        <v>50</v>
      </c>
      <c r="M12" s="18"/>
      <c r="N12" s="20"/>
      <c r="O12" s="20"/>
      <c r="P12" s="20"/>
      <c r="Q12" s="20"/>
    </row>
    <row r="13" spans="1:17" s="19" customFormat="1" x14ac:dyDescent="0.35">
      <c r="A13" s="19" t="s">
        <v>336</v>
      </c>
      <c r="B13" s="19" t="s">
        <v>337</v>
      </c>
      <c r="D13" s="10">
        <v>44142</v>
      </c>
      <c r="E13" s="10">
        <v>44142</v>
      </c>
      <c r="F13" s="37">
        <v>44216</v>
      </c>
      <c r="G13" s="19" t="str">
        <f>VLOOKUP(H13,'NO TOCAR'!$A$2:$D$160,3,FALSE)</f>
        <v>Aforo en locales de apuestas, bingos etc.</v>
      </c>
      <c r="H13" s="21" t="s">
        <v>52</v>
      </c>
      <c r="I13" s="19" t="str">
        <f>VLOOKUP(H13,'NO TOCAR'!$A$2:$D$160,2,FALSE)</f>
        <v>Locales de apuestas</v>
      </c>
      <c r="J13" s="19" t="str">
        <f>VLOOKUP(H13,'NO TOCAR'!$A$2:$D$160,4,FALSE)</f>
        <v>LA</v>
      </c>
      <c r="K13" s="19" t="s">
        <v>339</v>
      </c>
      <c r="L13" s="19">
        <v>33</v>
      </c>
      <c r="M13" s="18"/>
      <c r="N13" s="20"/>
      <c r="O13" s="20"/>
      <c r="P13" s="20"/>
      <c r="Q13" s="20"/>
    </row>
    <row r="14" spans="1:17" s="19" customFormat="1" x14ac:dyDescent="0.35">
      <c r="A14" s="19" t="s">
        <v>336</v>
      </c>
      <c r="B14" s="19" t="s">
        <v>337</v>
      </c>
      <c r="D14" s="10">
        <v>44142</v>
      </c>
      <c r="E14" s="10">
        <v>44142</v>
      </c>
      <c r="F14" s="37"/>
      <c r="G14" s="19" t="str">
        <f>VLOOKUP(H14,'NO TOCAR'!$A$2:$D$160,3,FALSE)</f>
        <v>Aforo en eventos profesionales (congresos, encuentros, etc.) en espacios abiertos y cerrados</v>
      </c>
      <c r="H14" s="21" t="s">
        <v>333</v>
      </c>
      <c r="I14" s="19" t="str">
        <f>VLOOKUP(H14,'NO TOCAR'!$A$2:$D$160,2,FALSE)</f>
        <v>Trabajo</v>
      </c>
      <c r="J14" s="19" t="str">
        <f>VLOOKUP(H14,'NO TOCAR'!$A$2:$D$160,4,FALSE)</f>
        <v>TR</v>
      </c>
      <c r="K14" s="19" t="s">
        <v>339</v>
      </c>
      <c r="L14" s="19">
        <v>50</v>
      </c>
      <c r="M14" s="18"/>
      <c r="N14" s="20"/>
      <c r="O14" s="20"/>
      <c r="P14" s="20"/>
      <c r="Q14" s="20"/>
    </row>
    <row r="15" spans="1:17" s="19" customFormat="1" x14ac:dyDescent="0.35">
      <c r="A15" s="19" t="s">
        <v>336</v>
      </c>
      <c r="B15" s="19" t="s">
        <v>337</v>
      </c>
      <c r="D15" s="10">
        <v>44142</v>
      </c>
      <c r="E15" s="10">
        <v>44142</v>
      </c>
      <c r="F15" s="37"/>
      <c r="G15" s="19" t="str">
        <f>VLOOKUP(H15,'NO TOCAR'!$A$2:$D$160,3,FALSE)</f>
        <v>Limitación de aforo en cines, teatros, auditorios, circos de carpa y espacios similares, así como locales y establecimientos destinados a actos y espectáculos culturales en interior</v>
      </c>
      <c r="H15" s="21" t="s">
        <v>39</v>
      </c>
      <c r="I15" s="19" t="str">
        <f>VLOOKUP(H15,'NO TOCAR'!$A$2:$D$160,2,FALSE)</f>
        <v>Cultura y eventos (exc. deportivos)</v>
      </c>
      <c r="J15" s="19" t="str">
        <f>VLOOKUP(H15,'NO TOCAR'!$A$2:$D$160,4,FALSE)</f>
        <v>CD</v>
      </c>
      <c r="K15" s="19" t="s">
        <v>339</v>
      </c>
      <c r="L15" s="19">
        <v>50</v>
      </c>
      <c r="M15" s="18"/>
      <c r="N15" s="20"/>
      <c r="O15" s="20"/>
      <c r="P15" s="20"/>
      <c r="Q15" s="20"/>
    </row>
    <row r="16" spans="1:17" s="19" customFormat="1" x14ac:dyDescent="0.35">
      <c r="A16" s="19" t="s">
        <v>336</v>
      </c>
      <c r="B16" s="19" t="s">
        <v>337</v>
      </c>
      <c r="D16" s="10">
        <v>44142</v>
      </c>
      <c r="E16" s="10">
        <v>44142</v>
      </c>
      <c r="F16" s="37"/>
      <c r="G16" s="19" t="str">
        <f>VLOOKUP(H16,'NO TOCAR'!$A$2:$D$160,3,FALSE)</f>
        <v>Limitación de aforo en bilbiotecas, museos y monumentos en general</v>
      </c>
      <c r="H16" s="21" t="s">
        <v>38</v>
      </c>
      <c r="I16" s="19" t="str">
        <f>VLOOKUP(H16,'NO TOCAR'!$A$2:$D$160,2,FALSE)</f>
        <v>Cultura y eventos (exc. deportivos)</v>
      </c>
      <c r="J16" s="19" t="str">
        <f>VLOOKUP(H16,'NO TOCAR'!$A$2:$D$160,4,FALSE)</f>
        <v>CD</v>
      </c>
      <c r="K16" s="19" t="s">
        <v>339</v>
      </c>
      <c r="L16" s="19">
        <v>50</v>
      </c>
      <c r="M16" s="18"/>
      <c r="N16" s="20"/>
      <c r="O16" s="20"/>
      <c r="P16" s="20"/>
      <c r="Q16" s="20"/>
    </row>
    <row r="17" spans="1:17" s="19" customFormat="1" x14ac:dyDescent="0.35">
      <c r="A17" s="19" t="s">
        <v>336</v>
      </c>
      <c r="B17" s="19" t="s">
        <v>337</v>
      </c>
      <c r="D17" s="10">
        <v>44142</v>
      </c>
      <c r="E17" s="10">
        <v>44142</v>
      </c>
      <c r="F17" s="37"/>
      <c r="G17" s="19" t="str">
        <f>VLOOKUP(H17,'NO TOCAR'!$A$2:$D$160,3,FALSE)</f>
        <v>Aforo en espacios comunes de alojamientos como hoteles</v>
      </c>
      <c r="H17" s="21" t="s">
        <v>35</v>
      </c>
      <c r="I17" s="19" t="str">
        <f>VLOOKUP(H17,'NO TOCAR'!$A$2:$D$160,2,FALSE)</f>
        <v>Alojamientos (hoteles, albergues)</v>
      </c>
      <c r="J17" s="19" t="str">
        <f>VLOOKUP(H17,'NO TOCAR'!$A$2:$D$160,4,FALSE)</f>
        <v>AL</v>
      </c>
      <c r="K17" s="19" t="s">
        <v>339</v>
      </c>
      <c r="L17" s="19">
        <v>33</v>
      </c>
      <c r="M17" s="18"/>
      <c r="N17" s="20"/>
      <c r="O17" s="20"/>
      <c r="P17" s="20"/>
      <c r="Q17" s="20"/>
    </row>
    <row r="18" spans="1:17" s="19" customFormat="1" x14ac:dyDescent="0.35">
      <c r="A18" s="19" t="s">
        <v>336</v>
      </c>
      <c r="B18" s="19" t="s">
        <v>337</v>
      </c>
      <c r="D18" s="10">
        <v>44142</v>
      </c>
      <c r="E18" s="10">
        <v>44142</v>
      </c>
      <c r="F18" s="37">
        <v>44216</v>
      </c>
      <c r="G18" s="19" t="str">
        <f>VLOOKUP(H18,'NO TOCAR'!$A$2:$D$160,3,FALSE)</f>
        <v>Aforo en terrazas al aire libre</v>
      </c>
      <c r="H18" s="21" t="s">
        <v>278</v>
      </c>
      <c r="I18" s="19" t="str">
        <f>VLOOKUP(H18,'NO TOCAR'!$A$2:$D$160,2,FALSE)</f>
        <v>Restauración, hostelería y bares</v>
      </c>
      <c r="J18" s="19" t="str">
        <f>VLOOKUP(H18,'NO TOCAR'!$A$2:$D$160,4,FALSE)</f>
        <v>RH</v>
      </c>
      <c r="K18" s="19" t="s">
        <v>339</v>
      </c>
      <c r="L18" s="19">
        <v>50</v>
      </c>
      <c r="M18" s="18"/>
      <c r="N18" s="20"/>
      <c r="O18" s="20"/>
      <c r="P18" s="20"/>
      <c r="Q18" s="20"/>
    </row>
    <row r="19" spans="1:17" s="19" customFormat="1" x14ac:dyDescent="0.35">
      <c r="A19" s="19" t="s">
        <v>336</v>
      </c>
      <c r="B19" s="19" t="s">
        <v>337</v>
      </c>
      <c r="D19" s="10">
        <v>44142</v>
      </c>
      <c r="E19" s="10">
        <v>44142</v>
      </c>
      <c r="F19" s="37">
        <v>44216</v>
      </c>
      <c r="G19" s="19" t="str">
        <f>VLOOKUP(H19,'NO TOCAR'!$A$2:$D$160,3,FALSE)</f>
        <v>Aforo en zona interiores</v>
      </c>
      <c r="H19" s="21" t="s">
        <v>280</v>
      </c>
      <c r="I19" s="19" t="str">
        <f>VLOOKUP(H19,'NO TOCAR'!$A$2:$D$160,2,FALSE)</f>
        <v>Restauración, hostelería y bares</v>
      </c>
      <c r="J19" s="19" t="str">
        <f>VLOOKUP(H19,'NO TOCAR'!$A$2:$D$160,4,FALSE)</f>
        <v>RH</v>
      </c>
      <c r="K19" s="19" t="s">
        <v>339</v>
      </c>
      <c r="L19" s="19">
        <v>33</v>
      </c>
      <c r="M19" s="18"/>
      <c r="N19" s="20"/>
      <c r="O19" s="20"/>
      <c r="P19" s="20"/>
      <c r="Q19" s="20"/>
    </row>
    <row r="20" spans="1:17" s="19" customFormat="1" x14ac:dyDescent="0.35">
      <c r="A20" s="19" t="s">
        <v>336</v>
      </c>
      <c r="B20" s="19" t="s">
        <v>337</v>
      </c>
      <c r="D20" s="10">
        <v>44141</v>
      </c>
      <c r="E20" s="10">
        <v>44142</v>
      </c>
      <c r="F20" s="37"/>
      <c r="G20" s="19" t="str">
        <f>VLOOKUP(H20,'NO TOCAR'!$A$2:$D$160,3,FALSE)</f>
        <v>Aforo de mercadillos  y/o mercados al aire libre</v>
      </c>
      <c r="H20" s="21" t="s">
        <v>26</v>
      </c>
      <c r="I20" s="19" t="str">
        <f>VLOOKUP(H20,'NO TOCAR'!$A$2:$D$160,2,FALSE)</f>
        <v>Comercio</v>
      </c>
      <c r="J20" s="19" t="str">
        <f>VLOOKUP(H20,'NO TOCAR'!$A$2:$D$160,4,FALSE)</f>
        <v>CO</v>
      </c>
      <c r="K20" s="19" t="s">
        <v>339</v>
      </c>
      <c r="L20" s="19">
        <v>50</v>
      </c>
      <c r="M20" s="18"/>
      <c r="N20" s="20"/>
      <c r="O20" s="20"/>
      <c r="P20" s="20"/>
      <c r="Q20" s="20"/>
    </row>
    <row r="21" spans="1:17" s="19" customFormat="1" x14ac:dyDescent="0.35">
      <c r="A21" s="19" t="s">
        <v>336</v>
      </c>
      <c r="B21" s="19" t="s">
        <v>337</v>
      </c>
      <c r="D21" s="10">
        <v>44141</v>
      </c>
      <c r="E21" s="10">
        <v>44142</v>
      </c>
      <c r="F21" s="37">
        <v>44201</v>
      </c>
      <c r="G21" s="19" t="str">
        <f>VLOOKUP(H21,'NO TOCAR'!$A$2:$D$160,3,FALSE)</f>
        <v>Aforo de locales comerciales en general</v>
      </c>
      <c r="H21" s="21" t="s">
        <v>25</v>
      </c>
      <c r="I21" s="19" t="str">
        <f>VLOOKUP(H21,'NO TOCAR'!$A$2:$D$160,2,FALSE)</f>
        <v>Comercio</v>
      </c>
      <c r="J21" s="19" t="str">
        <f>VLOOKUP(H21,'NO TOCAR'!$A$2:$D$160,4,FALSE)</f>
        <v>CO</v>
      </c>
      <c r="K21" s="19" t="s">
        <v>339</v>
      </c>
      <c r="L21" s="19">
        <v>50</v>
      </c>
      <c r="M21" s="18"/>
      <c r="N21" s="20"/>
      <c r="O21" s="20"/>
      <c r="P21" s="20"/>
      <c r="Q21" s="20"/>
    </row>
    <row r="22" spans="1:17" s="19" customFormat="1" x14ac:dyDescent="0.35">
      <c r="A22" s="19" t="s">
        <v>336</v>
      </c>
      <c r="B22" s="19" t="s">
        <v>337</v>
      </c>
      <c r="D22" s="10">
        <v>44142</v>
      </c>
      <c r="E22" s="10">
        <v>44142</v>
      </c>
      <c r="F22" s="37">
        <v>44216</v>
      </c>
      <c r="G22" s="19" t="str">
        <f>VLOOKUP(H22,'NO TOCAR'!$A$2:$D$160,3,FALSE)</f>
        <v>Limitación de aforo de centros recreativos de jóvenes (ludotecas, centros de ocio juvenil…)</v>
      </c>
      <c r="H22" s="21" t="s">
        <v>189</v>
      </c>
      <c r="I22" s="19" t="str">
        <f>VLOOKUP(H22,'NO TOCAR'!$A$2:$D$160,2,FALSE)</f>
        <v>Centros recreativos</v>
      </c>
      <c r="J22" s="19" t="str">
        <f>VLOOKUP(H22,'NO TOCAR'!$A$2:$D$160,4,FALSE)</f>
        <v>CR</v>
      </c>
      <c r="K22" s="19" t="s">
        <v>339</v>
      </c>
      <c r="L22" s="19">
        <v>50</v>
      </c>
      <c r="M22" s="18"/>
      <c r="N22" s="20"/>
      <c r="O22" s="20"/>
      <c r="P22" s="20"/>
      <c r="Q22" s="20"/>
    </row>
    <row r="23" spans="1:17" s="19" customFormat="1" x14ac:dyDescent="0.35">
      <c r="A23" s="19" t="s">
        <v>336</v>
      </c>
      <c r="B23" s="19" t="s">
        <v>337</v>
      </c>
      <c r="D23" s="10">
        <v>44142</v>
      </c>
      <c r="E23" s="10">
        <v>44142</v>
      </c>
      <c r="F23" s="37">
        <v>44216</v>
      </c>
      <c r="G23" s="19" t="str">
        <f>VLOOKUP(H23,'NO TOCAR'!$A$2:$D$160,3,FALSE)</f>
        <v>Aforo en otras ceremonias (bodas, bautizos) en espacios exteriores</v>
      </c>
      <c r="H23" s="21" t="s">
        <v>24</v>
      </c>
      <c r="I23" s="19" t="str">
        <f>VLOOKUP(H23,'NO TOCAR'!$A$2:$D$160,2,FALSE)</f>
        <v>Ceremonias religiosas</v>
      </c>
      <c r="J23" s="19" t="str">
        <f>VLOOKUP(H23,'NO TOCAR'!$A$2:$D$160,4,FALSE)</f>
        <v>CE</v>
      </c>
      <c r="K23" s="19" t="s">
        <v>340</v>
      </c>
      <c r="L23" s="19">
        <v>25</v>
      </c>
      <c r="M23" s="18"/>
      <c r="N23" s="20"/>
      <c r="O23" s="20"/>
      <c r="P23" s="20"/>
      <c r="Q23" s="20"/>
    </row>
    <row r="24" spans="1:17" s="19" customFormat="1" x14ac:dyDescent="0.35">
      <c r="A24" s="19" t="s">
        <v>336</v>
      </c>
      <c r="B24" s="19" t="s">
        <v>337</v>
      </c>
      <c r="D24" s="10">
        <v>44142</v>
      </c>
      <c r="E24" s="10">
        <v>44142</v>
      </c>
      <c r="F24" s="37">
        <v>44216</v>
      </c>
      <c r="G24" s="19" t="str">
        <f>VLOOKUP(H24,'NO TOCAR'!$A$2:$D$160,3,FALSE)</f>
        <v>Aforo en otras ceremonias (bodas, bautizos) en espacios interiores</v>
      </c>
      <c r="H24" s="21" t="s">
        <v>23</v>
      </c>
      <c r="I24" s="19" t="str">
        <f>VLOOKUP(H24,'NO TOCAR'!$A$2:$D$160,2,FALSE)</f>
        <v>Ceremonias religiosas</v>
      </c>
      <c r="J24" s="19" t="str">
        <f>VLOOKUP(H24,'NO TOCAR'!$A$2:$D$160,4,FALSE)</f>
        <v>CE</v>
      </c>
      <c r="K24" s="19" t="s">
        <v>340</v>
      </c>
      <c r="L24" s="19">
        <v>15</v>
      </c>
      <c r="M24" s="18"/>
      <c r="N24" s="20"/>
      <c r="O24" s="20"/>
      <c r="P24" s="20"/>
      <c r="Q24" s="20"/>
    </row>
    <row r="25" spans="1:17" s="19" customFormat="1" x14ac:dyDescent="0.35">
      <c r="A25" s="19" t="s">
        <v>336</v>
      </c>
      <c r="B25" s="19" t="s">
        <v>337</v>
      </c>
      <c r="D25" s="10">
        <v>44142</v>
      </c>
      <c r="E25" s="10">
        <v>44142</v>
      </c>
      <c r="F25" s="37"/>
      <c r="G25" s="19" t="str">
        <f>VLOOKUP(H25,'NO TOCAR'!$A$2:$D$160,3,FALSE)</f>
        <v>Aforo en otras ceremonias (bodas, bautizos) en espacios exteriores</v>
      </c>
      <c r="H25" s="21" t="s">
        <v>24</v>
      </c>
      <c r="I25" s="19" t="str">
        <f>VLOOKUP(H25,'NO TOCAR'!$A$2:$D$160,2,FALSE)</f>
        <v>Ceremonias religiosas</v>
      </c>
      <c r="J25" s="19" t="str">
        <f>VLOOKUP(H25,'NO TOCAR'!$A$2:$D$160,4,FALSE)</f>
        <v>CE</v>
      </c>
      <c r="K25" s="19" t="s">
        <v>339</v>
      </c>
      <c r="L25" s="19">
        <v>33</v>
      </c>
      <c r="M25" s="18"/>
      <c r="N25" s="20"/>
      <c r="O25" s="20"/>
      <c r="P25" s="20"/>
      <c r="Q25" s="20"/>
    </row>
    <row r="26" spans="1:17" s="19" customFormat="1" x14ac:dyDescent="0.35">
      <c r="A26" s="19" t="s">
        <v>336</v>
      </c>
      <c r="B26" s="19" t="s">
        <v>337</v>
      </c>
      <c r="D26" s="10">
        <v>44142</v>
      </c>
      <c r="E26" s="10">
        <v>44142</v>
      </c>
      <c r="F26" s="37"/>
      <c r="G26" s="19" t="str">
        <f>VLOOKUP(H26,'NO TOCAR'!$A$2:$D$160,3,FALSE)</f>
        <v>Aforo en otras ceremonias (bodas, bautizos) en espacios interiores</v>
      </c>
      <c r="H26" s="21" t="s">
        <v>23</v>
      </c>
      <c r="I26" s="19" t="str">
        <f>VLOOKUP(H26,'NO TOCAR'!$A$2:$D$160,2,FALSE)</f>
        <v>Ceremonias religiosas</v>
      </c>
      <c r="J26" s="19" t="str">
        <f>VLOOKUP(H26,'NO TOCAR'!$A$2:$D$160,4,FALSE)</f>
        <v>CE</v>
      </c>
      <c r="K26" s="19" t="s">
        <v>339</v>
      </c>
      <c r="L26" s="19">
        <v>33</v>
      </c>
      <c r="M26" s="18"/>
      <c r="N26" s="20"/>
      <c r="O26" s="20"/>
      <c r="P26" s="20"/>
      <c r="Q26" s="20"/>
    </row>
    <row r="27" spans="1:17" s="19" customFormat="1" x14ac:dyDescent="0.35">
      <c r="A27" s="19" t="s">
        <v>336</v>
      </c>
      <c r="B27" s="19" t="s">
        <v>337</v>
      </c>
      <c r="D27" s="10">
        <v>44142</v>
      </c>
      <c r="E27" s="10">
        <v>44142</v>
      </c>
      <c r="F27" s="37">
        <v>44216</v>
      </c>
      <c r="G27" s="19" t="str">
        <f>VLOOKUP(H27,'NO TOCAR'!$A$2:$D$160,3,FALSE)</f>
        <v>Aforo en velatorios, entierros y ceremonias fúnebres en espacios exteriores</v>
      </c>
      <c r="H27" s="21" t="s">
        <v>21</v>
      </c>
      <c r="I27" s="19" t="str">
        <f>VLOOKUP(H27,'NO TOCAR'!$A$2:$D$160,2,FALSE)</f>
        <v>Ceremonias religiosas</v>
      </c>
      <c r="J27" s="19" t="str">
        <f>VLOOKUP(H27,'NO TOCAR'!$A$2:$D$160,4,FALSE)</f>
        <v>CE</v>
      </c>
      <c r="K27" s="19" t="s">
        <v>340</v>
      </c>
      <c r="L27" s="19">
        <v>25</v>
      </c>
      <c r="M27" s="18"/>
      <c r="N27" s="20"/>
      <c r="O27" s="20"/>
      <c r="P27" s="20"/>
      <c r="Q27" s="20"/>
    </row>
    <row r="28" spans="1:17" s="19" customFormat="1" x14ac:dyDescent="0.35">
      <c r="A28" s="19" t="s">
        <v>336</v>
      </c>
      <c r="B28" s="19" t="s">
        <v>337</v>
      </c>
      <c r="D28" s="10">
        <v>44142</v>
      </c>
      <c r="E28" s="10">
        <v>44142</v>
      </c>
      <c r="F28" s="37">
        <v>44216</v>
      </c>
      <c r="G28" s="19" t="str">
        <f>VLOOKUP(H28,'NO TOCAR'!$A$2:$D$160,3,FALSE)</f>
        <v>Aforo velatorios, entierros y ceremonias fúnebres en espacios interiores</v>
      </c>
      <c r="H28" s="21" t="s">
        <v>20</v>
      </c>
      <c r="I28" s="19" t="str">
        <f>VLOOKUP(H28,'NO TOCAR'!$A$2:$D$160,2,FALSE)</f>
        <v>Ceremonias religiosas</v>
      </c>
      <c r="J28" s="19" t="str">
        <f>VLOOKUP(H28,'NO TOCAR'!$A$2:$D$160,4,FALSE)</f>
        <v>CE</v>
      </c>
      <c r="K28" s="19" t="s">
        <v>340</v>
      </c>
      <c r="L28" s="19">
        <v>15</v>
      </c>
      <c r="M28" s="18"/>
      <c r="N28" s="20"/>
      <c r="O28" s="20"/>
      <c r="P28" s="20"/>
      <c r="Q28" s="20"/>
    </row>
    <row r="29" spans="1:17" s="19" customFormat="1" x14ac:dyDescent="0.35">
      <c r="A29" s="19" t="s">
        <v>336</v>
      </c>
      <c r="B29" s="19" t="s">
        <v>337</v>
      </c>
      <c r="D29" s="10">
        <v>44060</v>
      </c>
      <c r="E29" s="10">
        <v>44060</v>
      </c>
      <c r="F29" s="37"/>
      <c r="G29" s="19" t="str">
        <f>VLOOKUP(H29,'NO TOCAR'!$A$2:$D$160,3,FALSE)</f>
        <v>Obligacion de uso de mascarillas</v>
      </c>
      <c r="H29" s="21" t="s">
        <v>312</v>
      </c>
      <c r="I29" s="19" t="str">
        <f>VLOOKUP(H29,'NO TOCAR'!$A$2:$D$160,2,FALSE)</f>
        <v>Transporte público</v>
      </c>
      <c r="J29" s="19" t="str">
        <f>VLOOKUP(H29,'NO TOCAR'!$A$2:$D$160,4,FALSE)</f>
        <v>TP</v>
      </c>
      <c r="M29" s="18"/>
      <c r="N29" s="20"/>
      <c r="O29" s="20"/>
      <c r="P29" s="20"/>
      <c r="Q29" s="20"/>
    </row>
    <row r="30" spans="1:17" s="19" customFormat="1" x14ac:dyDescent="0.35">
      <c r="A30" s="19" t="s">
        <v>336</v>
      </c>
      <c r="B30" s="19" t="s">
        <v>337</v>
      </c>
      <c r="D30" s="10">
        <v>44060</v>
      </c>
      <c r="E30" s="10">
        <v>44060</v>
      </c>
      <c r="F30" s="37"/>
      <c r="G30" s="19" t="str">
        <f>VLOOKUP(H30,'NO TOCAR'!$A$2:$D$160,3,FALSE)</f>
        <v>Prohibición fumar en vía pública &lt; 2 metros</v>
      </c>
      <c r="H30" s="21" t="s">
        <v>296</v>
      </c>
      <c r="I30" s="19" t="str">
        <f>VLOOKUP(H30,'NO TOCAR'!$A$2:$D$160,2,FALSE)</f>
        <v>Relaciones sociales</v>
      </c>
      <c r="J30" s="19" t="str">
        <f>VLOOKUP(H30,'NO TOCAR'!$A$2:$D$160,4,FALSE)</f>
        <v>RS</v>
      </c>
      <c r="M30" s="18"/>
      <c r="N30" s="20"/>
      <c r="O30" s="20"/>
      <c r="P30" s="20"/>
      <c r="Q30" s="20"/>
    </row>
    <row r="31" spans="1:17" s="19" customFormat="1" x14ac:dyDescent="0.35">
      <c r="A31" s="19" t="s">
        <v>336</v>
      </c>
      <c r="B31" s="19" t="s">
        <v>337</v>
      </c>
      <c r="D31" s="10">
        <v>44060</v>
      </c>
      <c r="E31" s="10">
        <v>44060</v>
      </c>
      <c r="F31" s="37"/>
      <c r="G31" s="19" t="str">
        <f>VLOOKUP(H31,'NO TOCAR'!$A$2:$D$160,3,FALSE)</f>
        <v xml:space="preserve">Limitación de salidas de residentes </v>
      </c>
      <c r="H31" s="21" t="s">
        <v>195</v>
      </c>
      <c r="I31" s="19" t="str">
        <f>VLOOKUP(H31,'NO TOCAR'!$A$2:$D$160,2,FALSE)</f>
        <v>Centros sociosanitarios</v>
      </c>
      <c r="J31" s="19" t="str">
        <f>VLOOKUP(H31,'NO TOCAR'!$A$2:$D$160,4,FALSE)</f>
        <v>CS</v>
      </c>
      <c r="M31" s="18"/>
      <c r="N31" s="20"/>
      <c r="O31" s="20"/>
      <c r="P31" s="20"/>
      <c r="Q31" s="20"/>
    </row>
    <row r="32" spans="1:17" s="19" customFormat="1" x14ac:dyDescent="0.35">
      <c r="A32" s="19" t="s">
        <v>336</v>
      </c>
      <c r="B32" s="19" t="s">
        <v>337</v>
      </c>
      <c r="D32" s="10">
        <v>44060</v>
      </c>
      <c r="E32" s="10">
        <v>44060</v>
      </c>
      <c r="F32" s="37"/>
      <c r="G32" s="19" t="str">
        <f>VLOOKUP(H32,'NO TOCAR'!$A$2:$D$160,3,FALSE)</f>
        <v>Limitación de visitas</v>
      </c>
      <c r="H32" s="21" t="s">
        <v>197</v>
      </c>
      <c r="I32" s="19" t="str">
        <f>VLOOKUP(H32,'NO TOCAR'!$A$2:$D$160,2,FALSE)</f>
        <v>Centros sociosanitarios</v>
      </c>
      <c r="J32" s="19" t="str">
        <f>VLOOKUP(H32,'NO TOCAR'!$A$2:$D$160,4,FALSE)</f>
        <v>CS</v>
      </c>
      <c r="K32" s="19" t="s">
        <v>340</v>
      </c>
      <c r="L32" s="19">
        <v>1</v>
      </c>
      <c r="M32" s="18"/>
      <c r="N32" s="20"/>
      <c r="O32" s="20"/>
      <c r="P32" s="20"/>
      <c r="Q32" s="20"/>
    </row>
    <row r="33" spans="1:17" s="19" customFormat="1" x14ac:dyDescent="0.35">
      <c r="A33" s="19" t="s">
        <v>336</v>
      </c>
      <c r="B33" s="19" t="s">
        <v>337</v>
      </c>
      <c r="D33" s="10">
        <v>44060</v>
      </c>
      <c r="E33" s="10">
        <v>44060</v>
      </c>
      <c r="F33" s="37"/>
      <c r="G33" s="19" t="str">
        <f>VLOOKUP(H33,'NO TOCAR'!$A$2:$D$160,3,FALSE)</f>
        <v>Cribado de trabajadores nuevos o a la vuelta de permisos o vacaciones</v>
      </c>
      <c r="H33" s="21" t="s">
        <v>205</v>
      </c>
      <c r="I33" s="19" t="str">
        <f>VLOOKUP(H33,'NO TOCAR'!$A$2:$D$160,2,FALSE)</f>
        <v>Centros sociosanitarios</v>
      </c>
      <c r="J33" s="19" t="str">
        <f>VLOOKUP(H33,'NO TOCAR'!$A$2:$D$160,4,FALSE)</f>
        <v>CS</v>
      </c>
      <c r="M33" s="18"/>
      <c r="N33" s="20"/>
      <c r="O33" s="20"/>
      <c r="P33" s="20"/>
      <c r="Q33" s="20"/>
    </row>
    <row r="34" spans="1:17" s="19" customFormat="1" x14ac:dyDescent="0.35">
      <c r="A34" s="19" t="s">
        <v>336</v>
      </c>
      <c r="B34" s="19" t="s">
        <v>337</v>
      </c>
      <c r="D34" s="10">
        <v>44060</v>
      </c>
      <c r="E34" s="10">
        <v>44060</v>
      </c>
      <c r="F34" s="37"/>
      <c r="G34" s="19" t="str">
        <f>VLOOKUP(H34,'NO TOCAR'!$A$2:$D$160,3,FALSE)</f>
        <v>Cribado de nuevos ingresos de residentes</v>
      </c>
      <c r="H34" s="21" t="s">
        <v>203</v>
      </c>
      <c r="I34" s="19" t="str">
        <f>VLOOKUP(H34,'NO TOCAR'!$A$2:$D$160,2,FALSE)</f>
        <v>Centros sociosanitarios</v>
      </c>
      <c r="J34" s="19" t="str">
        <f>VLOOKUP(H34,'NO TOCAR'!$A$2:$D$160,4,FALSE)</f>
        <v>CS</v>
      </c>
      <c r="M34" s="18"/>
      <c r="N34" s="20"/>
      <c r="O34" s="20"/>
      <c r="P34" s="20"/>
      <c r="Q34" s="20"/>
    </row>
    <row r="35" spans="1:17" s="19" customFormat="1" x14ac:dyDescent="0.35">
      <c r="A35" s="19" t="s">
        <v>336</v>
      </c>
      <c r="B35" s="19" t="s">
        <v>337</v>
      </c>
      <c r="D35" s="10">
        <v>44060</v>
      </c>
      <c r="E35" s="10">
        <v>44060</v>
      </c>
      <c r="F35" s="37">
        <v>44183</v>
      </c>
      <c r="G35" s="19" t="str">
        <f>VLOOKUP(H35,'NO TOCAR'!$A$2:$D$160,3,FALSE)</f>
        <v>Limitación al número de personas que se pueden reunir en cualquier circunstancia (con excepciones como convivientes, transporte público, contexto laboral o similares)</v>
      </c>
      <c r="H35" s="21" t="s">
        <v>56</v>
      </c>
      <c r="I35" s="19" t="str">
        <f>VLOOKUP(H35,'NO TOCAR'!$A$2:$D$160,2,FALSE)</f>
        <v>Relaciones sociales</v>
      </c>
      <c r="J35" s="19" t="str">
        <f>VLOOKUP(H35,'NO TOCAR'!$A$2:$D$160,4,FALSE)</f>
        <v>RS</v>
      </c>
      <c r="K35" s="19" t="s">
        <v>340</v>
      </c>
      <c r="L35" s="19">
        <v>10</v>
      </c>
      <c r="M35" s="18"/>
      <c r="N35" s="20"/>
      <c r="O35" s="20"/>
      <c r="P35" s="20"/>
      <c r="Q35" s="20"/>
    </row>
    <row r="36" spans="1:17" s="19" customFormat="1" x14ac:dyDescent="0.35">
      <c r="A36" s="19" t="s">
        <v>336</v>
      </c>
      <c r="B36" s="19" t="s">
        <v>337</v>
      </c>
      <c r="D36" s="10">
        <v>44060</v>
      </c>
      <c r="E36" s="10">
        <v>44060</v>
      </c>
      <c r="F36" s="37">
        <v>44216</v>
      </c>
      <c r="G36" s="19" t="str">
        <f>VLOOKUP(H36,'NO TOCAR'!$A$2:$D$160,3,FALSE)</f>
        <v>Limitación de horario en locles de apuestas, bingos etc.</v>
      </c>
      <c r="H36" s="21" t="s">
        <v>224</v>
      </c>
      <c r="I36" s="19" t="str">
        <f>VLOOKUP(H36,'NO TOCAR'!$A$2:$D$160,2,FALSE)</f>
        <v>Locales de apuestas</v>
      </c>
      <c r="J36" s="19" t="str">
        <f>VLOOKUP(H36,'NO TOCAR'!$A$2:$D$160,4,FALSE)</f>
        <v>LA</v>
      </c>
      <c r="K36" s="19" t="s">
        <v>341</v>
      </c>
      <c r="L36" s="26">
        <v>4.1666666666666664E-2</v>
      </c>
      <c r="M36" s="18"/>
      <c r="N36" s="20"/>
      <c r="O36" s="20"/>
      <c r="P36" s="20"/>
      <c r="Q36" s="20"/>
    </row>
    <row r="37" spans="1:17" s="19" customFormat="1" x14ac:dyDescent="0.35">
      <c r="A37" s="19" t="s">
        <v>336</v>
      </c>
      <c r="B37" s="19" t="s">
        <v>337</v>
      </c>
      <c r="D37" s="10">
        <v>44060</v>
      </c>
      <c r="E37" s="10">
        <v>44060</v>
      </c>
      <c r="F37" s="37">
        <v>44142</v>
      </c>
      <c r="G37" s="19" t="str">
        <f>VLOOKUP(H37,'NO TOCAR'!$A$2:$D$160,3,FALSE)</f>
        <v>Necesidad de autorizacion previa para eventos a partir de cierto número de asistentes</v>
      </c>
      <c r="H37" s="21" t="s">
        <v>140</v>
      </c>
      <c r="I37" s="19" t="str">
        <f>VLOOKUP(H37,'NO TOCAR'!$A$2:$D$160,2,FALSE)</f>
        <v>Cultura y eventos (exc. deportivos)</v>
      </c>
      <c r="J37" s="19" t="str">
        <f>VLOOKUP(H37,'NO TOCAR'!$A$2:$D$160,4,FALSE)</f>
        <v>CD</v>
      </c>
      <c r="K37" s="19" t="s">
        <v>340</v>
      </c>
      <c r="L37" s="19">
        <v>400</v>
      </c>
      <c r="M37" s="18"/>
      <c r="N37" s="20"/>
      <c r="O37" s="20"/>
      <c r="P37" s="20"/>
      <c r="Q37" s="20"/>
    </row>
    <row r="38" spans="1:17" s="19" customFormat="1" x14ac:dyDescent="0.35">
      <c r="A38" s="19" t="s">
        <v>336</v>
      </c>
      <c r="B38" s="19" t="s">
        <v>337</v>
      </c>
      <c r="D38" s="10">
        <v>44060</v>
      </c>
      <c r="E38" s="10">
        <v>44060</v>
      </c>
      <c r="F38" s="37">
        <v>44174</v>
      </c>
      <c r="G38" s="19" t="str">
        <f>VLOOKUP(H38,'NO TOCAR'!$A$2:$D$160,3,FALSE)</f>
        <v>Aforo en barra</v>
      </c>
      <c r="H38" s="21" t="s">
        <v>282</v>
      </c>
      <c r="I38" s="19" t="str">
        <f>VLOOKUP(H38,'NO TOCAR'!$A$2:$D$160,2,FALSE)</f>
        <v>Restauración, hostelería y bares</v>
      </c>
      <c r="J38" s="19" t="str">
        <f>VLOOKUP(H38,'NO TOCAR'!$A$2:$D$160,4,FALSE)</f>
        <v>RH</v>
      </c>
      <c r="K38" s="19" t="s">
        <v>340</v>
      </c>
      <c r="L38" s="19">
        <v>4</v>
      </c>
      <c r="M38" s="18"/>
      <c r="N38" s="20"/>
      <c r="O38" s="20"/>
      <c r="P38" s="20"/>
      <c r="Q38" s="20"/>
    </row>
    <row r="39" spans="1:17" s="19" customFormat="1" x14ac:dyDescent="0.35">
      <c r="A39" s="19" t="s">
        <v>336</v>
      </c>
      <c r="B39" s="19" t="s">
        <v>337</v>
      </c>
      <c r="D39" s="10">
        <v>44060</v>
      </c>
      <c r="E39" s="10">
        <v>44060</v>
      </c>
      <c r="F39" s="37">
        <v>44216</v>
      </c>
      <c r="G39" s="19" t="str">
        <f>VLOOKUP(H39,'NO TOCAR'!$A$2:$D$160,3,FALSE)</f>
        <v>Aforo en barra</v>
      </c>
      <c r="H39" s="21" t="s">
        <v>282</v>
      </c>
      <c r="I39" s="19" t="str">
        <f>VLOOKUP(H39,'NO TOCAR'!$A$2:$D$160,2,FALSE)</f>
        <v>Restauración, hostelería y bares</v>
      </c>
      <c r="J39" s="19" t="str">
        <f>VLOOKUP(H39,'NO TOCAR'!$A$2:$D$160,4,FALSE)</f>
        <v>RH</v>
      </c>
      <c r="K39" s="19" t="s">
        <v>338</v>
      </c>
      <c r="L39" s="19">
        <v>1.5</v>
      </c>
      <c r="M39" s="18"/>
      <c r="N39" s="20"/>
      <c r="O39" s="20"/>
      <c r="P39" s="20"/>
      <c r="Q39" s="20"/>
    </row>
    <row r="40" spans="1:17" s="19" customFormat="1" x14ac:dyDescent="0.35">
      <c r="A40" s="19" t="s">
        <v>336</v>
      </c>
      <c r="B40" s="19" t="s">
        <v>337</v>
      </c>
      <c r="D40" s="10">
        <v>44060</v>
      </c>
      <c r="E40" s="10">
        <v>44060</v>
      </c>
      <c r="F40" s="37">
        <v>44174</v>
      </c>
      <c r="G40" s="19" t="str">
        <f>VLOOKUP(H40,'NO TOCAR'!$A$2:$D$160,3,FALSE)</f>
        <v>Ocupación máxima personas por mesa  en general</v>
      </c>
      <c r="H40" s="21" t="s">
        <v>28</v>
      </c>
      <c r="I40" s="19" t="str">
        <f>VLOOKUP(H40,'NO TOCAR'!$A$2:$D$160,2,FALSE)</f>
        <v>Restauración, hostelería y bares</v>
      </c>
      <c r="J40" s="19" t="str">
        <f>VLOOKUP(H40,'NO TOCAR'!$A$2:$D$160,4,FALSE)</f>
        <v>RH</v>
      </c>
      <c r="K40" s="19" t="s">
        <v>340</v>
      </c>
      <c r="L40" s="19">
        <v>10</v>
      </c>
      <c r="M40" s="18"/>
      <c r="N40" s="20"/>
      <c r="O40" s="20"/>
      <c r="P40" s="20"/>
      <c r="Q40" s="20"/>
    </row>
    <row r="41" spans="1:17" s="19" customFormat="1" x14ac:dyDescent="0.35">
      <c r="A41" s="19" t="s">
        <v>336</v>
      </c>
      <c r="B41" s="19" t="s">
        <v>337</v>
      </c>
      <c r="D41" s="10">
        <v>44060</v>
      </c>
      <c r="E41" s="10">
        <v>44060</v>
      </c>
      <c r="F41" s="37">
        <v>44142</v>
      </c>
      <c r="G41" s="19" t="str">
        <f>VLOOKUP(H41,'NO TOCAR'!$A$2:$D$160,3,FALSE)</f>
        <v>Cierre total del ocio nocturno</v>
      </c>
      <c r="H41" s="21" t="s">
        <v>248</v>
      </c>
      <c r="I41" s="19" t="str">
        <f>VLOOKUP(H41,'NO TOCAR'!$A$2:$D$160,2,FALSE)</f>
        <v>Ocio nocturno</v>
      </c>
      <c r="J41" s="19" t="str">
        <f>VLOOKUP(H41,'NO TOCAR'!$A$2:$D$160,4,FALSE)</f>
        <v>ON</v>
      </c>
      <c r="M41" s="18"/>
      <c r="N41" s="20"/>
      <c r="O41" s="20"/>
      <c r="P41" s="20"/>
      <c r="Q41" s="20"/>
    </row>
    <row r="42" spans="1:17" s="19" customFormat="1" x14ac:dyDescent="0.35">
      <c r="A42" s="19" t="s">
        <v>336</v>
      </c>
      <c r="B42" s="19" t="s">
        <v>337</v>
      </c>
      <c r="D42" s="10">
        <v>44001</v>
      </c>
      <c r="E42" s="22">
        <v>44001</v>
      </c>
      <c r="F42" s="37">
        <v>44216</v>
      </c>
      <c r="G42" s="19" t="str">
        <f>VLOOKUP(H42,'NO TOCAR'!$A$2:$D$160,3,FALSE)</f>
        <v>Limitación de aforo ZONAS EXTERIORES de instalaciones y centros deportivos (fuera del ámbito regulado por el Consejo Superior de Deportes)</v>
      </c>
      <c r="H42" s="21" t="s">
        <v>46</v>
      </c>
      <c r="I42" s="19" t="str">
        <f>VLOOKUP(H42,'NO TOCAR'!$A$2:$D$160,2,FALSE)</f>
        <v>Deporte y actividad física</v>
      </c>
      <c r="J42" s="19" t="str">
        <f>VLOOKUP(H42,'NO TOCAR'!$A$2:$D$160,4,FALSE)</f>
        <v>AF</v>
      </c>
      <c r="K42" s="19" t="s">
        <v>338</v>
      </c>
      <c r="L42" s="19">
        <v>2.25</v>
      </c>
      <c r="M42" s="18"/>
      <c r="N42" s="20"/>
      <c r="O42" s="20"/>
      <c r="P42" s="20"/>
      <c r="Q42" s="20"/>
    </row>
    <row r="43" spans="1:17" s="19" customFormat="1" x14ac:dyDescent="0.35">
      <c r="A43" s="19" t="s">
        <v>336</v>
      </c>
      <c r="B43" s="19" t="s">
        <v>337</v>
      </c>
      <c r="D43" s="10">
        <v>44001</v>
      </c>
      <c r="E43" s="22">
        <v>44001</v>
      </c>
      <c r="F43" s="37">
        <v>44216</v>
      </c>
      <c r="G43" s="19" t="str">
        <f>VLOOKUP(H43,'NO TOCAR'!$A$2:$D$160,3,FALSE)</f>
        <v>Limitación de aforo ZONAS INTERIORES de instalaciones y centros deportivos (fuera del ámbito regulado por el Consejo Superior de Deportes)</v>
      </c>
      <c r="H43" s="21" t="s">
        <v>43</v>
      </c>
      <c r="I43" s="19" t="str">
        <f>VLOOKUP(H43,'NO TOCAR'!$A$2:$D$160,2,FALSE)</f>
        <v>Deporte y actividad física</v>
      </c>
      <c r="J43" s="19" t="str">
        <f>VLOOKUP(H43,'NO TOCAR'!$A$2:$D$160,4,FALSE)</f>
        <v>AF</v>
      </c>
      <c r="K43" s="19" t="s">
        <v>338</v>
      </c>
      <c r="L43" s="19">
        <v>2.25</v>
      </c>
      <c r="M43" s="18"/>
      <c r="N43" s="20"/>
      <c r="O43" s="20"/>
      <c r="P43" s="20"/>
      <c r="Q43" s="20"/>
    </row>
    <row r="44" spans="1:17" s="19" customFormat="1" x14ac:dyDescent="0.35">
      <c r="A44" s="19" t="s">
        <v>336</v>
      </c>
      <c r="B44" s="19" t="s">
        <v>337</v>
      </c>
      <c r="D44" s="10">
        <v>44030</v>
      </c>
      <c r="E44" s="10">
        <v>44030</v>
      </c>
      <c r="F44" s="37">
        <v>44130</v>
      </c>
      <c r="G44" s="19" t="str">
        <f>VLOOKUP(H44,'NO TOCAR'!$A$2:$D$160,3,FALSE)</f>
        <v>Aforo de asistencia de público en eventos deportivos en interiores</v>
      </c>
      <c r="H44" s="21" t="s">
        <v>45</v>
      </c>
      <c r="I44" s="19" t="str">
        <f>VLOOKUP(H44,'NO TOCAR'!$A$2:$D$160,2,FALSE)</f>
        <v>Deporte y actividad física</v>
      </c>
      <c r="J44" s="19" t="str">
        <f>VLOOKUP(H44,'NO TOCAR'!$A$2:$D$160,4,FALSE)</f>
        <v>AF</v>
      </c>
      <c r="K44" s="19" t="s">
        <v>339</v>
      </c>
      <c r="L44" s="19">
        <v>75</v>
      </c>
      <c r="M44" s="18"/>
      <c r="N44" s="20"/>
      <c r="O44" s="20"/>
      <c r="P44" s="20"/>
      <c r="Q44" s="20"/>
    </row>
    <row r="45" spans="1:17" s="19" customFormat="1" x14ac:dyDescent="0.35">
      <c r="A45" s="19" t="s">
        <v>336</v>
      </c>
      <c r="B45" s="19" t="s">
        <v>337</v>
      </c>
      <c r="D45" s="10">
        <v>44030</v>
      </c>
      <c r="E45" s="10">
        <v>44030</v>
      </c>
      <c r="F45" s="37">
        <v>44130</v>
      </c>
      <c r="G45" s="19" t="str">
        <f>VLOOKUP(H45,'NO TOCAR'!$A$2:$D$160,3,FALSE)</f>
        <v>Aforo de asistencia de público en eventos deportivos en exteriores</v>
      </c>
      <c r="H45" s="21" t="s">
        <v>44</v>
      </c>
      <c r="I45" s="19" t="str">
        <f>VLOOKUP(H45,'NO TOCAR'!$A$2:$D$160,2,FALSE)</f>
        <v>Deporte y actividad física</v>
      </c>
      <c r="J45" s="19" t="str">
        <f>VLOOKUP(H45,'NO TOCAR'!$A$2:$D$160,4,FALSE)</f>
        <v>AF</v>
      </c>
      <c r="K45" s="19" t="s">
        <v>339</v>
      </c>
      <c r="L45" s="19">
        <v>75</v>
      </c>
      <c r="M45" s="18"/>
      <c r="N45" s="20"/>
      <c r="O45" s="20"/>
      <c r="P45" s="20"/>
      <c r="Q45" s="20"/>
    </row>
    <row r="46" spans="1:17" s="19" customFormat="1" x14ac:dyDescent="0.35">
      <c r="A46" s="19" t="s">
        <v>336</v>
      </c>
      <c r="B46" s="19" t="s">
        <v>337</v>
      </c>
      <c r="D46" s="10">
        <v>44030</v>
      </c>
      <c r="E46" s="10">
        <v>44030</v>
      </c>
      <c r="F46" s="37">
        <v>44142</v>
      </c>
      <c r="G46" s="19" t="str">
        <f>VLOOKUP(H46,'NO TOCAR'!$A$2:$D$160,3,FALSE)</f>
        <v>Limitación de aforo de academias, autoescuelas y otros centros de formación no reglada (incluidas actividades promovidas por las administraciones locales)</v>
      </c>
      <c r="H46" s="21" t="s">
        <v>27</v>
      </c>
      <c r="I46" s="19" t="str">
        <f>VLOOKUP(H46,'NO TOCAR'!$A$2:$D$160,2,FALSE)</f>
        <v>Educación</v>
      </c>
      <c r="J46" s="19" t="str">
        <f>VLOOKUP(H46,'NO TOCAR'!$A$2:$D$160,4,FALSE)</f>
        <v>ED</v>
      </c>
      <c r="K46" s="19" t="s">
        <v>339</v>
      </c>
      <c r="L46" s="19">
        <v>75</v>
      </c>
      <c r="M46" s="18"/>
      <c r="N46" s="20"/>
      <c r="O46" s="20"/>
      <c r="P46" s="20"/>
      <c r="Q46" s="20"/>
    </row>
    <row r="47" spans="1:17" s="19" customFormat="1" x14ac:dyDescent="0.35">
      <c r="A47" s="19" t="s">
        <v>336</v>
      </c>
      <c r="B47" s="19" t="s">
        <v>337</v>
      </c>
      <c r="D47" s="10">
        <v>44030</v>
      </c>
      <c r="E47" s="22">
        <v>44030</v>
      </c>
      <c r="F47" s="37"/>
      <c r="G47" s="19" t="str">
        <f>VLOOKUP(H47,'NO TOCAR'!$A$2:$D$160,3,FALSE)</f>
        <v>Aforo en festejos taurinos</v>
      </c>
      <c r="H47" s="21" t="s">
        <v>51</v>
      </c>
      <c r="I47" s="19" t="str">
        <f>VLOOKUP(H47,'NO TOCAR'!$A$2:$D$160,2,FALSE)</f>
        <v>Cultura y eventos (exc. deportivos)</v>
      </c>
      <c r="J47" s="19" t="str">
        <f>VLOOKUP(H47,'NO TOCAR'!$A$2:$D$160,4,FALSE)</f>
        <v>CD</v>
      </c>
      <c r="K47" s="19" t="s">
        <v>339</v>
      </c>
      <c r="L47" s="19">
        <v>50</v>
      </c>
      <c r="M47" s="18"/>
      <c r="N47" s="20"/>
      <c r="O47" s="20"/>
      <c r="P47" s="20"/>
      <c r="Q47" s="20"/>
    </row>
    <row r="48" spans="1:17" s="19" customFormat="1" x14ac:dyDescent="0.35">
      <c r="A48" s="19" t="s">
        <v>336</v>
      </c>
      <c r="B48" s="19" t="s">
        <v>337</v>
      </c>
      <c r="D48" s="10">
        <v>44030</v>
      </c>
      <c r="E48" s="10">
        <v>44030</v>
      </c>
      <c r="F48" s="37">
        <v>44060</v>
      </c>
      <c r="G48" s="19" t="str">
        <f>VLOOKUP(H48,'NO TOCAR'!$A$2:$D$160,3,FALSE)</f>
        <v>Necesidad de autorizacion previa para eventos a partir de cierto número de asistentes</v>
      </c>
      <c r="H48" s="21" t="s">
        <v>140</v>
      </c>
      <c r="I48" s="19" t="str">
        <f>VLOOKUP(H48,'NO TOCAR'!$A$2:$D$160,2,FALSE)</f>
        <v>Cultura y eventos (exc. deportivos)</v>
      </c>
      <c r="J48" s="19" t="str">
        <f>VLOOKUP(H48,'NO TOCAR'!$A$2:$D$160,4,FALSE)</f>
        <v>CD</v>
      </c>
      <c r="K48" s="19" t="s">
        <v>340</v>
      </c>
      <c r="L48" s="19">
        <v>50</v>
      </c>
      <c r="M48" s="18"/>
      <c r="N48" s="20"/>
      <c r="O48" s="20"/>
      <c r="P48" s="20"/>
      <c r="Q48" s="20"/>
    </row>
    <row r="49" spans="1:17" s="19" customFormat="1" x14ac:dyDescent="0.35">
      <c r="A49" s="19" t="s">
        <v>336</v>
      </c>
      <c r="B49" s="19" t="s">
        <v>337</v>
      </c>
      <c r="D49" s="10">
        <v>44030</v>
      </c>
      <c r="E49" s="10">
        <v>44030</v>
      </c>
      <c r="F49" s="37">
        <v>44060</v>
      </c>
      <c r="G49" s="19" t="str">
        <f>VLOOKUP(H49,'NO TOCAR'!$A$2:$D$160,3,FALSE)</f>
        <v>Aforo en locales de ocio nocturno en exteriores (si diferente de los interiores)</v>
      </c>
      <c r="H49" s="21" t="s">
        <v>34</v>
      </c>
      <c r="I49" s="19" t="str">
        <f>VLOOKUP(H49,'NO TOCAR'!$A$2:$D$160,2,FALSE)</f>
        <v>Ocio nocturno</v>
      </c>
      <c r="J49" s="19" t="str">
        <f>VLOOKUP(H49,'NO TOCAR'!$A$2:$D$160,4,FALSE)</f>
        <v>ON</v>
      </c>
      <c r="K49" s="19" t="s">
        <v>339</v>
      </c>
      <c r="L49" s="19">
        <v>75</v>
      </c>
      <c r="M49" s="18"/>
      <c r="N49" s="20"/>
      <c r="O49" s="20"/>
      <c r="P49" s="20"/>
      <c r="Q49" s="20"/>
    </row>
    <row r="50" spans="1:17" s="19" customFormat="1" x14ac:dyDescent="0.35">
      <c r="A50" s="19" t="s">
        <v>336</v>
      </c>
      <c r="B50" s="19" t="s">
        <v>337</v>
      </c>
      <c r="D50" s="10">
        <v>44030</v>
      </c>
      <c r="E50" s="10">
        <v>44030</v>
      </c>
      <c r="F50" s="37">
        <v>44060</v>
      </c>
      <c r="G50" s="19" t="str">
        <f>VLOOKUP(H50,'NO TOCAR'!$A$2:$D$160,3,FALSE)</f>
        <v>Ocupación máxima personas por mesa  en general</v>
      </c>
      <c r="H50" s="21" t="s">
        <v>28</v>
      </c>
      <c r="I50" s="19" t="str">
        <f>VLOOKUP(H50,'NO TOCAR'!$A$2:$D$160,2,FALSE)</f>
        <v>Restauración, hostelería y bares</v>
      </c>
      <c r="J50" s="19" t="str">
        <f>VLOOKUP(H50,'NO TOCAR'!$A$2:$D$160,4,FALSE)</f>
        <v>RH</v>
      </c>
      <c r="K50" s="19" t="s">
        <v>340</v>
      </c>
      <c r="L50" s="19">
        <v>20</v>
      </c>
      <c r="M50" s="18"/>
      <c r="N50" s="20"/>
      <c r="O50" s="20"/>
      <c r="P50" s="20"/>
      <c r="Q50" s="20"/>
    </row>
    <row r="51" spans="1:17" s="19" customFormat="1" x14ac:dyDescent="0.35">
      <c r="A51" s="19" t="s">
        <v>336</v>
      </c>
      <c r="B51" s="19" t="s">
        <v>337</v>
      </c>
      <c r="D51" s="10">
        <v>44030</v>
      </c>
      <c r="E51" s="10">
        <v>44030</v>
      </c>
      <c r="F51" s="37">
        <v>44142</v>
      </c>
      <c r="G51" s="19" t="str">
        <f>VLOOKUP(H51,'NO TOCAR'!$A$2:$D$160,3,FALSE)</f>
        <v>Limitación de aforo de centros recreativos de jóvenes (ludotecas, centros de ocio juvenil…)</v>
      </c>
      <c r="H51" s="21" t="s">
        <v>189</v>
      </c>
      <c r="I51" s="19" t="str">
        <f>VLOOKUP(H51,'NO TOCAR'!$A$2:$D$160,2,FALSE)</f>
        <v>Centros recreativos</v>
      </c>
      <c r="J51" s="19" t="str">
        <f>VLOOKUP(H51,'NO TOCAR'!$A$2:$D$160,4,FALSE)</f>
        <v>CR</v>
      </c>
      <c r="K51" s="19" t="s">
        <v>339</v>
      </c>
      <c r="L51" s="19">
        <v>75</v>
      </c>
      <c r="M51" s="18"/>
      <c r="N51" s="20"/>
      <c r="O51" s="20"/>
      <c r="P51" s="20"/>
      <c r="Q51" s="20"/>
    </row>
    <row r="52" spans="1:17" s="19" customFormat="1" x14ac:dyDescent="0.35">
      <c r="A52" s="19" t="s">
        <v>336</v>
      </c>
      <c r="B52" s="19" t="s">
        <v>337</v>
      </c>
      <c r="D52" s="10">
        <v>44030</v>
      </c>
      <c r="E52" s="10">
        <v>44030</v>
      </c>
      <c r="F52" s="37"/>
      <c r="G52" s="19" t="str">
        <f>VLOOKUP(H52,'NO TOCAR'!$A$2:$D$160,3,FALSE)</f>
        <v>Mascarilla obligatoria incluso con distancia física  (con excepciones)</v>
      </c>
      <c r="H52" s="21" t="s">
        <v>19</v>
      </c>
      <c r="I52" s="19" t="str">
        <f>VLOOKUP(H52,'NO TOCAR'!$A$2:$D$160,2,FALSE)</f>
        <v>Medidas de higiene</v>
      </c>
      <c r="J52" s="19" t="str">
        <f>VLOOKUP(H52,'NO TOCAR'!$A$2:$D$160,4,FALSE)</f>
        <v>MH</v>
      </c>
      <c r="M52" s="18"/>
      <c r="N52" s="20"/>
      <c r="O52" s="20"/>
      <c r="P52" s="20"/>
      <c r="Q52" s="20"/>
    </row>
    <row r="53" spans="1:17" s="19" customFormat="1" x14ac:dyDescent="0.35">
      <c r="A53" s="19" t="s">
        <v>336</v>
      </c>
      <c r="B53" s="19" t="s">
        <v>337</v>
      </c>
      <c r="D53" s="10">
        <v>44001</v>
      </c>
      <c r="E53" s="22">
        <v>44001</v>
      </c>
      <c r="F53" s="37">
        <v>44269</v>
      </c>
      <c r="G53" s="19" t="str">
        <f>VLOOKUP(H53,'NO TOCAR'!$A$2:$D$160,3,FALSE)</f>
        <v xml:space="preserve">Limitación de aforo piscinas de recreo </v>
      </c>
      <c r="H53" s="21" t="s">
        <v>47</v>
      </c>
      <c r="I53" s="19" t="str">
        <f>VLOOKUP(H53,'NO TOCAR'!$A$2:$D$160,2,FALSE)</f>
        <v>Deporte y actividad física</v>
      </c>
      <c r="J53" s="19" t="str">
        <f>VLOOKUP(H53,'NO TOCAR'!$A$2:$D$160,4,FALSE)</f>
        <v>AF</v>
      </c>
      <c r="K53" s="19" t="s">
        <v>338</v>
      </c>
      <c r="L53" s="19">
        <v>1.5</v>
      </c>
      <c r="M53" s="18"/>
      <c r="N53" s="20"/>
      <c r="O53" s="20"/>
      <c r="P53" s="20"/>
      <c r="Q53" s="20"/>
    </row>
    <row r="54" spans="1:17" s="19" customFormat="1" x14ac:dyDescent="0.35">
      <c r="A54" s="19" t="s">
        <v>336</v>
      </c>
      <c r="B54" s="19" t="s">
        <v>337</v>
      </c>
      <c r="D54" s="10">
        <v>44001</v>
      </c>
      <c r="E54" s="22">
        <v>44001</v>
      </c>
      <c r="F54" s="37">
        <v>44142</v>
      </c>
      <c r="G54" s="19" t="str">
        <f>VLOOKUP(H54,'NO TOCAR'!$A$2:$D$160,3,FALSE)</f>
        <v xml:space="preserve">Limitación de aforo piscinas de recreo </v>
      </c>
      <c r="H54" s="21" t="s">
        <v>47</v>
      </c>
      <c r="I54" s="19" t="str">
        <f>VLOOKUP(H54,'NO TOCAR'!$A$2:$D$160,2,FALSE)</f>
        <v>Deporte y actividad física</v>
      </c>
      <c r="J54" s="19" t="str">
        <f>VLOOKUP(H54,'NO TOCAR'!$A$2:$D$160,4,FALSE)</f>
        <v>AF</v>
      </c>
      <c r="K54" s="19" t="s">
        <v>339</v>
      </c>
      <c r="L54" s="19">
        <v>75</v>
      </c>
      <c r="M54" s="18"/>
      <c r="N54" s="20"/>
      <c r="O54" s="20"/>
      <c r="P54" s="20"/>
      <c r="Q54" s="20"/>
    </row>
    <row r="55" spans="1:17" s="19" customFormat="1" x14ac:dyDescent="0.35">
      <c r="A55" s="19" t="s">
        <v>336</v>
      </c>
      <c r="B55" s="19" t="s">
        <v>337</v>
      </c>
      <c r="D55" s="10">
        <v>44001</v>
      </c>
      <c r="E55" s="22">
        <v>44001</v>
      </c>
      <c r="F55" s="37">
        <v>44142</v>
      </c>
      <c r="G55" s="19" t="str">
        <f>VLOOKUP(H55,'NO TOCAR'!$A$2:$D$160,3,FALSE)</f>
        <v>Aforo en locales de apuestas, bingos etc.</v>
      </c>
      <c r="H55" s="21" t="s">
        <v>52</v>
      </c>
      <c r="I55" s="19" t="str">
        <f>VLOOKUP(H55,'NO TOCAR'!$A$2:$D$160,2,FALSE)</f>
        <v>Locales de apuestas</v>
      </c>
      <c r="J55" s="19" t="str">
        <f>VLOOKUP(H55,'NO TOCAR'!$A$2:$D$160,4,FALSE)</f>
        <v>LA</v>
      </c>
      <c r="K55" s="19" t="s">
        <v>339</v>
      </c>
      <c r="L55" s="19">
        <v>50</v>
      </c>
      <c r="M55" s="18"/>
      <c r="N55" s="20"/>
      <c r="O55" s="20"/>
      <c r="P55" s="20"/>
      <c r="Q55" s="20"/>
    </row>
    <row r="56" spans="1:17" s="19" customFormat="1" x14ac:dyDescent="0.35">
      <c r="A56" s="19" t="s">
        <v>336</v>
      </c>
      <c r="B56" s="19" t="s">
        <v>337</v>
      </c>
      <c r="D56" s="10">
        <v>44001</v>
      </c>
      <c r="E56" s="22">
        <v>44001</v>
      </c>
      <c r="F56" s="37">
        <v>44142</v>
      </c>
      <c r="G56" s="19" t="str">
        <f>VLOOKUP(H56,'NO TOCAR'!$A$2:$D$160,3,FALSE)</f>
        <v>Aforo en eventos profesionales (congresos, encuentros, etc.) en espacios abiertos y cerrados</v>
      </c>
      <c r="H56" s="21" t="s">
        <v>333</v>
      </c>
      <c r="I56" s="19" t="str">
        <f>VLOOKUP(H56,'NO TOCAR'!$A$2:$D$160,2,FALSE)</f>
        <v>Trabajo</v>
      </c>
      <c r="J56" s="19" t="str">
        <f>VLOOKUP(H56,'NO TOCAR'!$A$2:$D$160,4,FALSE)</f>
        <v>TR</v>
      </c>
      <c r="K56" s="19" t="s">
        <v>339</v>
      </c>
      <c r="L56" s="19">
        <v>75</v>
      </c>
      <c r="M56" s="18"/>
      <c r="N56" s="20"/>
      <c r="O56" s="20"/>
      <c r="P56" s="20"/>
      <c r="Q56" s="20"/>
    </row>
    <row r="57" spans="1:17" s="19" customFormat="1" x14ac:dyDescent="0.35">
      <c r="A57" s="19" t="s">
        <v>336</v>
      </c>
      <c r="B57" s="19" t="s">
        <v>337</v>
      </c>
      <c r="D57" s="10">
        <v>44001</v>
      </c>
      <c r="E57" s="22">
        <v>44001</v>
      </c>
      <c r="F57" s="37"/>
      <c r="G57" s="19" t="str">
        <f>VLOOKUP(H57,'NO TOCAR'!$A$2:$D$160,3,FALSE)</f>
        <v>Aforo de zoos y parques de atracciones</v>
      </c>
      <c r="H57" s="21" t="s">
        <v>50</v>
      </c>
      <c r="I57" s="19" t="str">
        <f>VLOOKUP(H57,'NO TOCAR'!$A$2:$D$160,2,FALSE)</f>
        <v>Cultura y eventos (exc. deportivos)</v>
      </c>
      <c r="J57" s="19" t="str">
        <f>VLOOKUP(H57,'NO TOCAR'!$A$2:$D$160,4,FALSE)</f>
        <v>CD</v>
      </c>
      <c r="K57" s="19" t="s">
        <v>339</v>
      </c>
      <c r="L57" s="19">
        <v>75</v>
      </c>
      <c r="M57" s="18"/>
      <c r="N57" s="20"/>
      <c r="O57" s="20"/>
      <c r="P57" s="20"/>
      <c r="Q57" s="20"/>
    </row>
    <row r="58" spans="1:17" s="19" customFormat="1" x14ac:dyDescent="0.35">
      <c r="A58" s="19" t="s">
        <v>336</v>
      </c>
      <c r="B58" s="19" t="s">
        <v>337</v>
      </c>
      <c r="D58" s="10">
        <v>44001</v>
      </c>
      <c r="E58" s="22">
        <v>44001</v>
      </c>
      <c r="F58" s="37"/>
      <c r="G58" s="19" t="str">
        <f>VLOOKUP(H58,'NO TOCAR'!$A$2:$D$160,3,FALSE)</f>
        <v>Limitación de aforo piscinas deportivas</v>
      </c>
      <c r="H58" s="21" t="s">
        <v>77</v>
      </c>
      <c r="I58" s="19" t="str">
        <f>VLOOKUP(H58,'NO TOCAR'!$A$2:$D$160,2,FALSE)</f>
        <v>Deporte y actividad física</v>
      </c>
      <c r="J58" s="19" t="str">
        <f>VLOOKUP(H58,'NO TOCAR'!$A$2:$D$160,4,FALSE)</f>
        <v>AF</v>
      </c>
      <c r="K58" s="19" t="s">
        <v>338</v>
      </c>
      <c r="L58" s="19">
        <v>4</v>
      </c>
      <c r="M58" s="18"/>
      <c r="N58" s="20"/>
      <c r="O58" s="20"/>
      <c r="P58" s="20"/>
      <c r="Q58" s="20"/>
    </row>
    <row r="59" spans="1:17" s="19" customFormat="1" x14ac:dyDescent="0.35">
      <c r="A59" s="19" t="s">
        <v>336</v>
      </c>
      <c r="B59" s="19" t="s">
        <v>337</v>
      </c>
      <c r="D59" s="10">
        <v>44001</v>
      </c>
      <c r="E59" s="22">
        <v>44001</v>
      </c>
      <c r="F59" s="37">
        <v>44001</v>
      </c>
      <c r="G59" s="19" t="str">
        <f>VLOOKUP(H59,'NO TOCAR'!$A$2:$D$160,3,FALSE)</f>
        <v>Limitación de aforo ZONAS EXTERIORES de instalaciones y centros deportivos (fuera del ámbito regulado por el Consejo Superior de Deportes)</v>
      </c>
      <c r="H59" s="21" t="s">
        <v>46</v>
      </c>
      <c r="I59" s="19" t="str">
        <f>VLOOKUP(H59,'NO TOCAR'!$A$2:$D$160,2,FALSE)</f>
        <v>Deporte y actividad física</v>
      </c>
      <c r="J59" s="19" t="str">
        <f>VLOOKUP(H59,'NO TOCAR'!$A$2:$D$160,4,FALSE)</f>
        <v>AF</v>
      </c>
      <c r="K59" s="19" t="s">
        <v>338</v>
      </c>
      <c r="L59" s="19">
        <v>4</v>
      </c>
      <c r="M59" s="18"/>
      <c r="N59" s="20"/>
      <c r="O59" s="20"/>
      <c r="P59" s="20"/>
      <c r="Q59" s="20"/>
    </row>
    <row r="60" spans="1:17" s="19" customFormat="1" x14ac:dyDescent="0.35">
      <c r="A60" s="19" t="s">
        <v>336</v>
      </c>
      <c r="B60" s="19" t="s">
        <v>337</v>
      </c>
      <c r="D60" s="10">
        <v>44001</v>
      </c>
      <c r="E60" s="22">
        <v>44001</v>
      </c>
      <c r="F60" s="37">
        <v>44001</v>
      </c>
      <c r="G60" s="19" t="str">
        <f>VLOOKUP(H60,'NO TOCAR'!$A$2:$D$160,3,FALSE)</f>
        <v>Limitación de aforo ZONAS INTERIORES de instalaciones y centros deportivos (fuera del ámbito regulado por el Consejo Superior de Deportes)</v>
      </c>
      <c r="H60" s="21" t="s">
        <v>43</v>
      </c>
      <c r="I60" s="19" t="str">
        <f>VLOOKUP(H60,'NO TOCAR'!$A$2:$D$160,2,FALSE)</f>
        <v>Deporte y actividad física</v>
      </c>
      <c r="J60" s="19" t="str">
        <f>VLOOKUP(H60,'NO TOCAR'!$A$2:$D$160,4,FALSE)</f>
        <v>AF</v>
      </c>
      <c r="K60" s="19" t="s">
        <v>338</v>
      </c>
      <c r="L60" s="19">
        <v>4</v>
      </c>
      <c r="M60" s="18"/>
      <c r="N60" s="20"/>
      <c r="O60" s="20"/>
      <c r="P60" s="20"/>
      <c r="Q60" s="20"/>
    </row>
    <row r="61" spans="1:17" s="19" customFormat="1" x14ac:dyDescent="0.35">
      <c r="A61" s="19" t="s">
        <v>336</v>
      </c>
      <c r="B61" s="19" t="s">
        <v>337</v>
      </c>
      <c r="D61" s="10">
        <v>44001</v>
      </c>
      <c r="E61" s="22">
        <v>44001</v>
      </c>
      <c r="F61" s="37">
        <v>44142</v>
      </c>
      <c r="G61" s="19" t="str">
        <f>VLOOKUP(H61,'NO TOCAR'!$A$2:$D$160,3,FALSE)</f>
        <v>Limitaciones a la actividad fisica grupal en interiores</v>
      </c>
      <c r="H61" s="21" t="s">
        <v>41</v>
      </c>
      <c r="I61" s="19" t="str">
        <f>VLOOKUP(H61,'NO TOCAR'!$A$2:$D$160,2,FALSE)</f>
        <v>Deporte y actividad física</v>
      </c>
      <c r="J61" s="19" t="str">
        <f>VLOOKUP(H61,'NO TOCAR'!$A$2:$D$160,4,FALSE)</f>
        <v>AF</v>
      </c>
      <c r="K61" s="19" t="s">
        <v>340</v>
      </c>
      <c r="L61" s="19">
        <v>20</v>
      </c>
      <c r="M61" s="18"/>
      <c r="N61" s="20"/>
      <c r="O61" s="20"/>
      <c r="P61" s="20"/>
      <c r="Q61" s="20"/>
    </row>
    <row r="62" spans="1:17" s="19" customFormat="1" x14ac:dyDescent="0.35">
      <c r="A62" s="19" t="s">
        <v>336</v>
      </c>
      <c r="B62" s="19" t="s">
        <v>337</v>
      </c>
      <c r="D62" s="10">
        <v>44001</v>
      </c>
      <c r="E62" s="22">
        <v>44001</v>
      </c>
      <c r="F62" s="37">
        <v>44142</v>
      </c>
      <c r="G62" s="19" t="str">
        <f>VLOOKUP(H62,'NO TOCAR'!$A$2:$D$160,3,FALSE)</f>
        <v>Limitaciones a la actividad fisica grupal en exteriores</v>
      </c>
      <c r="H62" s="21" t="s">
        <v>42</v>
      </c>
      <c r="I62" s="19" t="str">
        <f>VLOOKUP(H62,'NO TOCAR'!$A$2:$D$160,2,FALSE)</f>
        <v>Deporte y actividad física</v>
      </c>
      <c r="J62" s="19" t="str">
        <f>VLOOKUP(H62,'NO TOCAR'!$A$2:$D$160,4,FALSE)</f>
        <v>AF</v>
      </c>
      <c r="K62" s="19" t="s">
        <v>340</v>
      </c>
      <c r="L62" s="19">
        <v>30</v>
      </c>
      <c r="M62" s="18"/>
      <c r="N62" s="20"/>
      <c r="O62" s="20"/>
      <c r="P62" s="20"/>
      <c r="Q62" s="20"/>
    </row>
    <row r="63" spans="1:17" s="19" customFormat="1" x14ac:dyDescent="0.35">
      <c r="A63" s="19" t="s">
        <v>336</v>
      </c>
      <c r="B63" s="19" t="s">
        <v>337</v>
      </c>
      <c r="D63" s="10">
        <v>44001</v>
      </c>
      <c r="E63" s="22">
        <v>44001</v>
      </c>
      <c r="F63" s="37">
        <v>44030</v>
      </c>
      <c r="G63" s="19" t="str">
        <f>VLOOKUP(H63,'NO TOCAR'!$A$2:$D$160,3,FALSE)</f>
        <v>Aforo en festejos taurinos</v>
      </c>
      <c r="H63" s="21" t="s">
        <v>51</v>
      </c>
      <c r="I63" s="19" t="str">
        <f>VLOOKUP(H63,'NO TOCAR'!$A$2:$D$160,2,FALSE)</f>
        <v>Cultura y eventos (exc. deportivos)</v>
      </c>
      <c r="J63" s="19" t="str">
        <f>VLOOKUP(H63,'NO TOCAR'!$A$2:$D$160,4,FALSE)</f>
        <v>CD</v>
      </c>
      <c r="K63" s="19" t="s">
        <v>340</v>
      </c>
      <c r="L63" s="19">
        <v>800</v>
      </c>
      <c r="M63" s="18"/>
      <c r="N63" s="20"/>
      <c r="O63" s="20"/>
      <c r="P63" s="20"/>
      <c r="Q63" s="20"/>
    </row>
    <row r="64" spans="1:17" s="19" customFormat="1" x14ac:dyDescent="0.35">
      <c r="A64" s="19" t="s">
        <v>336</v>
      </c>
      <c r="B64" s="19" t="s">
        <v>337</v>
      </c>
      <c r="D64" s="10">
        <v>44001</v>
      </c>
      <c r="E64" s="22">
        <v>44001</v>
      </c>
      <c r="F64" s="37">
        <v>44030</v>
      </c>
      <c r="G64" s="19" t="str">
        <f>VLOOKUP(H64,'NO TOCAR'!$A$2:$D$160,3,FALSE)</f>
        <v>Aforo en festejos taurinos</v>
      </c>
      <c r="H64" s="21" t="s">
        <v>51</v>
      </c>
      <c r="I64" s="19" t="str">
        <f>VLOOKUP(H64,'NO TOCAR'!$A$2:$D$160,2,FALSE)</f>
        <v>Cultura y eventos (exc. deportivos)</v>
      </c>
      <c r="J64" s="19" t="str">
        <f>VLOOKUP(H64,'NO TOCAR'!$A$2:$D$160,4,FALSE)</f>
        <v>CD</v>
      </c>
      <c r="K64" s="19" t="s">
        <v>339</v>
      </c>
      <c r="L64" s="19">
        <v>75</v>
      </c>
      <c r="M64" s="18"/>
      <c r="N64" s="20"/>
      <c r="O64" s="20"/>
      <c r="P64" s="20"/>
      <c r="Q64" s="20"/>
    </row>
    <row r="65" spans="1:17" s="19" customFormat="1" x14ac:dyDescent="0.35">
      <c r="A65" s="19" t="s">
        <v>336</v>
      </c>
      <c r="B65" s="19" t="s">
        <v>337</v>
      </c>
      <c r="D65" s="10">
        <v>44001</v>
      </c>
      <c r="E65" s="22">
        <v>44001</v>
      </c>
      <c r="F65" s="37">
        <v>44030</v>
      </c>
      <c r="G65" s="19" t="str">
        <f>VLOOKUP(H65,'NO TOCAR'!$A$2:$D$160,3,FALSE)</f>
        <v>Limitación de aforo en actos y espectáculos culturales en exteriores</v>
      </c>
      <c r="H65" s="21" t="s">
        <v>135</v>
      </c>
      <c r="I65" s="19" t="str">
        <f>VLOOKUP(H65,'NO TOCAR'!$A$2:$D$160,2,FALSE)</f>
        <v>Cultura y eventos (exc. deportivos)</v>
      </c>
      <c r="J65" s="19" t="str">
        <f>VLOOKUP(H65,'NO TOCAR'!$A$2:$D$160,4,FALSE)</f>
        <v>CD</v>
      </c>
      <c r="K65" s="19" t="s">
        <v>340</v>
      </c>
      <c r="L65" s="19">
        <v>800</v>
      </c>
      <c r="M65" s="18"/>
      <c r="N65" s="20"/>
      <c r="O65" s="20"/>
      <c r="P65" s="20"/>
      <c r="Q65" s="20"/>
    </row>
    <row r="66" spans="1:17" s="19" customFormat="1" x14ac:dyDescent="0.35">
      <c r="A66" s="19" t="s">
        <v>336</v>
      </c>
      <c r="B66" s="19" t="s">
        <v>337</v>
      </c>
      <c r="D66" s="10">
        <v>44001</v>
      </c>
      <c r="E66" s="22">
        <v>44001</v>
      </c>
      <c r="F66" s="37"/>
      <c r="G66" s="19" t="str">
        <f>VLOOKUP(H66,'NO TOCAR'!$A$2:$D$160,3,FALSE)</f>
        <v>Limitación de aforo en actos y espectáculos culturales en exteriores</v>
      </c>
      <c r="H66" s="21" t="s">
        <v>135</v>
      </c>
      <c r="I66" s="19" t="str">
        <f>VLOOKUP(H66,'NO TOCAR'!$A$2:$D$160,2,FALSE)</f>
        <v>Cultura y eventos (exc. deportivos)</v>
      </c>
      <c r="J66" s="19" t="str">
        <f>VLOOKUP(H66,'NO TOCAR'!$A$2:$D$160,4,FALSE)</f>
        <v>CD</v>
      </c>
      <c r="K66" s="19" t="s">
        <v>339</v>
      </c>
      <c r="L66" s="19">
        <v>75</v>
      </c>
      <c r="M66" s="18"/>
      <c r="N66" s="20"/>
      <c r="O66" s="20"/>
      <c r="P66" s="20"/>
      <c r="Q66" s="20"/>
    </row>
    <row r="67" spans="1:17" s="19" customFormat="1" x14ac:dyDescent="0.35">
      <c r="A67" s="19" t="s">
        <v>336</v>
      </c>
      <c r="B67" s="19" t="s">
        <v>337</v>
      </c>
      <c r="D67" s="10">
        <v>44001</v>
      </c>
      <c r="E67" s="22">
        <v>44001</v>
      </c>
      <c r="F67" s="37">
        <v>44142</v>
      </c>
      <c r="G67" s="19" t="str">
        <f>VLOOKUP(H67,'NO TOCAR'!$A$2:$D$160,3,FALSE)</f>
        <v>Limitación de aforo en cines, teatros, auditorios, circos de carpa y espacios similares, así como locales y establecimientos destinados a actos y espectáculos culturales en interior</v>
      </c>
      <c r="H67" s="21" t="s">
        <v>39</v>
      </c>
      <c r="I67" s="19" t="str">
        <f>VLOOKUP(H67,'NO TOCAR'!$A$2:$D$160,2,FALSE)</f>
        <v>Cultura y eventos (exc. deportivos)</v>
      </c>
      <c r="J67" s="19" t="str">
        <f>VLOOKUP(H67,'NO TOCAR'!$A$2:$D$160,4,FALSE)</f>
        <v>CD</v>
      </c>
      <c r="K67" s="19" t="s">
        <v>339</v>
      </c>
      <c r="L67" s="19">
        <v>75</v>
      </c>
      <c r="M67" s="18"/>
      <c r="N67" s="20"/>
      <c r="O67" s="20"/>
      <c r="P67" s="20"/>
      <c r="Q67" s="20"/>
    </row>
    <row r="68" spans="1:17" s="19" customFormat="1" x14ac:dyDescent="0.35">
      <c r="A68" s="19" t="s">
        <v>336</v>
      </c>
      <c r="B68" s="19" t="s">
        <v>337</v>
      </c>
      <c r="D68" s="10">
        <v>44001</v>
      </c>
      <c r="E68" s="22">
        <v>44001</v>
      </c>
      <c r="F68" s="37">
        <v>44142</v>
      </c>
      <c r="G68" s="19" t="str">
        <f>VLOOKUP(H68,'NO TOCAR'!$A$2:$D$160,3,FALSE)</f>
        <v>Limitación de aforo en bilbiotecas, museos y monumentos en general</v>
      </c>
      <c r="H68" s="21" t="s">
        <v>38</v>
      </c>
      <c r="I68" s="19" t="str">
        <f>VLOOKUP(H68,'NO TOCAR'!$A$2:$D$160,2,FALSE)</f>
        <v>Cultura y eventos (exc. deportivos)</v>
      </c>
      <c r="J68" s="19" t="str">
        <f>VLOOKUP(H68,'NO TOCAR'!$A$2:$D$160,4,FALSE)</f>
        <v>CD</v>
      </c>
      <c r="K68" s="19" t="s">
        <v>339</v>
      </c>
      <c r="L68" s="19">
        <v>75</v>
      </c>
      <c r="M68" s="18"/>
      <c r="N68" s="20"/>
      <c r="O68" s="20"/>
      <c r="P68" s="20"/>
      <c r="Q68" s="20"/>
    </row>
    <row r="69" spans="1:17" s="19" customFormat="1" x14ac:dyDescent="0.35">
      <c r="A69" s="19" t="s">
        <v>336</v>
      </c>
      <c r="B69" s="19" t="s">
        <v>337</v>
      </c>
      <c r="D69" s="10">
        <v>44001</v>
      </c>
      <c r="E69" s="22">
        <v>44001</v>
      </c>
      <c r="F69" s="37">
        <v>44142</v>
      </c>
      <c r="G69" s="19" t="str">
        <f>VLOOKUP(H69,'NO TOCAR'!$A$2:$D$160,3,FALSE)</f>
        <v>Aforo en espacios comunes de alojamientos como albergues</v>
      </c>
      <c r="H69" s="21" t="s">
        <v>36</v>
      </c>
      <c r="I69" s="19" t="str">
        <f>VLOOKUP(H69,'NO TOCAR'!$A$2:$D$160,2,FALSE)</f>
        <v>Alojamientos (hoteles, albergues)</v>
      </c>
      <c r="J69" s="19" t="str">
        <f>VLOOKUP(H69,'NO TOCAR'!$A$2:$D$160,4,FALSE)</f>
        <v>AL</v>
      </c>
      <c r="K69" s="19" t="s">
        <v>339</v>
      </c>
      <c r="L69" s="19">
        <v>75</v>
      </c>
      <c r="M69" s="18"/>
      <c r="N69" s="20"/>
      <c r="O69" s="20"/>
      <c r="P69" s="20"/>
      <c r="Q69" s="20"/>
    </row>
    <row r="70" spans="1:17" s="19" customFormat="1" x14ac:dyDescent="0.35">
      <c r="A70" s="19" t="s">
        <v>336</v>
      </c>
      <c r="B70" s="19" t="s">
        <v>337</v>
      </c>
      <c r="D70" s="10">
        <v>44001</v>
      </c>
      <c r="E70" s="22">
        <v>44001</v>
      </c>
      <c r="F70" s="37">
        <v>44142</v>
      </c>
      <c r="G70" s="19" t="str">
        <f>VLOOKUP(H70,'NO TOCAR'!$A$2:$D$160,3,FALSE)</f>
        <v>Aforo en espacios comunes de alojamientos como hoteles</v>
      </c>
      <c r="H70" s="21" t="s">
        <v>35</v>
      </c>
      <c r="I70" s="19" t="str">
        <f>VLOOKUP(H70,'NO TOCAR'!$A$2:$D$160,2,FALSE)</f>
        <v>Alojamientos (hoteles, albergues)</v>
      </c>
      <c r="J70" s="19" t="str">
        <f>VLOOKUP(H70,'NO TOCAR'!$A$2:$D$160,4,FALSE)</f>
        <v>AL</v>
      </c>
      <c r="K70" s="19" t="s">
        <v>339</v>
      </c>
      <c r="L70" s="19">
        <v>75</v>
      </c>
      <c r="M70" s="18"/>
      <c r="N70" s="20"/>
      <c r="O70" s="20"/>
      <c r="P70" s="20"/>
      <c r="Q70" s="20"/>
    </row>
    <row r="71" spans="1:17" s="19" customFormat="1" x14ac:dyDescent="0.35">
      <c r="A71" s="19" t="s">
        <v>336</v>
      </c>
      <c r="B71" s="19" t="s">
        <v>337</v>
      </c>
      <c r="D71" s="10">
        <v>44001</v>
      </c>
      <c r="E71" s="22">
        <v>44001</v>
      </c>
      <c r="F71" s="37">
        <v>44060</v>
      </c>
      <c r="G71" s="19" t="str">
        <f>VLOOKUP(H71,'NO TOCAR'!$A$2:$D$160,3,FALSE)</f>
        <v>Prohibición de pistas de baile (permite uso para estar sentados en mesas)</v>
      </c>
      <c r="H71" s="21" t="s">
        <v>32</v>
      </c>
      <c r="I71" s="19" t="str">
        <f>VLOOKUP(H71,'NO TOCAR'!$A$2:$D$160,2,FALSE)</f>
        <v>Ocio nocturno</v>
      </c>
      <c r="J71" s="19" t="str">
        <f>VLOOKUP(H71,'NO TOCAR'!$A$2:$D$160,4,FALSE)</f>
        <v>ON</v>
      </c>
      <c r="M71" s="18"/>
      <c r="N71" s="20"/>
      <c r="O71" s="20"/>
      <c r="P71" s="20"/>
      <c r="Q71" s="20"/>
    </row>
    <row r="72" spans="1:17" s="19" customFormat="1" x14ac:dyDescent="0.35">
      <c r="A72" s="19" t="s">
        <v>336</v>
      </c>
      <c r="B72" s="19" t="s">
        <v>337</v>
      </c>
      <c r="D72" s="10">
        <v>44001</v>
      </c>
      <c r="E72" s="22">
        <v>44001</v>
      </c>
      <c r="F72" s="37">
        <v>44060</v>
      </c>
      <c r="G72" s="19" t="str">
        <f>VLOOKUP(H72,'NO TOCAR'!$A$2:$D$160,3,FALSE)</f>
        <v>Aforo en locales de ocio nocturno en general</v>
      </c>
      <c r="H72" s="21" t="s">
        <v>18</v>
      </c>
      <c r="I72" s="19" t="str">
        <f>VLOOKUP(H72,'NO TOCAR'!$A$2:$D$160,2,FALSE)</f>
        <v>Ocio nocturno</v>
      </c>
      <c r="J72" s="19" t="str">
        <f>VLOOKUP(H72,'NO TOCAR'!$A$2:$D$160,4,FALSE)</f>
        <v>ON</v>
      </c>
      <c r="K72" s="19" t="s">
        <v>339</v>
      </c>
      <c r="L72" s="19">
        <v>33</v>
      </c>
      <c r="M72" s="18"/>
      <c r="N72" s="20"/>
      <c r="O72" s="20"/>
      <c r="P72" s="20"/>
      <c r="Q72" s="20"/>
    </row>
    <row r="73" spans="1:17" s="19" customFormat="1" x14ac:dyDescent="0.35">
      <c r="A73" s="19" t="s">
        <v>336</v>
      </c>
      <c r="B73" s="19" t="s">
        <v>337</v>
      </c>
      <c r="D73" s="10">
        <v>44001</v>
      </c>
      <c r="E73" s="22">
        <v>44001</v>
      </c>
      <c r="F73" s="37">
        <v>44142</v>
      </c>
      <c r="G73" s="19" t="str">
        <f>VLOOKUP(H73,'NO TOCAR'!$A$2:$D$160,3,FALSE)</f>
        <v>Aforo en zona interiores</v>
      </c>
      <c r="H73" s="21" t="s">
        <v>280</v>
      </c>
      <c r="I73" s="19" t="str">
        <f>VLOOKUP(H73,'NO TOCAR'!$A$2:$D$160,2,FALSE)</f>
        <v>Restauración, hostelería y bares</v>
      </c>
      <c r="J73" s="19" t="str">
        <f>VLOOKUP(H73,'NO TOCAR'!$A$2:$D$160,4,FALSE)</f>
        <v>RH</v>
      </c>
      <c r="K73" s="19" t="s">
        <v>339</v>
      </c>
      <c r="L73" s="19">
        <v>75</v>
      </c>
      <c r="M73" s="18"/>
      <c r="N73" s="20"/>
      <c r="O73" s="20"/>
      <c r="P73" s="20"/>
      <c r="Q73" s="20"/>
    </row>
    <row r="74" spans="1:17" s="19" customFormat="1" x14ac:dyDescent="0.35">
      <c r="A74" s="19" t="s">
        <v>336</v>
      </c>
      <c r="B74" s="19" t="s">
        <v>337</v>
      </c>
      <c r="D74" s="10">
        <v>44001</v>
      </c>
      <c r="E74" s="22">
        <v>44001</v>
      </c>
      <c r="F74" s="37">
        <v>44142</v>
      </c>
      <c r="G74" s="19" t="str">
        <f>VLOOKUP(H74,'NO TOCAR'!$A$2:$D$160,3,FALSE)</f>
        <v>Aforo en barra</v>
      </c>
      <c r="H74" s="21" t="s">
        <v>282</v>
      </c>
      <c r="I74" s="19" t="str">
        <f>VLOOKUP(H74,'NO TOCAR'!$A$2:$D$160,2,FALSE)</f>
        <v>Restauración, hostelería y bares</v>
      </c>
      <c r="J74" s="19" t="str">
        <f>VLOOKUP(H74,'NO TOCAR'!$A$2:$D$160,4,FALSE)</f>
        <v>RH</v>
      </c>
      <c r="K74" s="19" t="s">
        <v>338</v>
      </c>
      <c r="L74" s="19">
        <v>1.5</v>
      </c>
      <c r="M74" s="18"/>
      <c r="N74" s="20"/>
      <c r="O74" s="20"/>
      <c r="P74" s="20"/>
      <c r="Q74" s="20"/>
    </row>
    <row r="75" spans="1:17" s="19" customFormat="1" x14ac:dyDescent="0.35">
      <c r="A75" s="19" t="s">
        <v>336</v>
      </c>
      <c r="B75" s="19" t="s">
        <v>337</v>
      </c>
      <c r="D75" s="10">
        <v>44001</v>
      </c>
      <c r="E75" s="22">
        <v>44001</v>
      </c>
      <c r="F75" s="37">
        <v>44142</v>
      </c>
      <c r="G75" s="19" t="str">
        <f>VLOOKUP(H75,'NO TOCAR'!$A$2:$D$160,3,FALSE)</f>
        <v>Aforo de mercadillos  y/o mercados al aire libre</v>
      </c>
      <c r="H75" s="21" t="s">
        <v>26</v>
      </c>
      <c r="I75" s="19" t="str">
        <f>VLOOKUP(H75,'NO TOCAR'!$A$2:$D$160,2,FALSE)</f>
        <v>Comercio</v>
      </c>
      <c r="J75" s="19" t="str">
        <f>VLOOKUP(H75,'NO TOCAR'!$A$2:$D$160,4,FALSE)</f>
        <v>CO</v>
      </c>
      <c r="K75" s="19" t="s">
        <v>339</v>
      </c>
      <c r="L75" s="19">
        <v>75</v>
      </c>
      <c r="M75" s="18"/>
      <c r="N75" s="20"/>
      <c r="O75" s="20"/>
      <c r="P75" s="20"/>
      <c r="Q75" s="20"/>
    </row>
    <row r="76" spans="1:17" s="19" customFormat="1" x14ac:dyDescent="0.35">
      <c r="A76" s="19" t="s">
        <v>336</v>
      </c>
      <c r="B76" s="19" t="s">
        <v>337</v>
      </c>
      <c r="D76" s="10">
        <v>44001</v>
      </c>
      <c r="E76" s="22">
        <v>44001</v>
      </c>
      <c r="F76" s="37">
        <v>44142</v>
      </c>
      <c r="G76" s="19" t="str">
        <f>VLOOKUP(H76,'NO TOCAR'!$A$2:$D$160,3,FALSE)</f>
        <v>Aforo de locales comerciales en general</v>
      </c>
      <c r="H76" s="21" t="s">
        <v>25</v>
      </c>
      <c r="I76" s="19" t="str">
        <f>VLOOKUP(H76,'NO TOCAR'!$A$2:$D$160,2,FALSE)</f>
        <v>Comercio</v>
      </c>
      <c r="J76" s="19" t="str">
        <f>VLOOKUP(H76,'NO TOCAR'!$A$2:$D$160,4,FALSE)</f>
        <v>CO</v>
      </c>
      <c r="K76" s="19" t="s">
        <v>339</v>
      </c>
      <c r="L76" s="19">
        <v>75</v>
      </c>
      <c r="M76" s="18"/>
      <c r="N76" s="20"/>
      <c r="O76" s="20"/>
      <c r="P76" s="20"/>
      <c r="Q76" s="20"/>
    </row>
    <row r="77" spans="1:17" s="19" customFormat="1" x14ac:dyDescent="0.35">
      <c r="A77" s="19" t="s">
        <v>336</v>
      </c>
      <c r="B77" s="19" t="s">
        <v>337</v>
      </c>
      <c r="D77" s="10">
        <v>44001</v>
      </c>
      <c r="E77" s="22">
        <v>44001</v>
      </c>
      <c r="F77" s="37">
        <v>44142</v>
      </c>
      <c r="G77" s="19" t="str">
        <f>VLOOKUP(H77,'NO TOCAR'!$A$2:$D$160,3,FALSE)</f>
        <v>Aforo en otras ceremonias (bodas, bautizos) en espacios interiores</v>
      </c>
      <c r="H77" s="21" t="s">
        <v>23</v>
      </c>
      <c r="I77" s="19" t="str">
        <f>VLOOKUP(H77,'NO TOCAR'!$A$2:$D$160,2,FALSE)</f>
        <v>Ceremonias religiosas</v>
      </c>
      <c r="J77" s="19" t="str">
        <f>VLOOKUP(H77,'NO TOCAR'!$A$2:$D$160,4,FALSE)</f>
        <v>CE</v>
      </c>
      <c r="K77" s="19" t="s">
        <v>339</v>
      </c>
      <c r="L77" s="19">
        <v>75</v>
      </c>
      <c r="M77" s="18"/>
      <c r="N77" s="20"/>
      <c r="O77" s="20"/>
      <c r="P77" s="20"/>
      <c r="Q77" s="20"/>
    </row>
    <row r="78" spans="1:17" s="19" customFormat="1" x14ac:dyDescent="0.35">
      <c r="A78" s="19" t="s">
        <v>336</v>
      </c>
      <c r="B78" s="19" t="s">
        <v>337</v>
      </c>
      <c r="D78" s="10">
        <v>44001</v>
      </c>
      <c r="E78" s="22">
        <v>44001</v>
      </c>
      <c r="F78" s="37">
        <v>44142</v>
      </c>
      <c r="G78" s="19" t="str">
        <f>VLOOKUP(H78,'NO TOCAR'!$A$2:$D$160,3,FALSE)</f>
        <v>Aforo en otras ceremonias (bodas, bautizos) en espacios exteriores</v>
      </c>
      <c r="H78" s="21" t="s">
        <v>24</v>
      </c>
      <c r="I78" s="19" t="str">
        <f>VLOOKUP(H78,'NO TOCAR'!$A$2:$D$160,2,FALSE)</f>
        <v>Ceremonias religiosas</v>
      </c>
      <c r="J78" s="19" t="str">
        <f>VLOOKUP(H78,'NO TOCAR'!$A$2:$D$160,4,FALSE)</f>
        <v>CE</v>
      </c>
      <c r="K78" s="19" t="s">
        <v>339</v>
      </c>
      <c r="L78" s="19">
        <v>75</v>
      </c>
      <c r="M78" s="18"/>
      <c r="N78" s="20"/>
      <c r="O78" s="20"/>
      <c r="P78" s="20"/>
      <c r="Q78" s="20"/>
    </row>
    <row r="79" spans="1:17" s="19" customFormat="1" x14ac:dyDescent="0.35">
      <c r="A79" s="19" t="s">
        <v>336</v>
      </c>
      <c r="B79" s="19" t="s">
        <v>337</v>
      </c>
      <c r="D79" s="10">
        <v>44001</v>
      </c>
      <c r="E79" s="22">
        <v>44001</v>
      </c>
      <c r="F79" s="37">
        <v>44140</v>
      </c>
      <c r="G79" s="19" t="str">
        <f>VLOOKUP(H79,'NO TOCAR'!$A$2:$D$160,3,FALSE)</f>
        <v>Aforo en lugares de culto</v>
      </c>
      <c r="H79" s="21" t="s">
        <v>22</v>
      </c>
      <c r="I79" s="19" t="str">
        <f>VLOOKUP(H79,'NO TOCAR'!$A$2:$D$160,2,FALSE)</f>
        <v>Ceremonias religiosas</v>
      </c>
      <c r="J79" s="19" t="str">
        <f>VLOOKUP(H79,'NO TOCAR'!$A$2:$D$160,4,FALSE)</f>
        <v>CE</v>
      </c>
      <c r="K79" s="19" t="s">
        <v>339</v>
      </c>
      <c r="L79" s="19">
        <v>75</v>
      </c>
      <c r="M79" s="18"/>
      <c r="N79" s="20"/>
      <c r="O79" s="20"/>
      <c r="P79" s="20"/>
      <c r="Q79" s="20"/>
    </row>
    <row r="80" spans="1:17" s="19" customFormat="1" x14ac:dyDescent="0.35">
      <c r="A80" s="19" t="s">
        <v>336</v>
      </c>
      <c r="B80" s="19" t="s">
        <v>337</v>
      </c>
      <c r="D80" s="10">
        <v>44001</v>
      </c>
      <c r="E80" s="22">
        <v>44001</v>
      </c>
      <c r="F80" s="37">
        <v>44142</v>
      </c>
      <c r="G80" s="19" t="str">
        <f>VLOOKUP(H80,'NO TOCAR'!$A$2:$D$160,3,FALSE)</f>
        <v>Aforo en velatorios, entierros y ceremonias fúnebres en espacios exteriores</v>
      </c>
      <c r="H80" s="21" t="s">
        <v>21</v>
      </c>
      <c r="I80" s="19" t="str">
        <f>VLOOKUP(H80,'NO TOCAR'!$A$2:$D$160,2,FALSE)</f>
        <v>Ceremonias religiosas</v>
      </c>
      <c r="J80" s="19" t="str">
        <f>VLOOKUP(H80,'NO TOCAR'!$A$2:$D$160,4,FALSE)</f>
        <v>CE</v>
      </c>
      <c r="K80" s="19" t="s">
        <v>339</v>
      </c>
      <c r="L80" s="19">
        <v>75</v>
      </c>
      <c r="M80" s="18"/>
      <c r="N80" s="20"/>
      <c r="O80" s="20"/>
      <c r="P80" s="20"/>
      <c r="Q80" s="20"/>
    </row>
    <row r="81" spans="1:17" s="19" customFormat="1" x14ac:dyDescent="0.35">
      <c r="A81" s="19" t="s">
        <v>336</v>
      </c>
      <c r="B81" s="19" t="s">
        <v>337</v>
      </c>
      <c r="D81" s="10">
        <v>44001</v>
      </c>
      <c r="E81" s="22">
        <v>44001</v>
      </c>
      <c r="F81" s="37">
        <v>44142</v>
      </c>
      <c r="G81" s="19" t="str">
        <f>VLOOKUP(H81,'NO TOCAR'!$A$2:$D$160,3,FALSE)</f>
        <v>Aforo velatorios, entierros y ceremonias fúnebres en espacios interiores</v>
      </c>
      <c r="H81" s="21" t="s">
        <v>20</v>
      </c>
      <c r="I81" s="19" t="str">
        <f>VLOOKUP(H81,'NO TOCAR'!$A$2:$D$160,2,FALSE)</f>
        <v>Ceremonias religiosas</v>
      </c>
      <c r="J81" s="19" t="str">
        <f>VLOOKUP(H81,'NO TOCAR'!$A$2:$D$160,4,FALSE)</f>
        <v>CE</v>
      </c>
      <c r="K81" s="19" t="s">
        <v>339</v>
      </c>
      <c r="L81" s="19">
        <v>75</v>
      </c>
      <c r="M81" s="18"/>
      <c r="N81" s="20"/>
      <c r="O81" s="20"/>
      <c r="P81" s="20"/>
      <c r="Q81" s="20"/>
    </row>
    <row r="82" spans="1:17" s="19" customFormat="1" x14ac:dyDescent="0.35">
      <c r="A82" s="19" t="s">
        <v>336</v>
      </c>
      <c r="B82" s="19" t="s">
        <v>337</v>
      </c>
      <c r="D82" s="10">
        <v>44001</v>
      </c>
      <c r="E82" s="22">
        <v>44001</v>
      </c>
      <c r="F82" s="37">
        <v>44142</v>
      </c>
      <c r="G82" s="19" t="str">
        <f>VLOOKUP(H82,'NO TOCAR'!$A$2:$D$160,3,FALSE)</f>
        <v>Aforo en velatorios, entierros y ceremonias fúnebres en espacios exteriores</v>
      </c>
      <c r="H82" s="21" t="s">
        <v>21</v>
      </c>
      <c r="I82" s="19" t="str">
        <f>VLOOKUP(H82,'NO TOCAR'!$A$2:$D$160,2,FALSE)</f>
        <v>Ceremonias religiosas</v>
      </c>
      <c r="J82" s="19" t="str">
        <f>VLOOKUP(H82,'NO TOCAR'!$A$2:$D$160,4,FALSE)</f>
        <v>CE</v>
      </c>
      <c r="K82" s="19" t="s">
        <v>340</v>
      </c>
      <c r="L82" s="19">
        <v>50</v>
      </c>
      <c r="M82" s="18"/>
      <c r="N82" s="20"/>
      <c r="O82" s="20"/>
      <c r="P82" s="20"/>
      <c r="Q82" s="20"/>
    </row>
    <row r="83" spans="1:17" s="19" customFormat="1" x14ac:dyDescent="0.35">
      <c r="A83" s="19" t="s">
        <v>336</v>
      </c>
      <c r="B83" s="19" t="s">
        <v>337</v>
      </c>
      <c r="D83" s="10">
        <v>44001</v>
      </c>
      <c r="E83" s="22">
        <v>44001</v>
      </c>
      <c r="F83" s="37">
        <v>44142</v>
      </c>
      <c r="G83" s="19" t="str">
        <f>VLOOKUP(H83,'NO TOCAR'!$A$2:$D$160,3,FALSE)</f>
        <v>Aforo velatorios, entierros y ceremonias fúnebres en espacios interiores</v>
      </c>
      <c r="H83" s="21" t="s">
        <v>20</v>
      </c>
      <c r="I83" s="19" t="str">
        <f>VLOOKUP(H83,'NO TOCAR'!$A$2:$D$160,2,FALSE)</f>
        <v>Ceremonias religiosas</v>
      </c>
      <c r="J83" s="19" t="str">
        <f>VLOOKUP(H83,'NO TOCAR'!$A$2:$D$160,4,FALSE)</f>
        <v>CE</v>
      </c>
      <c r="K83" s="19" t="s">
        <v>340</v>
      </c>
      <c r="L83" s="19">
        <v>25</v>
      </c>
      <c r="M83" s="18"/>
      <c r="N83" s="20"/>
      <c r="O83" s="20"/>
      <c r="P83" s="20"/>
      <c r="Q83" s="20"/>
    </row>
    <row r="84" spans="1:17" s="19" customFormat="1" x14ac:dyDescent="0.35">
      <c r="A84" s="19" t="s">
        <v>336</v>
      </c>
      <c r="B84" s="19" t="s">
        <v>337</v>
      </c>
      <c r="D84" s="10">
        <v>44170</v>
      </c>
      <c r="E84" s="10">
        <v>44175</v>
      </c>
      <c r="F84" s="37"/>
      <c r="G84" s="19" t="str">
        <f>VLOOKUP(H84,'NO TOCAR'!$A$2:$D$160,3,FALSE)</f>
        <v xml:space="preserve">Limitación de aforo piscinas de recreo </v>
      </c>
      <c r="H84" s="21" t="s">
        <v>47</v>
      </c>
      <c r="I84" s="19" t="str">
        <f>VLOOKUP(H84,'NO TOCAR'!$A$2:$D$160,2,FALSE)</f>
        <v>Deporte y actividad física</v>
      </c>
      <c r="J84" s="19" t="str">
        <f>VLOOKUP(H84,'NO TOCAR'!$A$2:$D$160,4,FALSE)</f>
        <v>AF</v>
      </c>
      <c r="K84" s="19" t="s">
        <v>339</v>
      </c>
      <c r="L84" s="19">
        <v>30</v>
      </c>
      <c r="M84" s="18"/>
      <c r="N84" s="20"/>
      <c r="O84" s="20"/>
      <c r="P84" s="20"/>
      <c r="Q84" s="20"/>
    </row>
    <row r="85" spans="1:17" s="19" customFormat="1" x14ac:dyDescent="0.35">
      <c r="A85" s="19" t="s">
        <v>336</v>
      </c>
      <c r="B85" s="19" t="s">
        <v>337</v>
      </c>
      <c r="D85" s="10">
        <v>44170</v>
      </c>
      <c r="E85" s="10">
        <v>44175</v>
      </c>
      <c r="F85" s="37"/>
      <c r="G85" s="19" t="str">
        <f>VLOOKUP(H85,'NO TOCAR'!$A$2:$D$160,3,FALSE)</f>
        <v>Limitación de aforo piscinas deportivas</v>
      </c>
      <c r="H85" s="21" t="s">
        <v>77</v>
      </c>
      <c r="I85" s="19" t="str">
        <f>VLOOKUP(H85,'NO TOCAR'!$A$2:$D$160,2,FALSE)</f>
        <v>Deporte y actividad física</v>
      </c>
      <c r="J85" s="19" t="str">
        <f>VLOOKUP(H85,'NO TOCAR'!$A$2:$D$160,4,FALSE)</f>
        <v>AF</v>
      </c>
      <c r="K85" s="19" t="s">
        <v>339</v>
      </c>
      <c r="L85" s="19">
        <v>30</v>
      </c>
      <c r="M85" s="18"/>
      <c r="N85" s="20"/>
      <c r="O85" s="20"/>
      <c r="P85" s="20"/>
      <c r="Q85" s="20"/>
    </row>
    <row r="86" spans="1:17" s="19" customFormat="1" x14ac:dyDescent="0.35">
      <c r="A86" s="19" t="s">
        <v>336</v>
      </c>
      <c r="B86" s="19" t="s">
        <v>337</v>
      </c>
      <c r="D86" s="10">
        <v>44170</v>
      </c>
      <c r="E86" s="10">
        <v>44175</v>
      </c>
      <c r="F86" s="37"/>
      <c r="G86" s="19" t="str">
        <f>VLOOKUP(H86,'NO TOCAR'!$A$2:$D$160,3,FALSE)</f>
        <v>Aforo en velatorios, entierros y ceremonias fúnebres en espacios exteriores</v>
      </c>
      <c r="H86" s="21" t="s">
        <v>21</v>
      </c>
      <c r="I86" s="19" t="str">
        <f>VLOOKUP(H86,'NO TOCAR'!$A$2:$D$160,2,FALSE)</f>
        <v>Ceremonias religiosas</v>
      </c>
      <c r="J86" s="19" t="str">
        <f>VLOOKUP(H86,'NO TOCAR'!$A$2:$D$160,4,FALSE)</f>
        <v>CE</v>
      </c>
      <c r="K86" s="19" t="s">
        <v>339</v>
      </c>
      <c r="L86" s="19">
        <v>30</v>
      </c>
      <c r="M86" s="18"/>
      <c r="N86" s="20"/>
      <c r="O86" s="20"/>
      <c r="P86" s="20"/>
      <c r="Q86" s="20"/>
    </row>
    <row r="87" spans="1:17" s="19" customFormat="1" x14ac:dyDescent="0.35">
      <c r="A87" s="19" t="s">
        <v>336</v>
      </c>
      <c r="B87" s="19" t="s">
        <v>337</v>
      </c>
      <c r="D87" s="10">
        <v>44170</v>
      </c>
      <c r="E87" s="10">
        <v>44175</v>
      </c>
      <c r="F87" s="37"/>
      <c r="G87" s="19" t="str">
        <f>VLOOKUP(H87,'NO TOCAR'!$A$2:$D$160,3,FALSE)</f>
        <v>Aforo velatorios, entierros y ceremonias fúnebres en espacios interiores</v>
      </c>
      <c r="H87" s="21" t="s">
        <v>20</v>
      </c>
      <c r="I87" s="19" t="str">
        <f>VLOOKUP(H87,'NO TOCAR'!$A$2:$D$160,2,FALSE)</f>
        <v>Ceremonias religiosas</v>
      </c>
      <c r="J87" s="19" t="str">
        <f>VLOOKUP(H87,'NO TOCAR'!$A$2:$D$160,4,FALSE)</f>
        <v>CE</v>
      </c>
      <c r="K87" s="19" t="s">
        <v>339</v>
      </c>
      <c r="L87" s="19">
        <v>30</v>
      </c>
      <c r="M87" s="18"/>
      <c r="N87" s="20"/>
      <c r="O87" s="20"/>
      <c r="P87" s="20"/>
      <c r="Q87" s="20"/>
    </row>
    <row r="88" spans="1:17" s="19" customFormat="1" x14ac:dyDescent="0.35">
      <c r="A88" s="19" t="s">
        <v>336</v>
      </c>
      <c r="B88" s="19" t="s">
        <v>337</v>
      </c>
      <c r="D88" s="10">
        <v>44170</v>
      </c>
      <c r="E88" s="10">
        <v>44175</v>
      </c>
      <c r="F88" s="37">
        <v>44201</v>
      </c>
      <c r="G88" s="19" t="str">
        <f>VLOOKUP(H88,'NO TOCAR'!$A$2:$D$160,3,FALSE)</f>
        <v>Ocupación máxima personas por mesa  en general</v>
      </c>
      <c r="H88" s="21" t="s">
        <v>28</v>
      </c>
      <c r="I88" s="19" t="str">
        <f>VLOOKUP(H88,'NO TOCAR'!$A$2:$D$160,2,FALSE)</f>
        <v>Restauración, hostelería y bares</v>
      </c>
      <c r="J88" s="19" t="str">
        <f>VLOOKUP(H88,'NO TOCAR'!$A$2:$D$160,4,FALSE)</f>
        <v>RH</v>
      </c>
      <c r="K88" s="19" t="s">
        <v>340</v>
      </c>
      <c r="L88" s="19">
        <v>6</v>
      </c>
      <c r="M88" s="18"/>
      <c r="N88" s="20"/>
      <c r="O88" s="20"/>
      <c r="P88" s="20"/>
      <c r="Q88" s="20"/>
    </row>
    <row r="89" spans="1:17" s="19" customFormat="1" x14ac:dyDescent="0.35">
      <c r="B89" s="19" t="s">
        <v>337</v>
      </c>
      <c r="D89" s="10">
        <v>44170</v>
      </c>
      <c r="E89" s="10">
        <v>44175</v>
      </c>
      <c r="F89" s="37">
        <v>44255</v>
      </c>
      <c r="G89" s="19" t="str">
        <f>VLOOKUP(H89,'NO TOCAR'!$A$2:$D$160,3,FALSE)</f>
        <v>Limitación de horario en parques y jardines</v>
      </c>
      <c r="H89" s="21" t="s">
        <v>265</v>
      </c>
      <c r="I89" s="19" t="str">
        <f>VLOOKUP(H89,'NO TOCAR'!$A$2:$D$160,2,FALSE)</f>
        <v>Parques</v>
      </c>
      <c r="J89" s="19" t="str">
        <f>VLOOKUP(H89,'NO TOCAR'!$A$2:$D$160,4,FALSE)</f>
        <v>PA</v>
      </c>
      <c r="K89" s="19" t="s">
        <v>341</v>
      </c>
      <c r="L89" s="26">
        <v>0.95833333333333337</v>
      </c>
      <c r="M89" s="18"/>
      <c r="N89" s="20"/>
      <c r="O89" s="20"/>
      <c r="P89" s="20"/>
      <c r="Q89" s="20"/>
    </row>
    <row r="90" spans="1:17" s="19" customFormat="1" x14ac:dyDescent="0.35">
      <c r="A90" s="19" t="s">
        <v>336</v>
      </c>
      <c r="B90" s="19" t="s">
        <v>337</v>
      </c>
      <c r="D90" s="10">
        <v>44170</v>
      </c>
      <c r="E90" s="10">
        <v>44175</v>
      </c>
      <c r="F90" s="37">
        <v>44216</v>
      </c>
      <c r="G90" s="19" t="str">
        <f>VLOOKUP(H90,'NO TOCAR'!$A$2:$D$160,3,FALSE)</f>
        <v>Limitaciones a la actividad fisica grupal en exteriores</v>
      </c>
      <c r="H90" s="21" t="s">
        <v>42</v>
      </c>
      <c r="I90" s="19" t="str">
        <f>VLOOKUP(H90,'NO TOCAR'!$A$2:$D$160,2,FALSE)</f>
        <v>Deporte y actividad física</v>
      </c>
      <c r="J90" s="19" t="str">
        <f>VLOOKUP(H90,'NO TOCAR'!$A$2:$D$160,4,FALSE)</f>
        <v>AF</v>
      </c>
      <c r="K90" s="19" t="s">
        <v>340</v>
      </c>
      <c r="L90" s="19">
        <v>30</v>
      </c>
      <c r="M90" s="18"/>
      <c r="N90" s="20"/>
      <c r="O90" s="20"/>
      <c r="P90" s="20"/>
      <c r="Q90" s="20"/>
    </row>
    <row r="91" spans="1:17" s="19" customFormat="1" x14ac:dyDescent="0.35">
      <c r="A91" s="19" t="s">
        <v>336</v>
      </c>
      <c r="B91" s="19" t="s">
        <v>337</v>
      </c>
      <c r="D91" s="10">
        <v>44170</v>
      </c>
      <c r="E91" s="10">
        <v>44175</v>
      </c>
      <c r="F91" s="37">
        <v>44216</v>
      </c>
      <c r="G91" s="19" t="str">
        <f>VLOOKUP(H91,'NO TOCAR'!$A$2:$D$160,3,FALSE)</f>
        <v>Aforo de asistencia de público en eventos deportivos en exteriores</v>
      </c>
      <c r="H91" s="21" t="s">
        <v>44</v>
      </c>
      <c r="I91" s="19" t="str">
        <f>VLOOKUP(H91,'NO TOCAR'!$A$2:$D$160,2,FALSE)</f>
        <v>Deporte y actividad física</v>
      </c>
      <c r="J91" s="19" t="str">
        <f>VLOOKUP(H91,'NO TOCAR'!$A$2:$D$160,4,FALSE)</f>
        <v>AF</v>
      </c>
      <c r="K91" s="19" t="s">
        <v>339</v>
      </c>
      <c r="L91" s="19">
        <v>30</v>
      </c>
      <c r="M91" s="18"/>
      <c r="N91" s="20"/>
      <c r="O91" s="20"/>
      <c r="P91" s="20"/>
      <c r="Q91" s="20"/>
    </row>
    <row r="92" spans="1:17" s="19" customFormat="1" x14ac:dyDescent="0.35">
      <c r="A92" s="19" t="s">
        <v>336</v>
      </c>
      <c r="B92" s="19" t="s">
        <v>337</v>
      </c>
      <c r="D92" s="10">
        <v>44170</v>
      </c>
      <c r="E92" s="10">
        <v>44175</v>
      </c>
      <c r="F92" s="37">
        <v>44216</v>
      </c>
      <c r="G92" s="19" t="str">
        <f>VLOOKUP(H92,'NO TOCAR'!$A$2:$D$160,3,FALSE)</f>
        <v>Aforo de asistencia de público en eventos deportivos en interiores</v>
      </c>
      <c r="H92" s="21" t="s">
        <v>45</v>
      </c>
      <c r="I92" s="19" t="str">
        <f>VLOOKUP(H92,'NO TOCAR'!$A$2:$D$160,2,FALSE)</f>
        <v>Deporte y actividad física</v>
      </c>
      <c r="J92" s="19" t="str">
        <f>VLOOKUP(H92,'NO TOCAR'!$A$2:$D$160,4,FALSE)</f>
        <v>AF</v>
      </c>
      <c r="K92" s="19" t="s">
        <v>339</v>
      </c>
      <c r="L92" s="19">
        <v>30</v>
      </c>
      <c r="M92" s="18"/>
      <c r="N92" s="20"/>
      <c r="O92" s="20"/>
      <c r="P92" s="20"/>
      <c r="Q92" s="20"/>
    </row>
    <row r="93" spans="1:17" s="19" customFormat="1" x14ac:dyDescent="0.35">
      <c r="A93" s="19" t="s">
        <v>336</v>
      </c>
      <c r="B93" s="19" t="s">
        <v>337</v>
      </c>
      <c r="D93" s="10">
        <v>44170</v>
      </c>
      <c r="E93" s="10">
        <v>44175</v>
      </c>
      <c r="F93" s="37">
        <v>44216</v>
      </c>
      <c r="G93" s="19" t="str">
        <f>VLOOKUP(H93,'NO TOCAR'!$A$2:$D$160,3,FALSE)</f>
        <v>Limitación de aforo ZONAS INTERIORES de instalaciones y centros deportivos (fuera del ámbito regulado por el Consejo Superior de Deportes)</v>
      </c>
      <c r="H93" s="21" t="s">
        <v>43</v>
      </c>
      <c r="I93" s="19" t="s">
        <v>61</v>
      </c>
      <c r="J93" s="19" t="s">
        <v>63</v>
      </c>
      <c r="K93" s="19" t="s">
        <v>340</v>
      </c>
      <c r="L93" s="19">
        <v>150</v>
      </c>
      <c r="M93" s="18"/>
      <c r="N93" s="20"/>
      <c r="O93" s="20"/>
      <c r="P93" s="20"/>
      <c r="Q93" s="20"/>
    </row>
    <row r="94" spans="1:17" s="19" customFormat="1" x14ac:dyDescent="0.35">
      <c r="A94" s="19" t="s">
        <v>336</v>
      </c>
      <c r="B94" s="19" t="s">
        <v>337</v>
      </c>
      <c r="D94" s="10">
        <v>44170</v>
      </c>
      <c r="E94" s="10">
        <v>44175</v>
      </c>
      <c r="F94" s="37">
        <v>44216</v>
      </c>
      <c r="G94" s="19" t="str">
        <f>VLOOKUP(H94,'NO TOCAR'!$A$2:$D$160,3,FALSE)</f>
        <v>Limitación de aforo ZONAS EXTERIORES de instalaciones y centros deportivos (fuera del ámbito regulado por el Consejo Superior de Deportes)</v>
      </c>
      <c r="H94" s="21" t="s">
        <v>46</v>
      </c>
      <c r="I94" s="19" t="s">
        <v>61</v>
      </c>
      <c r="J94" s="19" t="s">
        <v>63</v>
      </c>
      <c r="K94" s="19" t="s">
        <v>340</v>
      </c>
      <c r="L94" s="19">
        <v>150</v>
      </c>
      <c r="M94" s="18"/>
      <c r="N94" s="20"/>
      <c r="O94" s="20"/>
      <c r="P94" s="20"/>
      <c r="Q94" s="20"/>
    </row>
    <row r="95" spans="1:17" s="19" customFormat="1" x14ac:dyDescent="0.35">
      <c r="A95" s="19" t="s">
        <v>336</v>
      </c>
      <c r="B95" s="19" t="s">
        <v>337</v>
      </c>
      <c r="D95" s="10">
        <v>44170</v>
      </c>
      <c r="E95" s="22">
        <v>44175</v>
      </c>
      <c r="F95" s="37"/>
      <c r="G95" s="19" t="str">
        <f>VLOOKUP(H95,'NO TOCAR'!$A$2:$D$160,3,FALSE)</f>
        <v>Limitación de aforo de academias, autoescuelas y otros centros de formación no reglada (incluidas actividades promovidas por las administraciones locales)</v>
      </c>
      <c r="H95" s="28" t="s">
        <v>27</v>
      </c>
      <c r="I95" s="19" t="str">
        <f>VLOOKUP(H95,'NO TOCAR'!$A$2:$D$160,2,FALSE)</f>
        <v>Educación</v>
      </c>
      <c r="J95" s="19" t="str">
        <f>VLOOKUP(H95,'NO TOCAR'!$A$2:$D$160,4,FALSE)</f>
        <v>ED</v>
      </c>
      <c r="K95" s="19" t="s">
        <v>339</v>
      </c>
      <c r="L95" s="19">
        <v>50</v>
      </c>
      <c r="M95" s="18"/>
      <c r="N95" s="20"/>
      <c r="O95" s="20"/>
      <c r="P95" s="20"/>
      <c r="Q95" s="20"/>
    </row>
    <row r="96" spans="1:17" s="19" customFormat="1" x14ac:dyDescent="0.35">
      <c r="A96" s="19" t="s">
        <v>336</v>
      </c>
      <c r="B96" s="19" t="s">
        <v>337</v>
      </c>
      <c r="D96" s="10">
        <v>44170</v>
      </c>
      <c r="E96" s="22">
        <v>44175</v>
      </c>
      <c r="F96" s="37"/>
      <c r="G96" s="19" t="str">
        <f>VLOOKUP(H96,'NO TOCAR'!$A$2:$D$160,3,FALSE)</f>
        <v>Aforo en espacios comunes en residencias de estudiantes</v>
      </c>
      <c r="H96" s="28" t="s">
        <v>112</v>
      </c>
      <c r="I96" s="19" t="str">
        <f>VLOOKUP(H96,'NO TOCAR'!$A$2:$D$160,2,FALSE)</f>
        <v>Alojamientos (hoteles, albergues)</v>
      </c>
      <c r="J96" s="19" t="str">
        <f>VLOOKUP(H96,'NO TOCAR'!$A$2:$D$160,4,FALSE)</f>
        <v>AL</v>
      </c>
      <c r="K96" s="19" t="s">
        <v>339</v>
      </c>
      <c r="L96" s="19">
        <v>33</v>
      </c>
      <c r="M96" s="18"/>
      <c r="N96" s="20"/>
      <c r="O96" s="20"/>
      <c r="P96" s="20"/>
      <c r="Q96" s="20"/>
    </row>
    <row r="97" spans="1:17" s="19" customFormat="1" x14ac:dyDescent="0.35">
      <c r="A97" s="19" t="s">
        <v>336</v>
      </c>
      <c r="B97" s="19" t="s">
        <v>337</v>
      </c>
      <c r="D97" s="10">
        <v>44170</v>
      </c>
      <c r="E97" s="22">
        <v>44175</v>
      </c>
      <c r="F97" s="37"/>
      <c r="G97" s="19" t="str">
        <f>VLOOKUP(H97,'NO TOCAR'!$A$2:$D$160,3,FALSE)</f>
        <v>Aforo en espacios comunes de alojamientos como albergues</v>
      </c>
      <c r="H97" s="44" t="s">
        <v>36</v>
      </c>
      <c r="I97" s="19" t="str">
        <f>VLOOKUP(H97,'NO TOCAR'!$A$2:$D$160,2,FALSE)</f>
        <v>Alojamientos (hoteles, albergues)</v>
      </c>
      <c r="J97" s="19" t="str">
        <f>VLOOKUP(H97,'NO TOCAR'!$A$2:$D$160,4,FALSE)</f>
        <v>AL</v>
      </c>
      <c r="K97" s="19" t="s">
        <v>339</v>
      </c>
      <c r="L97" s="19">
        <v>33</v>
      </c>
      <c r="M97" s="18"/>
      <c r="N97" s="20"/>
      <c r="O97" s="20"/>
      <c r="P97" s="20"/>
      <c r="Q97" s="20"/>
    </row>
    <row r="98" spans="1:17" s="19" customFormat="1" x14ac:dyDescent="0.35">
      <c r="A98" s="19" t="s">
        <v>336</v>
      </c>
      <c r="B98" s="19" t="s">
        <v>337</v>
      </c>
      <c r="D98" s="10">
        <v>44170</v>
      </c>
      <c r="E98" s="10">
        <v>44175</v>
      </c>
      <c r="F98" s="37">
        <v>44216</v>
      </c>
      <c r="G98" s="19" t="str">
        <f>VLOOKUP(H98,'NO TOCAR'!$A$2:$D$160,3,FALSE)</f>
        <v>Prohibición de consumo en barra</v>
      </c>
      <c r="H98" s="21" t="s">
        <v>274</v>
      </c>
      <c r="I98" s="19" t="str">
        <f>VLOOKUP(H98,'NO TOCAR'!$A$2:$D$160,2,FALSE)</f>
        <v>Restauración, hostelería y bares</v>
      </c>
      <c r="J98" s="19" t="str">
        <f>VLOOKUP(H98,'NO TOCAR'!$A$2:$D$160,4,FALSE)</f>
        <v>RH</v>
      </c>
      <c r="K98" s="19" t="s">
        <v>340</v>
      </c>
      <c r="L98" s="19">
        <v>6</v>
      </c>
      <c r="M98" s="18"/>
      <c r="N98" s="20"/>
      <c r="O98" s="20"/>
      <c r="P98" s="20"/>
      <c r="Q98" s="20"/>
    </row>
    <row r="99" spans="1:17" s="19" customFormat="1" x14ac:dyDescent="0.35">
      <c r="A99" s="19" t="s">
        <v>336</v>
      </c>
      <c r="B99" s="19" t="s">
        <v>337</v>
      </c>
      <c r="D99" s="10">
        <v>44170</v>
      </c>
      <c r="E99" s="10">
        <v>44175</v>
      </c>
      <c r="F99" s="37">
        <v>44201</v>
      </c>
      <c r="G99" s="19" t="str">
        <f>VLOOKUP(H99,'NO TOCAR'!$A$2:$D$160,3,FALSE)</f>
        <v>Limitación de horario en restaurantes y bares</v>
      </c>
      <c r="H99" s="21" t="s">
        <v>276</v>
      </c>
      <c r="I99" s="19" t="str">
        <f>VLOOKUP(H99,'NO TOCAR'!$A$2:$D$160,2,FALSE)</f>
        <v>Restauración, hostelería y bares</v>
      </c>
      <c r="J99" s="19" t="str">
        <f>VLOOKUP(H99,'NO TOCAR'!$A$2:$D$160,4,FALSE)</f>
        <v>RH</v>
      </c>
      <c r="K99" s="19" t="s">
        <v>341</v>
      </c>
      <c r="L99" s="26">
        <v>0.95833333333333337</v>
      </c>
      <c r="M99" s="18"/>
      <c r="N99" s="20"/>
      <c r="O99" s="20"/>
      <c r="P99" s="20"/>
      <c r="Q99" s="20"/>
    </row>
    <row r="100" spans="1:17" s="19" customFormat="1" x14ac:dyDescent="0.35">
      <c r="A100" s="19" t="s">
        <v>336</v>
      </c>
      <c r="B100" s="19" t="s">
        <v>337</v>
      </c>
      <c r="D100" s="10">
        <v>44201</v>
      </c>
      <c r="E100" s="10">
        <v>44203</v>
      </c>
      <c r="F100" s="37"/>
      <c r="G100" s="19" t="str">
        <f>VLOOKUP(H100,'NO TOCAR'!$A$2:$D$160,3,FALSE)</f>
        <v>Limitación de la movilidad nocturna (toque de queda)</v>
      </c>
      <c r="H100" s="21" t="s">
        <v>238</v>
      </c>
      <c r="I100" s="19" t="str">
        <f>VLOOKUP(H100,'NO TOCAR'!$A$2:$D$160,2,FALSE)</f>
        <v>Movilidad</v>
      </c>
      <c r="J100" s="19" t="str">
        <f>VLOOKUP(H100,'NO TOCAR'!$A$2:$D$160,4,FALSE)</f>
        <v>MV</v>
      </c>
      <c r="K100" s="19" t="s">
        <v>341</v>
      </c>
      <c r="L100" s="19" t="s">
        <v>907</v>
      </c>
      <c r="M100" s="18"/>
      <c r="N100" s="20"/>
      <c r="O100" s="20"/>
      <c r="P100" s="20"/>
      <c r="Q100" s="20"/>
    </row>
    <row r="101" spans="1:17" s="19" customFormat="1" x14ac:dyDescent="0.35">
      <c r="A101" s="19" t="s">
        <v>336</v>
      </c>
      <c r="B101" s="19" t="s">
        <v>337</v>
      </c>
      <c r="D101" s="10">
        <v>44202</v>
      </c>
      <c r="E101" s="10">
        <v>44203</v>
      </c>
      <c r="F101" s="37">
        <v>44255</v>
      </c>
      <c r="G101" s="19" t="str">
        <f>VLOOKUP(H101,'NO TOCAR'!$A$2:$D$160,3,FALSE)</f>
        <v>Aforo de locales comerciales en general</v>
      </c>
      <c r="H101" s="21" t="s">
        <v>25</v>
      </c>
      <c r="I101" s="19" t="str">
        <f>VLOOKUP(H101,'NO TOCAR'!$A$2:$D$160,2,FALSE)</f>
        <v>Comercio</v>
      </c>
      <c r="J101" s="19" t="str">
        <f>VLOOKUP(H101,'NO TOCAR'!$A$2:$D$160,4,FALSE)</f>
        <v>CO</v>
      </c>
      <c r="K101" s="19" t="s">
        <v>339</v>
      </c>
      <c r="L101" s="19">
        <v>30</v>
      </c>
      <c r="M101" s="18"/>
      <c r="N101" s="20"/>
      <c r="O101" s="20"/>
      <c r="P101" s="20"/>
      <c r="Q101" s="20"/>
    </row>
    <row r="102" spans="1:17" s="19" customFormat="1" x14ac:dyDescent="0.35">
      <c r="A102" s="19" t="s">
        <v>336</v>
      </c>
      <c r="B102" s="19" t="s">
        <v>337</v>
      </c>
      <c r="D102" s="10">
        <v>44202</v>
      </c>
      <c r="E102" s="10">
        <v>44202</v>
      </c>
      <c r="F102" s="37">
        <v>44216</v>
      </c>
      <c r="G102" s="19" t="str">
        <f>VLOOKUP(H102,'NO TOCAR'!$A$2:$D$160,3,FALSE)</f>
        <v>Ocupación máxima personas por mesa  en general</v>
      </c>
      <c r="H102" s="21" t="s">
        <v>28</v>
      </c>
      <c r="I102" s="19" t="str">
        <f>VLOOKUP(H102,'NO TOCAR'!$A$2:$D$160,2,FALSE)</f>
        <v>Restauración, hostelería y bares</v>
      </c>
      <c r="J102" s="19" t="str">
        <f>VLOOKUP(H102,'NO TOCAR'!$A$2:$D$160,4,FALSE)</f>
        <v>RH</v>
      </c>
      <c r="K102" s="19" t="s">
        <v>340</v>
      </c>
      <c r="L102" s="19">
        <v>4</v>
      </c>
      <c r="M102" s="18"/>
      <c r="N102" s="20"/>
      <c r="O102" s="20"/>
      <c r="P102" s="20"/>
      <c r="Q102" s="20"/>
    </row>
    <row r="103" spans="1:17" s="19" customFormat="1" x14ac:dyDescent="0.35">
      <c r="A103" s="19" t="s">
        <v>336</v>
      </c>
      <c r="B103" s="19" t="s">
        <v>337</v>
      </c>
      <c r="D103" s="10">
        <v>44202</v>
      </c>
      <c r="E103" s="10">
        <v>44202</v>
      </c>
      <c r="F103" s="37">
        <v>44216</v>
      </c>
      <c r="G103" s="19" t="str">
        <f>VLOOKUP(H103,'NO TOCAR'!$A$2:$D$160,3,FALSE)</f>
        <v>Limitación de horario en restaurantes y bares</v>
      </c>
      <c r="H103" s="21" t="s">
        <v>276</v>
      </c>
      <c r="I103" s="19" t="str">
        <f>VLOOKUP(H103,'NO TOCAR'!$A$2:$D$160,2,FALSE)</f>
        <v>Restauración, hostelería y bares</v>
      </c>
      <c r="J103" s="19" t="str">
        <f>VLOOKUP(H103,'NO TOCAR'!$A$2:$D$160,4,FALSE)</f>
        <v>RH</v>
      </c>
      <c r="K103" s="19" t="s">
        <v>341</v>
      </c>
      <c r="L103" s="26">
        <v>0.70833333333333337</v>
      </c>
      <c r="M103" s="18"/>
      <c r="N103" s="20"/>
      <c r="O103" s="20"/>
      <c r="P103" s="20"/>
      <c r="Q103" s="20"/>
    </row>
    <row r="104" spans="1:17" s="19" customFormat="1" x14ac:dyDescent="0.35">
      <c r="A104" s="19" t="s">
        <v>336</v>
      </c>
      <c r="B104" s="19" t="s">
        <v>337</v>
      </c>
      <c r="D104" s="10">
        <v>44216</v>
      </c>
      <c r="E104" s="10">
        <v>44217</v>
      </c>
      <c r="F104" s="37"/>
      <c r="G104" s="19" t="str">
        <f>VLOOKUP(H104,'NO TOCAR'!$A$2:$D$160,3,FALSE)</f>
        <v xml:space="preserve">Cierre de centros recreativos de mayores (hogares del jubilado) </v>
      </c>
      <c r="H104" s="21" t="s">
        <v>183</v>
      </c>
      <c r="I104" s="19" t="str">
        <f>VLOOKUP(H104,'NO TOCAR'!$A$2:$D$160,2,FALSE)</f>
        <v>Centros recreativos</v>
      </c>
      <c r="J104" s="19" t="str">
        <f>VLOOKUP(H104,'NO TOCAR'!$A$2:$D$160,4,FALSE)</f>
        <v>CR</v>
      </c>
      <c r="M104" s="18"/>
      <c r="N104" s="20"/>
      <c r="O104" s="20"/>
      <c r="P104" s="20"/>
      <c r="Q104" s="20"/>
    </row>
    <row r="105" spans="1:17" s="19" customFormat="1" x14ac:dyDescent="0.35">
      <c r="A105" s="19" t="s">
        <v>336</v>
      </c>
      <c r="B105" s="19" t="s">
        <v>337</v>
      </c>
      <c r="D105" s="10">
        <v>44216</v>
      </c>
      <c r="E105" s="10">
        <v>44217</v>
      </c>
      <c r="F105" s="37"/>
      <c r="G105" s="19" t="str">
        <f>VLOOKUP(H105,'NO TOCAR'!$A$2:$D$160,3,FALSE)</f>
        <v>Cierre de centros recreativos de jóvenes (ludotecas, centros de ocio juvenil…)</v>
      </c>
      <c r="H105" s="21" t="s">
        <v>187</v>
      </c>
      <c r="I105" s="19" t="str">
        <f>VLOOKUP(H105,'NO TOCAR'!$A$2:$D$160,2,FALSE)</f>
        <v>Centros recreativos</v>
      </c>
      <c r="J105" s="19" t="str">
        <f>VLOOKUP(H105,'NO TOCAR'!$A$2:$D$160,4,FALSE)</f>
        <v>CR</v>
      </c>
      <c r="M105" s="18"/>
      <c r="N105" s="20"/>
      <c r="O105" s="20"/>
      <c r="P105" s="20"/>
      <c r="Q105" s="20"/>
    </row>
    <row r="106" spans="1:17" s="19" customFormat="1" x14ac:dyDescent="0.35">
      <c r="A106" s="19" t="s">
        <v>336</v>
      </c>
      <c r="B106" s="19" t="s">
        <v>337</v>
      </c>
      <c r="D106" s="10">
        <v>44216</v>
      </c>
      <c r="E106" s="10">
        <v>44217</v>
      </c>
      <c r="F106" s="37">
        <v>44255</v>
      </c>
      <c r="G106" s="19" t="str">
        <f>VLOOKUP(H106,'NO TOCAR'!$A$2:$D$160,3,FALSE)</f>
        <v>Cierre general de restaurantes y bares (permitiendo servicio para llevar/consumo en domicilio)</v>
      </c>
      <c r="H106" s="21" t="s">
        <v>271</v>
      </c>
      <c r="I106" s="19" t="str">
        <f>VLOOKUP(H106,'NO TOCAR'!$A$2:$D$160,2,FALSE)</f>
        <v>Restauración, hostelería y bares</v>
      </c>
      <c r="J106" s="19" t="str">
        <f>VLOOKUP(H106,'NO TOCAR'!$A$2:$D$160,4,FALSE)</f>
        <v>RH</v>
      </c>
      <c r="L106" s="26"/>
      <c r="M106" s="18"/>
      <c r="N106" s="20"/>
      <c r="O106" s="20"/>
      <c r="P106" s="20"/>
      <c r="Q106" s="20"/>
    </row>
    <row r="107" spans="1:17" s="19" customFormat="1" x14ac:dyDescent="0.35">
      <c r="A107" s="19" t="s">
        <v>336</v>
      </c>
      <c r="B107" s="19" t="s">
        <v>337</v>
      </c>
      <c r="D107" s="10">
        <v>44216</v>
      </c>
      <c r="E107" s="10">
        <v>44217</v>
      </c>
      <c r="F107" s="37"/>
      <c r="G107" s="19" t="str">
        <f>VLOOKUP(H107,'NO TOCAR'!$A$2:$D$160,3,FALSE)</f>
        <v>Cierre total delocales de apuestas, bingos etc.</v>
      </c>
      <c r="H107" s="21" t="s">
        <v>222</v>
      </c>
      <c r="I107" s="19" t="str">
        <f>VLOOKUP(H107,'NO TOCAR'!$A$2:$D$160,2,FALSE)</f>
        <v>Locales de apuestas</v>
      </c>
      <c r="J107" s="19" t="str">
        <f>VLOOKUP(H107,'NO TOCAR'!$A$2:$D$160,4,FALSE)</f>
        <v>LA</v>
      </c>
      <c r="K107" s="19" t="s">
        <v>341</v>
      </c>
      <c r="L107" s="26">
        <v>4.1666666666666664E-2</v>
      </c>
      <c r="M107" s="18"/>
      <c r="N107" s="20"/>
      <c r="O107" s="20"/>
      <c r="P107" s="20"/>
      <c r="Q107" s="20"/>
    </row>
    <row r="108" spans="1:17" s="19" customFormat="1" x14ac:dyDescent="0.35">
      <c r="A108" s="19" t="s">
        <v>336</v>
      </c>
      <c r="B108" s="19" t="s">
        <v>337</v>
      </c>
      <c r="D108" s="10">
        <v>44202</v>
      </c>
      <c r="E108" s="10">
        <v>44203</v>
      </c>
      <c r="F108" s="37">
        <v>44255</v>
      </c>
      <c r="G108" s="19" t="str">
        <f>VLOOKUP(H108,'NO TOCAR'!$A$2:$D$160,3,FALSE)</f>
        <v>Limitación de horario comercio no esencial</v>
      </c>
      <c r="H108" s="21" t="s">
        <v>173</v>
      </c>
      <c r="I108" s="19" t="str">
        <f>VLOOKUP(H108,'NO TOCAR'!$A$2:$D$160,2,FALSE)</f>
        <v>Comercio</v>
      </c>
      <c r="J108" s="19" t="str">
        <f>VLOOKUP(H108,'NO TOCAR'!$A$2:$D$160,4,FALSE)</f>
        <v>CO</v>
      </c>
      <c r="K108" s="19" t="s">
        <v>341</v>
      </c>
      <c r="L108" s="26">
        <v>0.75</v>
      </c>
      <c r="M108" s="18"/>
      <c r="N108" s="20"/>
      <c r="O108" s="20"/>
      <c r="P108" s="20"/>
      <c r="Q108" s="20"/>
    </row>
    <row r="109" spans="1:17" s="19" customFormat="1" x14ac:dyDescent="0.35">
      <c r="A109" s="19" t="s">
        <v>336</v>
      </c>
      <c r="B109" s="19" t="s">
        <v>337</v>
      </c>
      <c r="D109" s="10">
        <v>44216</v>
      </c>
      <c r="E109" s="10">
        <v>44217</v>
      </c>
      <c r="F109" s="37">
        <v>44222</v>
      </c>
      <c r="G109" s="19" t="s">
        <v>82</v>
      </c>
      <c r="H109" s="21" t="s">
        <v>41</v>
      </c>
      <c r="I109" s="19" t="s">
        <v>61</v>
      </c>
      <c r="J109" s="19" t="s">
        <v>63</v>
      </c>
      <c r="K109" s="19" t="s">
        <v>340</v>
      </c>
      <c r="L109" s="19">
        <v>0</v>
      </c>
      <c r="M109" s="18"/>
      <c r="N109" s="20"/>
      <c r="O109" s="20"/>
      <c r="P109" s="20"/>
      <c r="Q109" s="20"/>
    </row>
    <row r="110" spans="1:17" s="19" customFormat="1" x14ac:dyDescent="0.35">
      <c r="A110" s="19" t="s">
        <v>336</v>
      </c>
      <c r="B110" s="19" t="s">
        <v>337</v>
      </c>
      <c r="D110" s="10">
        <v>44216</v>
      </c>
      <c r="E110" s="10">
        <v>44217</v>
      </c>
      <c r="F110" s="37">
        <v>44220</v>
      </c>
      <c r="G110" s="19" t="s">
        <v>73</v>
      </c>
      <c r="H110" s="21" t="s">
        <v>42</v>
      </c>
      <c r="I110" s="19" t="s">
        <v>61</v>
      </c>
      <c r="J110" s="19" t="s">
        <v>63</v>
      </c>
      <c r="K110" s="19" t="s">
        <v>340</v>
      </c>
      <c r="L110" s="19">
        <v>6</v>
      </c>
      <c r="M110" s="18"/>
      <c r="N110" s="20"/>
      <c r="O110" s="20"/>
      <c r="P110" s="20"/>
      <c r="Q110" s="20"/>
    </row>
    <row r="111" spans="1:17" s="19" customFormat="1" x14ac:dyDescent="0.35">
      <c r="A111" s="19" t="s">
        <v>336</v>
      </c>
      <c r="B111" s="19" t="s">
        <v>337</v>
      </c>
      <c r="D111" s="10">
        <v>44216</v>
      </c>
      <c r="E111" s="10">
        <v>44217</v>
      </c>
      <c r="F111" s="37">
        <v>44222</v>
      </c>
      <c r="G111" s="19" t="str">
        <f>VLOOKUP(H111,'NO TOCAR'!$A$2:$D$160,3,FALSE)</f>
        <v>Cancelación / prohibición de actividades deportivas grupales con contacto físico</v>
      </c>
      <c r="H111" s="28" t="s">
        <v>70</v>
      </c>
      <c r="I111" s="19" t="str">
        <f>VLOOKUP(H111,'NO TOCAR'!$A$2:$D$160,2,FALSE)</f>
        <v>Deporte y actividad física</v>
      </c>
      <c r="J111" s="19" t="str">
        <f>VLOOKUP(H111,'NO TOCAR'!$A$2:$D$160,4,FALSE)</f>
        <v>AF</v>
      </c>
      <c r="M111" s="18"/>
      <c r="N111" s="20"/>
      <c r="O111" s="20"/>
      <c r="P111" s="20"/>
      <c r="Q111" s="20"/>
    </row>
    <row r="112" spans="1:17" s="19" customFormat="1" x14ac:dyDescent="0.35">
      <c r="A112" s="19" t="s">
        <v>336</v>
      </c>
      <c r="B112" s="19" t="s">
        <v>337</v>
      </c>
      <c r="D112" s="10">
        <v>44216</v>
      </c>
      <c r="E112" s="10">
        <v>44217</v>
      </c>
      <c r="F112" s="37">
        <v>44255</v>
      </c>
      <c r="G112" s="19" t="str">
        <f>VLOOKUP(H112,'NO TOCAR'!$A$2:$D$160,3,FALSE)</f>
        <v>Cierre de instalaciones y centros deportivos en general</v>
      </c>
      <c r="H112" s="21" t="s">
        <v>64</v>
      </c>
      <c r="I112" s="19" t="str">
        <f>VLOOKUP(H112,'NO TOCAR'!$A$2:$D$160,2,FALSE)</f>
        <v>Deporte y actividad física</v>
      </c>
      <c r="J112" s="19" t="str">
        <f>VLOOKUP(H112,'NO TOCAR'!$A$2:$D$160,4,FALSE)</f>
        <v>AF</v>
      </c>
      <c r="M112" s="18"/>
      <c r="N112" s="20"/>
      <c r="O112" s="20"/>
      <c r="P112" s="20"/>
      <c r="Q112" s="20"/>
    </row>
    <row r="113" spans="1:17" s="19" customFormat="1" x14ac:dyDescent="0.35">
      <c r="A113" s="19" t="s">
        <v>336</v>
      </c>
      <c r="B113" s="19" t="s">
        <v>337</v>
      </c>
      <c r="D113" s="10">
        <v>44216</v>
      </c>
      <c r="E113" s="10">
        <v>44217</v>
      </c>
      <c r="F113" s="37"/>
      <c r="G113" s="19" t="str">
        <f>VLOOKUP(H113,'NO TOCAR'!$A$2:$D$160,3,FALSE)</f>
        <v>Prohibición de asistencia de público en eventos deportivos en exteriores</v>
      </c>
      <c r="H113" s="21" t="s">
        <v>84</v>
      </c>
      <c r="I113" s="19" t="str">
        <f>VLOOKUP(H113,'NO TOCAR'!$A$2:$D$160,2,FALSE)</f>
        <v>Deporte y actividad física</v>
      </c>
      <c r="J113" s="19" t="str">
        <f>VLOOKUP(H113,'NO TOCAR'!$A$2:$D$160,4,FALSE)</f>
        <v>AF</v>
      </c>
      <c r="M113" s="18"/>
      <c r="N113" s="20"/>
      <c r="O113" s="20"/>
      <c r="P113" s="20"/>
      <c r="Q113" s="20"/>
    </row>
    <row r="114" spans="1:17" s="19" customFormat="1" x14ac:dyDescent="0.35">
      <c r="A114" s="19" t="s">
        <v>336</v>
      </c>
      <c r="B114" s="19" t="s">
        <v>337</v>
      </c>
      <c r="D114" s="10">
        <v>44216</v>
      </c>
      <c r="E114" s="10">
        <v>44217</v>
      </c>
      <c r="F114" s="37"/>
      <c r="G114" s="19" t="str">
        <f>VLOOKUP(H114,'NO TOCAR'!$A$2:$D$160,3,FALSE)</f>
        <v>Prohibición de asistencia de público en eventos deportivos en interiores</v>
      </c>
      <c r="H114" s="21" t="s">
        <v>86</v>
      </c>
      <c r="I114" s="19" t="str">
        <f>VLOOKUP(H114,'NO TOCAR'!$A$2:$D$160,2,FALSE)</f>
        <v>Deporte y actividad física</v>
      </c>
      <c r="J114" s="19" t="str">
        <f>VLOOKUP(H114,'NO TOCAR'!$A$2:$D$160,4,FALSE)</f>
        <v>AF</v>
      </c>
      <c r="M114" s="18"/>
      <c r="N114" s="20"/>
      <c r="O114" s="20"/>
      <c r="P114" s="20"/>
      <c r="Q114" s="20"/>
    </row>
    <row r="115" spans="1:17" s="19" customFormat="1" x14ac:dyDescent="0.35">
      <c r="A115" s="19" t="s">
        <v>336</v>
      </c>
      <c r="B115" s="19" t="s">
        <v>337</v>
      </c>
      <c r="D115" s="10">
        <v>44216</v>
      </c>
      <c r="E115" s="10">
        <v>44217</v>
      </c>
      <c r="F115" s="37">
        <v>44269</v>
      </c>
      <c r="G115" s="19" t="str">
        <f>VLOOKUP(H115,'NO TOCAR'!$A$2:$D$160,3,FALSE)</f>
        <v>Aforo en velatorios, entierros y ceremonias fúnebres en espacios exteriores</v>
      </c>
      <c r="H115" s="21" t="s">
        <v>21</v>
      </c>
      <c r="I115" s="19" t="str">
        <f>VLOOKUP(H115,'NO TOCAR'!$A$2:$D$160,2,FALSE)</f>
        <v>Ceremonias religiosas</v>
      </c>
      <c r="J115" s="19" t="str">
        <f>VLOOKUP(H115,'NO TOCAR'!$A$2:$D$160,4,FALSE)</f>
        <v>CE</v>
      </c>
      <c r="K115" s="19" t="s">
        <v>340</v>
      </c>
      <c r="L115" s="19">
        <v>15</v>
      </c>
      <c r="M115" s="18"/>
      <c r="N115" s="20"/>
      <c r="O115" s="20"/>
      <c r="P115" s="20"/>
      <c r="Q115" s="20"/>
    </row>
    <row r="116" spans="1:17" s="19" customFormat="1" x14ac:dyDescent="0.35">
      <c r="A116" s="19" t="s">
        <v>336</v>
      </c>
      <c r="B116" s="19" t="s">
        <v>337</v>
      </c>
      <c r="D116" s="10">
        <v>44216</v>
      </c>
      <c r="E116" s="10">
        <v>44217</v>
      </c>
      <c r="F116" s="37">
        <v>44269</v>
      </c>
      <c r="G116" s="19" t="str">
        <f>VLOOKUP(H116,'NO TOCAR'!$A$2:$D$160,3,FALSE)</f>
        <v>Aforo velatorios, entierros y ceremonias fúnebres en espacios interiores</v>
      </c>
      <c r="H116" s="21" t="s">
        <v>20</v>
      </c>
      <c r="I116" s="19" t="str">
        <f>VLOOKUP(H116,'NO TOCAR'!$A$2:$D$160,2,FALSE)</f>
        <v>Ceremonias religiosas</v>
      </c>
      <c r="J116" s="19" t="str">
        <f>VLOOKUP(H116,'NO TOCAR'!$A$2:$D$160,4,FALSE)</f>
        <v>CE</v>
      </c>
      <c r="K116" s="19" t="s">
        <v>340</v>
      </c>
      <c r="L116" s="19">
        <v>10</v>
      </c>
      <c r="M116" s="18"/>
      <c r="N116" s="20"/>
      <c r="O116" s="20"/>
      <c r="P116" s="20"/>
      <c r="Q116" s="20"/>
    </row>
    <row r="117" spans="1:17" s="19" customFormat="1" x14ac:dyDescent="0.35">
      <c r="A117" s="19" t="s">
        <v>336</v>
      </c>
      <c r="B117" s="19" t="s">
        <v>337</v>
      </c>
      <c r="D117" s="10">
        <v>44216</v>
      </c>
      <c r="E117" s="10">
        <v>44217</v>
      </c>
      <c r="F117" s="37">
        <v>44269</v>
      </c>
      <c r="G117" s="19" t="str">
        <f>VLOOKUP(H117,'NO TOCAR'!$A$2:$D$160,3,FALSE)</f>
        <v>Aforo en otras ceremonias (bodas, bautizos) en espacios exteriores</v>
      </c>
      <c r="H117" s="21" t="s">
        <v>24</v>
      </c>
      <c r="I117" s="19" t="str">
        <f>VLOOKUP(H117,'NO TOCAR'!$A$2:$D$160,2,FALSE)</f>
        <v>Ceremonias religiosas</v>
      </c>
      <c r="J117" s="19" t="str">
        <f>VLOOKUP(H117,'NO TOCAR'!$A$2:$D$160,4,FALSE)</f>
        <v>CE</v>
      </c>
      <c r="K117" s="19" t="s">
        <v>340</v>
      </c>
      <c r="L117" s="19">
        <v>15</v>
      </c>
      <c r="M117" s="18"/>
      <c r="N117" s="20"/>
      <c r="O117" s="20"/>
      <c r="P117" s="20"/>
      <c r="Q117" s="20"/>
    </row>
    <row r="118" spans="1:17" s="19" customFormat="1" x14ac:dyDescent="0.35">
      <c r="A118" s="19" t="s">
        <v>336</v>
      </c>
      <c r="B118" s="19" t="s">
        <v>337</v>
      </c>
      <c r="D118" s="10">
        <v>44216</v>
      </c>
      <c r="E118" s="10">
        <v>44217</v>
      </c>
      <c r="F118" s="37">
        <v>44269</v>
      </c>
      <c r="G118" s="19" t="str">
        <f>VLOOKUP(H118,'NO TOCAR'!$A$2:$D$160,3,FALSE)</f>
        <v>Aforo en otras ceremonias (bodas, bautizos) en espacios interiores</v>
      </c>
      <c r="H118" s="21" t="s">
        <v>23</v>
      </c>
      <c r="I118" s="19" t="str">
        <f>VLOOKUP(H118,'NO TOCAR'!$A$2:$D$160,2,FALSE)</f>
        <v>Ceremonias religiosas</v>
      </c>
      <c r="J118" s="19" t="str">
        <f>VLOOKUP(H118,'NO TOCAR'!$A$2:$D$160,4,FALSE)</f>
        <v>CE</v>
      </c>
      <c r="K118" s="19" t="s">
        <v>340</v>
      </c>
      <c r="L118" s="19">
        <v>10</v>
      </c>
      <c r="M118" s="18"/>
      <c r="N118" s="20"/>
      <c r="O118" s="20"/>
      <c r="P118" s="20"/>
      <c r="Q118" s="20"/>
    </row>
    <row r="119" spans="1:17" s="36" customFormat="1" x14ac:dyDescent="0.35">
      <c r="A119" s="19" t="s">
        <v>336</v>
      </c>
      <c r="B119" s="19" t="s">
        <v>337</v>
      </c>
      <c r="C119" s="19"/>
      <c r="D119" s="10">
        <v>44183</v>
      </c>
      <c r="E119" s="10">
        <v>44183</v>
      </c>
      <c r="F119" s="37">
        <v>44221</v>
      </c>
      <c r="G119" s="19" t="str">
        <f>VLOOKUP(H119,'NO TOCAR'!$A$2:$D$160,3,FALSE)</f>
        <v>Limitación al número de personas que se pueden reunir en cualquier circunstancia (con excepciones como convivientes, transporte público, contexto laboral o similares)</v>
      </c>
      <c r="H119" s="21" t="s">
        <v>56</v>
      </c>
      <c r="I119" s="19" t="str">
        <f>VLOOKUP(H119,'NO TOCAR'!$A$2:$D$160,2,FALSE)</f>
        <v>Relaciones sociales</v>
      </c>
      <c r="J119" s="19" t="str">
        <f>VLOOKUP(H119,'NO TOCAR'!$A$2:$D$160,4,FALSE)</f>
        <v>RS</v>
      </c>
      <c r="K119" s="19" t="s">
        <v>340</v>
      </c>
      <c r="L119" s="19">
        <v>6</v>
      </c>
      <c r="M119" s="39"/>
      <c r="N119" s="40"/>
      <c r="O119" s="40"/>
      <c r="P119" s="40"/>
      <c r="Q119" s="40"/>
    </row>
    <row r="120" spans="1:17" s="36" customFormat="1" x14ac:dyDescent="0.35">
      <c r="A120" s="19" t="s">
        <v>336</v>
      </c>
      <c r="B120" s="19" t="s">
        <v>337</v>
      </c>
      <c r="C120" s="19"/>
      <c r="D120" s="10">
        <v>44220</v>
      </c>
      <c r="E120" s="10">
        <v>44221</v>
      </c>
      <c r="F120" s="37">
        <v>44255</v>
      </c>
      <c r="G120" s="19" t="str">
        <f>VLOOKUP(H120,'NO TOCAR'!$A$2:$D$160,3,FALSE)</f>
        <v>Limitación al número de personas que se pueden reunir en cualquier circunstancia (con excepciones como convivientes, transporte público, contexto laboral o similares)</v>
      </c>
      <c r="H120" s="21" t="s">
        <v>56</v>
      </c>
      <c r="I120" s="19" t="str">
        <f>VLOOKUP(H120,'NO TOCAR'!$A$2:$D$160,2,FALSE)</f>
        <v>Relaciones sociales</v>
      </c>
      <c r="J120" s="19" t="str">
        <f>VLOOKUP(H120,'NO TOCAR'!$A$2:$D$160,4,FALSE)</f>
        <v>RS</v>
      </c>
      <c r="K120" s="19" t="s">
        <v>340</v>
      </c>
      <c r="L120" s="19">
        <v>2</v>
      </c>
      <c r="M120" s="39"/>
      <c r="N120" s="40"/>
      <c r="O120" s="40"/>
      <c r="P120" s="40"/>
      <c r="Q120" s="40"/>
    </row>
    <row r="121" spans="1:17" s="19" customFormat="1" x14ac:dyDescent="0.35">
      <c r="A121" s="19" t="s">
        <v>908</v>
      </c>
      <c r="B121" s="19" t="s">
        <v>337</v>
      </c>
      <c r="C121" s="19" t="s">
        <v>1455</v>
      </c>
      <c r="D121" s="10">
        <v>44220</v>
      </c>
      <c r="E121" s="10">
        <v>44221</v>
      </c>
      <c r="F121" s="37">
        <v>44255</v>
      </c>
      <c r="G121" s="19" t="str">
        <f>VLOOKUP(H121,'NO TOCAR'!$A$2:$D$160,3,FALSE)</f>
        <v>Restriccion de movilidad interna en el territorio (en niveles inferiores al nivel territorial al que se aplica)</v>
      </c>
      <c r="H121" s="21" t="s">
        <v>343</v>
      </c>
      <c r="I121" s="19" t="str">
        <f>VLOOKUP(H121,'NO TOCAR'!$A$2:$D$160,2,FALSE)</f>
        <v>Movilidad</v>
      </c>
      <c r="J121" s="19" t="str">
        <f>VLOOKUP(H121,'NO TOCAR'!$A$2:$D$160,4,FALSE)</f>
        <v>MV</v>
      </c>
      <c r="K121" s="19" t="s">
        <v>1452</v>
      </c>
      <c r="L121" s="19" t="s">
        <v>1454</v>
      </c>
      <c r="M121" s="45">
        <v>0.42370000000000002</v>
      </c>
      <c r="N121" s="20"/>
      <c r="O121" s="20"/>
      <c r="P121" s="20"/>
      <c r="Q121" s="20"/>
    </row>
    <row r="122" spans="1:17" s="19" customFormat="1" x14ac:dyDescent="0.35">
      <c r="A122" s="19" t="s">
        <v>908</v>
      </c>
      <c r="B122" s="19" t="s">
        <v>337</v>
      </c>
      <c r="C122" s="19" t="s">
        <v>1455</v>
      </c>
      <c r="D122" s="10">
        <v>44220</v>
      </c>
      <c r="E122" s="10">
        <v>44221</v>
      </c>
      <c r="F122" s="37">
        <v>44255</v>
      </c>
      <c r="G122" s="19" t="str">
        <f>VLOOKUP(H122,'NO TOCAR'!$A$2:$D$160,3,FALSE)</f>
        <v>Restriccion de movilidad interna en el territorio (en niveles inferiores al nivel territorial al que se aplica)</v>
      </c>
      <c r="H122" s="21" t="s">
        <v>343</v>
      </c>
      <c r="I122" s="19" t="str">
        <f>VLOOKUP(H122,'NO TOCAR'!$A$2:$D$160,2,FALSE)</f>
        <v>Movilidad</v>
      </c>
      <c r="J122" s="19" t="str">
        <f>VLOOKUP(H122,'NO TOCAR'!$A$2:$D$160,4,FALSE)</f>
        <v>MV</v>
      </c>
      <c r="K122" s="19" t="s">
        <v>1453</v>
      </c>
      <c r="L122" s="19" t="s">
        <v>1454</v>
      </c>
      <c r="M122" s="45">
        <v>0.42370000000000002</v>
      </c>
      <c r="N122" s="20"/>
      <c r="O122" s="20"/>
      <c r="P122" s="20"/>
      <c r="Q122" s="20"/>
    </row>
    <row r="123" spans="1:17" s="19" customFormat="1" x14ac:dyDescent="0.35">
      <c r="A123" s="19" t="s">
        <v>908</v>
      </c>
      <c r="B123" s="19" t="s">
        <v>337</v>
      </c>
      <c r="C123" s="19" t="s">
        <v>1456</v>
      </c>
      <c r="D123" s="10">
        <v>44220</v>
      </c>
      <c r="E123" s="10">
        <v>44221</v>
      </c>
      <c r="F123" s="37">
        <v>44255</v>
      </c>
      <c r="G123" s="19" t="s">
        <v>344</v>
      </c>
      <c r="H123" s="21" t="s">
        <v>343</v>
      </c>
      <c r="I123" s="19" t="s">
        <v>231</v>
      </c>
      <c r="J123" s="19" t="s">
        <v>233</v>
      </c>
      <c r="K123" s="19" t="s">
        <v>1452</v>
      </c>
      <c r="L123" s="19" t="s">
        <v>1454</v>
      </c>
      <c r="M123" s="45">
        <v>0.38519999999999999</v>
      </c>
      <c r="N123" s="20"/>
      <c r="O123" s="20"/>
      <c r="P123" s="20"/>
      <c r="Q123" s="20"/>
    </row>
    <row r="124" spans="1:17" s="19" customFormat="1" x14ac:dyDescent="0.35">
      <c r="A124" s="19" t="s">
        <v>908</v>
      </c>
      <c r="B124" s="19" t="s">
        <v>337</v>
      </c>
      <c r="C124" s="19" t="s">
        <v>1456</v>
      </c>
      <c r="D124" s="10">
        <v>44220</v>
      </c>
      <c r="E124" s="10">
        <v>44221</v>
      </c>
      <c r="F124" s="37">
        <v>44255</v>
      </c>
      <c r="G124" s="19" t="s">
        <v>344</v>
      </c>
      <c r="H124" s="21" t="s">
        <v>343</v>
      </c>
      <c r="I124" s="19" t="s">
        <v>231</v>
      </c>
      <c r="J124" s="19" t="s">
        <v>233</v>
      </c>
      <c r="K124" s="19" t="s">
        <v>1453</v>
      </c>
      <c r="L124" s="19" t="s">
        <v>1454</v>
      </c>
      <c r="M124" s="45">
        <v>0.38519999999999999</v>
      </c>
      <c r="N124" s="20"/>
      <c r="O124" s="20"/>
      <c r="P124" s="20"/>
      <c r="Q124" s="20"/>
    </row>
    <row r="125" spans="1:17" s="19" customFormat="1" x14ac:dyDescent="0.35">
      <c r="A125" s="19" t="s">
        <v>908</v>
      </c>
      <c r="B125" s="19" t="s">
        <v>337</v>
      </c>
      <c r="C125" s="19" t="s">
        <v>1457</v>
      </c>
      <c r="D125" s="10">
        <v>44220</v>
      </c>
      <c r="E125" s="10">
        <v>44221</v>
      </c>
      <c r="F125" s="37">
        <v>44255</v>
      </c>
      <c r="G125" s="19" t="s">
        <v>344</v>
      </c>
      <c r="H125" s="21" t="s">
        <v>343</v>
      </c>
      <c r="I125" s="19" t="s">
        <v>231</v>
      </c>
      <c r="J125" s="19" t="s">
        <v>233</v>
      </c>
      <c r="K125" s="19" t="s">
        <v>1452</v>
      </c>
      <c r="L125" s="19" t="s">
        <v>1454</v>
      </c>
      <c r="M125" s="45">
        <v>0.51970000000000005</v>
      </c>
      <c r="N125" s="20"/>
      <c r="O125" s="20"/>
      <c r="P125" s="20"/>
      <c r="Q125" s="20"/>
    </row>
    <row r="126" spans="1:17" s="19" customFormat="1" x14ac:dyDescent="0.35">
      <c r="A126" s="19" t="s">
        <v>908</v>
      </c>
      <c r="B126" s="19" t="s">
        <v>337</v>
      </c>
      <c r="C126" s="19" t="s">
        <v>1457</v>
      </c>
      <c r="D126" s="10">
        <v>44220</v>
      </c>
      <c r="E126" s="10">
        <v>44221</v>
      </c>
      <c r="F126" s="37">
        <v>44255</v>
      </c>
      <c r="G126" s="19" t="s">
        <v>344</v>
      </c>
      <c r="H126" s="21" t="s">
        <v>343</v>
      </c>
      <c r="I126" s="19" t="s">
        <v>231</v>
      </c>
      <c r="J126" s="19" t="s">
        <v>233</v>
      </c>
      <c r="K126" s="19" t="s">
        <v>1453</v>
      </c>
      <c r="L126" s="19" t="s">
        <v>1454</v>
      </c>
      <c r="M126" s="45">
        <v>0.51970000000000005</v>
      </c>
      <c r="N126" s="20"/>
      <c r="O126" s="20"/>
      <c r="P126" s="20"/>
      <c r="Q126" s="20"/>
    </row>
    <row r="127" spans="1:17" s="36" customFormat="1" x14ac:dyDescent="0.35">
      <c r="A127" s="19" t="s">
        <v>336</v>
      </c>
      <c r="B127" s="19" t="s">
        <v>337</v>
      </c>
      <c r="C127" s="19"/>
      <c r="D127" s="10">
        <v>44253</v>
      </c>
      <c r="E127" s="10">
        <v>44256</v>
      </c>
      <c r="F127" s="37"/>
      <c r="G127" s="19" t="str">
        <f>VLOOKUP(H127,'NO TOCAR'!$A$2:$D$160,3,FALSE)</f>
        <v>Limitación al número de personas que se pueden reunir en cualquier circunstancia (con excepciones como convivientes, transporte público, contexto laboral o similares)</v>
      </c>
      <c r="H127" s="21" t="s">
        <v>56</v>
      </c>
      <c r="I127" s="19" t="str">
        <f>VLOOKUP(H127,'NO TOCAR'!$A$2:$D$160,2,FALSE)</f>
        <v>Relaciones sociales</v>
      </c>
      <c r="J127" s="19" t="str">
        <f>VLOOKUP(H127,'NO TOCAR'!$A$2:$D$160,4,FALSE)</f>
        <v>RS</v>
      </c>
      <c r="K127" s="19" t="s">
        <v>340</v>
      </c>
      <c r="L127" s="19">
        <v>4</v>
      </c>
      <c r="M127" s="39"/>
      <c r="N127" s="40"/>
      <c r="O127" s="40"/>
      <c r="P127" s="40"/>
      <c r="Q127" s="40"/>
    </row>
    <row r="128" spans="1:17" s="19" customFormat="1" x14ac:dyDescent="0.35">
      <c r="A128" s="19" t="s">
        <v>336</v>
      </c>
      <c r="B128" s="19" t="s">
        <v>337</v>
      </c>
      <c r="D128" s="10">
        <v>44222</v>
      </c>
      <c r="E128" s="10">
        <v>44256</v>
      </c>
      <c r="F128" s="37">
        <v>44269</v>
      </c>
      <c r="G128" s="19" t="str">
        <f>VLOOKUP(H128,'NO TOCAR'!$A$2:$D$160,3,FALSE)</f>
        <v xml:space="preserve">Cierre únicamente de zonas interiores de restaurantes y bares </v>
      </c>
      <c r="H128" s="28" t="s">
        <v>273</v>
      </c>
      <c r="I128" s="19" t="str">
        <f>VLOOKUP(H128,'NO TOCAR'!$A$2:$D$160,2,FALSE)</f>
        <v>Restauración, hostelería y bares</v>
      </c>
      <c r="J128" s="19" t="str">
        <f>VLOOKUP(H128,'NO TOCAR'!$A$2:$D$160,4,FALSE)</f>
        <v>RH</v>
      </c>
      <c r="M128" s="18"/>
      <c r="N128" s="20"/>
      <c r="O128" s="20"/>
      <c r="P128" s="20"/>
      <c r="Q128" s="20"/>
    </row>
    <row r="129" spans="1:17" s="19" customFormat="1" x14ac:dyDescent="0.35">
      <c r="A129" s="19" t="s">
        <v>336</v>
      </c>
      <c r="B129" s="19" t="s">
        <v>337</v>
      </c>
      <c r="D129" s="10">
        <v>44222</v>
      </c>
      <c r="E129" s="10">
        <v>44256</v>
      </c>
      <c r="F129" s="37">
        <v>44269</v>
      </c>
      <c r="G129" s="19" t="str">
        <f>VLOOKUP(H129,'NO TOCAR'!$A$2:$D$160,3,FALSE)</f>
        <v>Aforo en terrazas al aire libre</v>
      </c>
      <c r="H129" s="28" t="s">
        <v>278</v>
      </c>
      <c r="I129" s="19" t="str">
        <f>VLOOKUP(H129,'NO TOCAR'!$A$2:$D$160,2,FALSE)</f>
        <v>Restauración, hostelería y bares</v>
      </c>
      <c r="J129" s="19" t="str">
        <f>VLOOKUP(H129,'NO TOCAR'!$A$2:$D$160,4,FALSE)</f>
        <v>RH</v>
      </c>
      <c r="K129" s="19" t="s">
        <v>339</v>
      </c>
      <c r="L129" s="19">
        <v>75</v>
      </c>
      <c r="M129" s="18"/>
      <c r="N129" s="20"/>
      <c r="O129" s="20"/>
      <c r="P129" s="20"/>
      <c r="Q129" s="20"/>
    </row>
    <row r="130" spans="1:17" s="19" customFormat="1" x14ac:dyDescent="0.35">
      <c r="B130" s="19" t="s">
        <v>337</v>
      </c>
      <c r="D130" s="10">
        <v>44222</v>
      </c>
      <c r="E130" s="10">
        <v>44256</v>
      </c>
      <c r="F130" s="37"/>
      <c r="G130" s="19" t="str">
        <f>VLOOKUP(H130,'NO TOCAR'!$A$2:$D$160,3,FALSE)</f>
        <v>Ocupación máxima personas por mesa  en general</v>
      </c>
      <c r="H130" s="28" t="s">
        <v>28</v>
      </c>
      <c r="I130" s="19" t="str">
        <f>VLOOKUP(H130,'NO TOCAR'!$A$2:$D$160,2,FALSE)</f>
        <v>Restauración, hostelería y bares</v>
      </c>
      <c r="J130" s="19" t="str">
        <f>VLOOKUP(H130,'NO TOCAR'!$A$2:$D$160,4,FALSE)</f>
        <v>RH</v>
      </c>
      <c r="K130" s="19" t="s">
        <v>339</v>
      </c>
      <c r="L130" s="19">
        <v>4</v>
      </c>
      <c r="M130" s="18"/>
      <c r="N130" s="20"/>
      <c r="O130" s="20"/>
      <c r="P130" s="20"/>
      <c r="Q130" s="20"/>
    </row>
    <row r="131" spans="1:17" s="19" customFormat="1" x14ac:dyDescent="0.35">
      <c r="B131" s="19" t="s">
        <v>337</v>
      </c>
      <c r="D131" s="10">
        <v>44222</v>
      </c>
      <c r="E131" s="10">
        <v>44256</v>
      </c>
      <c r="F131" s="37"/>
      <c r="G131" s="19" t="str">
        <f>VLOOKUP(H131,'NO TOCAR'!$A$2:$D$160,3,FALSE)</f>
        <v>Limitación de horario en restaurantes y bares</v>
      </c>
      <c r="H131" s="28" t="s">
        <v>276</v>
      </c>
      <c r="I131" s="19" t="str">
        <f>VLOOKUP(H131,'NO TOCAR'!$A$2:$D$160,2,FALSE)</f>
        <v>Restauración, hostelería y bares</v>
      </c>
      <c r="J131" s="19" t="str">
        <f>VLOOKUP(H131,'NO TOCAR'!$A$2:$D$160,4,FALSE)</f>
        <v>RH</v>
      </c>
      <c r="K131" s="19" t="s">
        <v>339</v>
      </c>
      <c r="L131" s="26">
        <v>0.75</v>
      </c>
      <c r="M131" s="18"/>
      <c r="N131" s="20"/>
      <c r="O131" s="20"/>
      <c r="P131" s="20"/>
      <c r="Q131" s="20"/>
    </row>
    <row r="132" spans="1:17" s="19" customFormat="1" x14ac:dyDescent="0.35">
      <c r="B132" s="19" t="s">
        <v>337</v>
      </c>
      <c r="D132" s="10">
        <v>44222</v>
      </c>
      <c r="E132" s="10">
        <v>44256</v>
      </c>
      <c r="F132" s="37"/>
      <c r="G132" s="19" t="str">
        <f>VLOOKUP(H132,'NO TOCAR'!$A$2:$D$160,3,FALSE)</f>
        <v>Prohibición de consumo en barra</v>
      </c>
      <c r="H132" s="28" t="s">
        <v>274</v>
      </c>
      <c r="I132" s="19" t="str">
        <f>VLOOKUP(H132,'NO TOCAR'!$A$2:$D$160,2,FALSE)</f>
        <v>Restauración, hostelería y bares</v>
      </c>
      <c r="J132" s="19" t="str">
        <f>VLOOKUP(H132,'NO TOCAR'!$A$2:$D$160,4,FALSE)</f>
        <v>RH</v>
      </c>
      <c r="M132" s="18"/>
      <c r="N132" s="20"/>
      <c r="O132" s="20"/>
      <c r="P132" s="20"/>
      <c r="Q132" s="20"/>
    </row>
    <row r="133" spans="1:17" s="19" customFormat="1" x14ac:dyDescent="0.35">
      <c r="A133" s="19" t="s">
        <v>336</v>
      </c>
      <c r="B133" s="19" t="s">
        <v>337</v>
      </c>
      <c r="D133" s="10">
        <v>44222</v>
      </c>
      <c r="E133" s="10">
        <v>44256</v>
      </c>
      <c r="F133" s="37"/>
      <c r="G133" s="19" t="str">
        <f>VLOOKUP(H133,'NO TOCAR'!$A$2:$D$160,3,FALSE)</f>
        <v>Aforo de locales comerciales en general</v>
      </c>
      <c r="H133" s="21" t="s">
        <v>25</v>
      </c>
      <c r="I133" s="19" t="str">
        <f>VLOOKUP(H133,'NO TOCAR'!$A$2:$D$160,2,FALSE)</f>
        <v>Comercio</v>
      </c>
      <c r="J133" s="19" t="str">
        <f>VLOOKUP(H133,'NO TOCAR'!$A$2:$D$160,4,FALSE)</f>
        <v>CO</v>
      </c>
      <c r="K133" s="19" t="s">
        <v>339</v>
      </c>
      <c r="L133" s="19">
        <v>50</v>
      </c>
      <c r="M133" s="18"/>
      <c r="N133" s="20"/>
      <c r="O133" s="20"/>
      <c r="P133" s="20"/>
      <c r="Q133" s="20"/>
    </row>
    <row r="134" spans="1:17" s="19" customFormat="1" x14ac:dyDescent="0.35">
      <c r="A134" s="19" t="s">
        <v>336</v>
      </c>
      <c r="B134" s="19" t="s">
        <v>337</v>
      </c>
      <c r="D134" s="10">
        <v>44222</v>
      </c>
      <c r="E134" s="10">
        <v>44256</v>
      </c>
      <c r="F134" s="37"/>
      <c r="G134" s="19" t="str">
        <f>VLOOKUP(H134,'NO TOCAR'!$A$2:$D$160,3,FALSE)</f>
        <v>Limitación de horario comercio no esencial</v>
      </c>
      <c r="H134" s="21" t="s">
        <v>173</v>
      </c>
      <c r="I134" s="19" t="str">
        <f>VLOOKUP(H134,'NO TOCAR'!$A$2:$D$160,2,FALSE)</f>
        <v>Comercio</v>
      </c>
      <c r="J134" s="19" t="str">
        <f>VLOOKUP(H134,'NO TOCAR'!$A$2:$D$160,4,FALSE)</f>
        <v>CO</v>
      </c>
      <c r="K134" s="19" t="s">
        <v>341</v>
      </c>
      <c r="L134" s="26">
        <v>0.83333333333333337</v>
      </c>
      <c r="M134" s="18"/>
      <c r="N134" s="20"/>
      <c r="O134" s="20"/>
      <c r="P134" s="20"/>
      <c r="Q134" s="20"/>
    </row>
    <row r="135" spans="1:17" s="19" customFormat="1" x14ac:dyDescent="0.35">
      <c r="A135" s="19" t="s">
        <v>336</v>
      </c>
      <c r="B135" s="19" t="s">
        <v>337</v>
      </c>
      <c r="D135" s="10">
        <v>44253</v>
      </c>
      <c r="E135" s="10">
        <v>44256</v>
      </c>
      <c r="F135" s="37"/>
      <c r="G135" s="19" t="str">
        <f>VLOOKUP(H135,'NO TOCAR'!$A$2:$D$160,3,FALSE)</f>
        <v>Limitación de horario en parques y jardines</v>
      </c>
      <c r="H135" s="21" t="s">
        <v>265</v>
      </c>
      <c r="I135" s="19" t="str">
        <f>VLOOKUP(H135,'NO TOCAR'!$A$2:$D$160,2,FALSE)</f>
        <v>Parques</v>
      </c>
      <c r="J135" s="19" t="str">
        <f>VLOOKUP(H135,'NO TOCAR'!$A$2:$D$160,4,FALSE)</f>
        <v>PA</v>
      </c>
      <c r="K135" s="19" t="s">
        <v>341</v>
      </c>
      <c r="L135" s="26">
        <v>0.91666666666666663</v>
      </c>
      <c r="M135" s="18"/>
      <c r="N135" s="20"/>
      <c r="O135" s="20"/>
      <c r="P135" s="20"/>
      <c r="Q135" s="20"/>
    </row>
    <row r="136" spans="1:17" s="19" customFormat="1" x14ac:dyDescent="0.35">
      <c r="A136" s="19" t="s">
        <v>336</v>
      </c>
      <c r="B136" s="19" t="s">
        <v>337</v>
      </c>
      <c r="D136" s="10">
        <v>44222</v>
      </c>
      <c r="E136" s="10">
        <v>44256</v>
      </c>
      <c r="F136" s="37">
        <v>44269</v>
      </c>
      <c r="G136" s="19" t="str">
        <f>VLOOKUP(H136,'NO TOCAR'!$A$2:$D$160,3,FALSE)</f>
        <v>Cierre de instalaciones y centros deportivos en zonas interiores (manteniéndose las exteriores)</v>
      </c>
      <c r="H136" s="21" t="s">
        <v>66</v>
      </c>
      <c r="I136" s="19" t="str">
        <f>VLOOKUP(H136,'NO TOCAR'!$A$2:$D$160,2,FALSE)</f>
        <v>Deporte y actividad física</v>
      </c>
      <c r="J136" s="19" t="str">
        <f>VLOOKUP(H136,'NO TOCAR'!$A$2:$D$160,4,FALSE)</f>
        <v>AF</v>
      </c>
      <c r="M136" s="18"/>
      <c r="N136" s="20"/>
      <c r="O136" s="20"/>
      <c r="P136" s="20"/>
      <c r="Q136" s="20"/>
    </row>
    <row r="137" spans="1:17" s="19" customFormat="1" x14ac:dyDescent="0.35">
      <c r="A137" s="19" t="s">
        <v>336</v>
      </c>
      <c r="B137" s="19" t="s">
        <v>337</v>
      </c>
      <c r="D137" s="10">
        <v>44220</v>
      </c>
      <c r="E137" s="10">
        <v>44221</v>
      </c>
      <c r="F137" s="37">
        <v>44255</v>
      </c>
      <c r="G137" s="19" t="s">
        <v>73</v>
      </c>
      <c r="H137" s="21" t="s">
        <v>42</v>
      </c>
      <c r="I137" s="19" t="s">
        <v>61</v>
      </c>
      <c r="J137" s="19" t="s">
        <v>63</v>
      </c>
      <c r="K137" s="19" t="s">
        <v>340</v>
      </c>
      <c r="L137" s="19">
        <v>2</v>
      </c>
      <c r="M137" s="18"/>
      <c r="N137" s="20"/>
      <c r="O137" s="20"/>
      <c r="P137" s="20"/>
      <c r="Q137" s="20"/>
    </row>
    <row r="138" spans="1:17" s="19" customFormat="1" x14ac:dyDescent="0.35">
      <c r="A138" s="19" t="s">
        <v>336</v>
      </c>
      <c r="B138" s="19" t="s">
        <v>337</v>
      </c>
      <c r="D138" s="10">
        <v>44222</v>
      </c>
      <c r="E138" s="10">
        <v>44256</v>
      </c>
      <c r="F138" s="37"/>
      <c r="G138" s="19" t="s">
        <v>73</v>
      </c>
      <c r="H138" s="21" t="s">
        <v>42</v>
      </c>
      <c r="I138" s="19" t="s">
        <v>61</v>
      </c>
      <c r="J138" s="19" t="s">
        <v>63</v>
      </c>
      <c r="K138" s="19" t="s">
        <v>340</v>
      </c>
      <c r="L138" s="19">
        <v>4</v>
      </c>
      <c r="M138" s="18"/>
      <c r="N138" s="20"/>
      <c r="O138" s="20"/>
      <c r="P138" s="20"/>
      <c r="Q138" s="20"/>
    </row>
    <row r="139" spans="1:17" s="19" customFormat="1" x14ac:dyDescent="0.35">
      <c r="B139" s="19" t="s">
        <v>337</v>
      </c>
      <c r="D139" s="10">
        <v>44222</v>
      </c>
      <c r="E139" s="10">
        <v>44256</v>
      </c>
      <c r="F139" s="37"/>
      <c r="G139" s="19" t="s">
        <v>73</v>
      </c>
      <c r="H139" s="21" t="s">
        <v>70</v>
      </c>
      <c r="I139" s="19" t="s">
        <v>61</v>
      </c>
      <c r="J139" s="19" t="s">
        <v>63</v>
      </c>
      <c r="M139" s="18"/>
      <c r="N139" s="20"/>
      <c r="O139" s="20"/>
      <c r="P139" s="20"/>
      <c r="Q139" s="20"/>
    </row>
    <row r="140" spans="1:17" s="19" customFormat="1" x14ac:dyDescent="0.35">
      <c r="A140" s="19" t="s">
        <v>336</v>
      </c>
      <c r="B140" s="19" t="s">
        <v>337</v>
      </c>
      <c r="D140" s="10">
        <v>44222</v>
      </c>
      <c r="E140" s="10">
        <v>44256</v>
      </c>
      <c r="F140" s="37"/>
      <c r="G140" s="19" t="str">
        <f>VLOOKUP(H140,'NO TOCAR'!$A$2:$D$160,3,FALSE)</f>
        <v>Limitación de aforo ZONAS EXTERIORES de instalaciones y centros deportivos (fuera del ámbito regulado por el Consejo Superior de Deportes)</v>
      </c>
      <c r="H140" s="21" t="s">
        <v>46</v>
      </c>
      <c r="I140" s="19" t="str">
        <f>VLOOKUP(H140,'NO TOCAR'!$A$2:$D$160,2,FALSE)</f>
        <v>Deporte y actividad física</v>
      </c>
      <c r="J140" s="19" t="str">
        <f>VLOOKUP(H140,'NO TOCAR'!$A$2:$D$160,4,FALSE)</f>
        <v>AF</v>
      </c>
      <c r="K140" s="19" t="s">
        <v>338</v>
      </c>
      <c r="L140" s="19">
        <v>2.25</v>
      </c>
      <c r="M140" s="18"/>
      <c r="N140" s="20"/>
      <c r="O140" s="20"/>
      <c r="P140" s="20"/>
      <c r="Q140" s="20"/>
    </row>
    <row r="141" spans="1:17" s="36" customFormat="1" x14ac:dyDescent="0.35">
      <c r="A141" s="19" t="s">
        <v>336</v>
      </c>
      <c r="B141" s="36" t="s">
        <v>337</v>
      </c>
      <c r="D141" s="37">
        <v>44140</v>
      </c>
      <c r="E141" s="37">
        <v>44141</v>
      </c>
      <c r="F141" s="37"/>
      <c r="G141" s="36" t="str">
        <f>VLOOKUP(H141,'NO TOCAR'!$A$2:$D$160,3,FALSE)</f>
        <v>Aforo en lugares de culto</v>
      </c>
      <c r="H141" s="38" t="s">
        <v>22</v>
      </c>
      <c r="I141" s="36" t="str">
        <f>VLOOKUP(H141,'NO TOCAR'!$A$2:$D$160,2,FALSE)</f>
        <v>Ceremonias religiosas</v>
      </c>
      <c r="J141" s="36" t="str">
        <f>VLOOKUP(H141,'NO TOCAR'!$A$2:$D$160,4,FALSE)</f>
        <v>CE</v>
      </c>
      <c r="K141" s="19" t="s">
        <v>339</v>
      </c>
      <c r="L141" s="19">
        <v>30</v>
      </c>
      <c r="M141" s="39"/>
      <c r="N141" s="40"/>
      <c r="O141" s="40"/>
      <c r="P141" s="40"/>
      <c r="Q141" s="40"/>
    </row>
    <row r="142" spans="1:17" s="36" customFormat="1" x14ac:dyDescent="0.35">
      <c r="A142" s="19" t="s">
        <v>336</v>
      </c>
      <c r="B142" s="36" t="s">
        <v>337</v>
      </c>
      <c r="D142" s="37">
        <v>44267</v>
      </c>
      <c r="E142" s="37">
        <v>44270</v>
      </c>
      <c r="F142" s="37"/>
      <c r="G142" s="36" t="str">
        <f>VLOOKUP(H142,'NO TOCAR'!$A$2:$D$160,3,FALSE)</f>
        <v>Aforo en lugares de culto</v>
      </c>
      <c r="H142" s="38" t="s">
        <v>22</v>
      </c>
      <c r="I142" s="36" t="str">
        <f>VLOOKUP(H142,'NO TOCAR'!$A$2:$D$160,2,FALSE)</f>
        <v>Ceremonias religiosas</v>
      </c>
      <c r="J142" s="36" t="str">
        <f>VLOOKUP(H142,'NO TOCAR'!$A$2:$D$160,4,FALSE)</f>
        <v>CE</v>
      </c>
      <c r="K142" s="19" t="s">
        <v>339</v>
      </c>
      <c r="L142" s="19">
        <v>50</v>
      </c>
      <c r="M142" s="39"/>
      <c r="N142" s="40"/>
      <c r="O142" s="40"/>
      <c r="P142" s="40"/>
      <c r="Q142" s="40"/>
    </row>
    <row r="143" spans="1:17" s="19" customFormat="1" x14ac:dyDescent="0.35">
      <c r="A143" s="19" t="s">
        <v>336</v>
      </c>
      <c r="B143" s="19" t="s">
        <v>337</v>
      </c>
      <c r="D143" s="10">
        <v>44216</v>
      </c>
      <c r="E143" s="10">
        <v>44217</v>
      </c>
      <c r="F143" s="37"/>
      <c r="G143" s="19" t="str">
        <f>VLOOKUP(H143,'NO TOCAR'!$A$2:$D$160,3,FALSE)</f>
        <v>Aforo velatorios, entierros y ceremonias fúnebres en espacios interiores</v>
      </c>
      <c r="H143" s="21" t="s">
        <v>20</v>
      </c>
      <c r="I143" s="19" t="str">
        <f>VLOOKUP(H143,'NO TOCAR'!$A$2:$D$160,2,FALSE)</f>
        <v>Ceremonias religiosas</v>
      </c>
      <c r="J143" s="19" t="str">
        <f>VLOOKUP(H143,'NO TOCAR'!$A$2:$D$160,4,FALSE)</f>
        <v>CE</v>
      </c>
      <c r="K143" s="19" t="s">
        <v>340</v>
      </c>
      <c r="L143" s="19">
        <v>10</v>
      </c>
      <c r="M143" s="18"/>
      <c r="N143" s="20"/>
      <c r="O143" s="20"/>
      <c r="P143" s="20"/>
      <c r="Q143" s="20"/>
    </row>
    <row r="144" spans="1:17" s="19" customFormat="1" x14ac:dyDescent="0.35">
      <c r="A144" s="19" t="s">
        <v>336</v>
      </c>
      <c r="B144" s="19" t="s">
        <v>337</v>
      </c>
      <c r="D144" s="10">
        <v>44267</v>
      </c>
      <c r="E144" s="10">
        <v>44270</v>
      </c>
      <c r="F144" s="37"/>
      <c r="G144" s="19" t="str">
        <f>VLOOKUP(H144,'NO TOCAR'!$A$2:$D$160,3,FALSE)</f>
        <v>Aforo en velatorios, entierros y ceremonias fúnebres en espacios exteriores</v>
      </c>
      <c r="H144" s="21" t="s">
        <v>21</v>
      </c>
      <c r="I144" s="19" t="str">
        <f>VLOOKUP(H144,'NO TOCAR'!$A$2:$D$160,2,FALSE)</f>
        <v>Ceremonias religiosas</v>
      </c>
      <c r="J144" s="19" t="str">
        <f>VLOOKUP(H144,'NO TOCAR'!$A$2:$D$160,4,FALSE)</f>
        <v>CE</v>
      </c>
      <c r="K144" s="19" t="s">
        <v>340</v>
      </c>
      <c r="L144" s="19">
        <v>20</v>
      </c>
      <c r="M144" s="18"/>
      <c r="N144" s="20"/>
      <c r="O144" s="20"/>
      <c r="P144" s="20"/>
      <c r="Q144" s="20"/>
    </row>
    <row r="145" spans="1:17" s="19" customFormat="1" x14ac:dyDescent="0.35">
      <c r="A145" s="19" t="s">
        <v>336</v>
      </c>
      <c r="B145" s="19" t="s">
        <v>337</v>
      </c>
      <c r="D145" s="10">
        <v>44267</v>
      </c>
      <c r="E145" s="10">
        <v>44270</v>
      </c>
      <c r="F145" s="37"/>
      <c r="G145" s="19" t="str">
        <f>VLOOKUP(H145,'NO TOCAR'!$A$2:$D$160,3,FALSE)</f>
        <v>Aforo velatorios, entierros y ceremonias fúnebres en espacios interiores</v>
      </c>
      <c r="H145" s="21" t="s">
        <v>20</v>
      </c>
      <c r="I145" s="19" t="str">
        <f>VLOOKUP(H145,'NO TOCAR'!$A$2:$D$160,2,FALSE)</f>
        <v>Ceremonias religiosas</v>
      </c>
      <c r="J145" s="19" t="str">
        <f>VLOOKUP(H145,'NO TOCAR'!$A$2:$D$160,4,FALSE)</f>
        <v>CE</v>
      </c>
      <c r="K145" s="19" t="s">
        <v>340</v>
      </c>
      <c r="L145" s="19">
        <v>15</v>
      </c>
      <c r="M145" s="18"/>
      <c r="N145" s="20"/>
      <c r="O145" s="20"/>
      <c r="P145" s="20"/>
      <c r="Q145" s="20"/>
    </row>
    <row r="146" spans="1:17" s="19" customFormat="1" x14ac:dyDescent="0.35">
      <c r="A146" s="19" t="s">
        <v>336</v>
      </c>
      <c r="B146" s="19" t="s">
        <v>337</v>
      </c>
      <c r="D146" s="10">
        <v>44267</v>
      </c>
      <c r="E146" s="10">
        <v>44270</v>
      </c>
      <c r="F146" s="37"/>
      <c r="G146" s="19" t="str">
        <f>VLOOKUP(H146,'NO TOCAR'!$A$2:$D$160,3,FALSE)</f>
        <v>Aforo velatorios, entierros y ceremonias fúnebres en espacios interiores</v>
      </c>
      <c r="H146" s="21" t="s">
        <v>20</v>
      </c>
      <c r="I146" s="19" t="str">
        <f>VLOOKUP(H146,'NO TOCAR'!$A$2:$D$160,2,FALSE)</f>
        <v>Ceremonias religiosas</v>
      </c>
      <c r="J146" s="19" t="str">
        <f>VLOOKUP(H146,'NO TOCAR'!$A$2:$D$160,4,FALSE)</f>
        <v>CE</v>
      </c>
      <c r="K146" s="19" t="s">
        <v>340</v>
      </c>
      <c r="L146" s="19">
        <v>15</v>
      </c>
      <c r="M146" s="18"/>
      <c r="N146" s="20"/>
      <c r="O146" s="20"/>
      <c r="P146" s="20"/>
      <c r="Q146" s="20"/>
    </row>
    <row r="147" spans="1:17" s="19" customFormat="1" x14ac:dyDescent="0.35">
      <c r="A147" s="19" t="s">
        <v>336</v>
      </c>
      <c r="B147" s="19" t="s">
        <v>337</v>
      </c>
      <c r="D147" s="10">
        <v>44267</v>
      </c>
      <c r="E147" s="10">
        <v>44270</v>
      </c>
      <c r="F147" s="37"/>
      <c r="G147" s="19" t="str">
        <f>VLOOKUP(H147,'NO TOCAR'!$A$2:$D$160,3,FALSE)</f>
        <v>Aforo en otras ceremonias (bodas, bautizos) en espacios exteriores</v>
      </c>
      <c r="H147" s="21" t="s">
        <v>24</v>
      </c>
      <c r="I147" s="19" t="str">
        <f>VLOOKUP(H147,'NO TOCAR'!$A$2:$D$160,2,FALSE)</f>
        <v>Ceremonias religiosas</v>
      </c>
      <c r="J147" s="19" t="str">
        <f>VLOOKUP(H147,'NO TOCAR'!$A$2:$D$160,4,FALSE)</f>
        <v>CE</v>
      </c>
      <c r="K147" s="19" t="s">
        <v>340</v>
      </c>
      <c r="L147" s="19">
        <v>20</v>
      </c>
      <c r="M147" s="18"/>
      <c r="N147" s="20"/>
      <c r="O147" s="20"/>
      <c r="P147" s="20"/>
      <c r="Q147" s="20"/>
    </row>
    <row r="148" spans="1:17" s="19" customFormat="1" x14ac:dyDescent="0.35">
      <c r="A148" s="19" t="s">
        <v>336</v>
      </c>
      <c r="B148" s="19" t="s">
        <v>337</v>
      </c>
      <c r="D148" s="10">
        <v>44267</v>
      </c>
      <c r="E148" s="10">
        <v>44270</v>
      </c>
      <c r="F148" s="37"/>
      <c r="G148" s="19" t="str">
        <f>VLOOKUP(H148,'NO TOCAR'!$A$2:$D$160,3,FALSE)</f>
        <v>Aforo en terrazas al aire libre</v>
      </c>
      <c r="H148" s="28" t="s">
        <v>278</v>
      </c>
      <c r="I148" s="19" t="str">
        <f>VLOOKUP(H148,'NO TOCAR'!$A$2:$D$160,2,FALSE)</f>
        <v>Restauración, hostelería y bares</v>
      </c>
      <c r="J148" s="19" t="str">
        <f>VLOOKUP(H148,'NO TOCAR'!$A$2:$D$160,4,FALSE)</f>
        <v>RH</v>
      </c>
      <c r="K148" s="19" t="s">
        <v>339</v>
      </c>
      <c r="L148" s="19">
        <v>100</v>
      </c>
      <c r="M148" s="18"/>
      <c r="N148" s="20"/>
      <c r="O148" s="20"/>
      <c r="P148" s="20"/>
      <c r="Q148" s="20"/>
    </row>
    <row r="149" spans="1:17" s="19" customFormat="1" x14ac:dyDescent="0.35">
      <c r="A149" s="19" t="s">
        <v>336</v>
      </c>
      <c r="B149" s="19" t="s">
        <v>337</v>
      </c>
      <c r="D149" s="10">
        <v>44267</v>
      </c>
      <c r="E149" s="10">
        <v>44270</v>
      </c>
      <c r="F149" s="37"/>
      <c r="G149" s="19" t="str">
        <f>VLOOKUP(H149,'NO TOCAR'!$A$2:$D$160,3,FALSE)</f>
        <v>Aforo en zona interiores</v>
      </c>
      <c r="H149" s="28" t="s">
        <v>280</v>
      </c>
      <c r="I149" s="19" t="str">
        <f>VLOOKUP(H149,'NO TOCAR'!$A$2:$D$160,2,FALSE)</f>
        <v>Restauración, hostelería y bares</v>
      </c>
      <c r="J149" s="19" t="str">
        <f>VLOOKUP(H149,'NO TOCAR'!$A$2:$D$160,4,FALSE)</f>
        <v>RH</v>
      </c>
      <c r="K149" s="19" t="s">
        <v>339</v>
      </c>
      <c r="L149" s="19">
        <v>30</v>
      </c>
      <c r="M149" s="18"/>
      <c r="N149" s="20"/>
      <c r="O149" s="20"/>
      <c r="P149" s="20"/>
      <c r="Q149" s="20"/>
    </row>
    <row r="150" spans="1:17" s="19" customFormat="1" x14ac:dyDescent="0.35">
      <c r="A150" s="19" t="s">
        <v>336</v>
      </c>
      <c r="B150" s="19" t="s">
        <v>337</v>
      </c>
      <c r="D150" s="10">
        <v>44216</v>
      </c>
      <c r="E150" s="22">
        <v>44217</v>
      </c>
      <c r="F150" s="22"/>
      <c r="G150" s="19" t="str">
        <f>VLOOKUP(H150,'NO TOCAR'!$A$2:$D$160,3,FALSE)</f>
        <v>Cierre total del ocio nocturno</v>
      </c>
      <c r="H150" s="21" t="s">
        <v>248</v>
      </c>
      <c r="I150" s="19" t="str">
        <f>VLOOKUP(H150,'NO TOCAR'!$A$2:$D$160,2,FALSE)</f>
        <v>Ocio nocturno</v>
      </c>
      <c r="J150" s="19" t="str">
        <f>VLOOKUP(H150,'NO TOCAR'!$A$2:$D$160,4,FALSE)</f>
        <v>ON</v>
      </c>
      <c r="M150" s="18"/>
      <c r="N150" s="20"/>
      <c r="O150" s="20"/>
      <c r="P150" s="20"/>
      <c r="Q150" s="20"/>
    </row>
    <row r="151" spans="1:17" s="19" customFormat="1" x14ac:dyDescent="0.35">
      <c r="A151" s="19" t="s">
        <v>336</v>
      </c>
      <c r="B151" s="19" t="s">
        <v>337</v>
      </c>
      <c r="D151" s="10">
        <v>44267</v>
      </c>
      <c r="E151" s="10">
        <v>44270</v>
      </c>
      <c r="F151" s="37"/>
      <c r="G151" s="19" t="str">
        <f>VLOOKUP(H151,'NO TOCAR'!$A$2:$D$160,3,FALSE)</f>
        <v>Limitación de aforo ZONAS INTERIORES de instalaciones y centros deportivos (fuera del ámbito regulado por el Consejo Superior de Deportes)</v>
      </c>
      <c r="H151" s="21" t="s">
        <v>43</v>
      </c>
      <c r="I151" s="19" t="str">
        <f>VLOOKUP(H151,'NO TOCAR'!$A$2:$D$160,2,FALSE)</f>
        <v>Deporte y actividad física</v>
      </c>
      <c r="J151" s="19" t="str">
        <f>VLOOKUP(H151,'NO TOCAR'!$A$2:$D$160,4,FALSE)</f>
        <v>AF</v>
      </c>
      <c r="K151" s="19" t="s">
        <v>338</v>
      </c>
      <c r="L151" s="19">
        <v>2.25</v>
      </c>
      <c r="M151" s="18"/>
      <c r="N151" s="20"/>
      <c r="O151" s="20"/>
      <c r="P151" s="20"/>
      <c r="Q151" s="20"/>
    </row>
    <row r="152" spans="1:17" s="19" customFormat="1" x14ac:dyDescent="0.35">
      <c r="A152" s="19" t="s">
        <v>336</v>
      </c>
      <c r="B152" s="19" t="s">
        <v>337</v>
      </c>
      <c r="D152" s="10">
        <v>44267</v>
      </c>
      <c r="E152" s="10">
        <v>44270</v>
      </c>
      <c r="F152" s="37"/>
      <c r="G152" s="19" t="str">
        <f>VLOOKUP(H152,'NO TOCAR'!$A$2:$D$160,3,FALSE)</f>
        <v>Limitación de aforo ZONAS INTERIORES de instalaciones y centros deportivos (fuera del ámbito regulado por el Consejo Superior de Deportes)</v>
      </c>
      <c r="H152" s="21" t="s">
        <v>43</v>
      </c>
      <c r="I152" s="19" t="str">
        <f>VLOOKUP(H152,'NO TOCAR'!$A$2:$D$160,2,FALSE)</f>
        <v>Deporte y actividad física</v>
      </c>
      <c r="J152" s="19" t="str">
        <f>VLOOKUP(H152,'NO TOCAR'!$A$2:$D$160,4,FALSE)</f>
        <v>AF</v>
      </c>
      <c r="K152" s="19" t="s">
        <v>339</v>
      </c>
      <c r="L152" s="19">
        <v>30</v>
      </c>
      <c r="M152" s="18"/>
      <c r="N152" s="20"/>
      <c r="O152" s="20"/>
      <c r="P152" s="20"/>
      <c r="Q152" s="20"/>
    </row>
    <row r="153" spans="1:17" s="19" customFormat="1" x14ac:dyDescent="0.35">
      <c r="A153" s="19" t="s">
        <v>336</v>
      </c>
      <c r="B153" s="19" t="s">
        <v>337</v>
      </c>
      <c r="D153" s="10">
        <v>44222</v>
      </c>
      <c r="E153" s="10">
        <v>44222</v>
      </c>
      <c r="F153" s="37"/>
      <c r="G153" s="19" t="s">
        <v>82</v>
      </c>
      <c r="H153" s="21" t="s">
        <v>41</v>
      </c>
      <c r="I153" s="19" t="s">
        <v>61</v>
      </c>
      <c r="J153" s="19" t="s">
        <v>63</v>
      </c>
      <c r="K153" s="19" t="s">
        <v>340</v>
      </c>
      <c r="L153" s="19">
        <v>4</v>
      </c>
      <c r="M153" s="18"/>
      <c r="N153" s="20"/>
      <c r="O153" s="20"/>
      <c r="P153" s="20"/>
      <c r="Q153" s="20"/>
    </row>
    <row r="154" spans="1:17" s="19" customFormat="1" x14ac:dyDescent="0.35">
      <c r="D154" s="10"/>
      <c r="E154" s="10"/>
      <c r="F154" s="37"/>
      <c r="H154" s="21"/>
      <c r="M154" s="18"/>
      <c r="N154" s="20"/>
      <c r="O154" s="20"/>
      <c r="P154" s="20"/>
      <c r="Q154" s="20"/>
    </row>
    <row r="155" spans="1:17" s="19" customFormat="1" x14ac:dyDescent="0.35">
      <c r="D155" s="10"/>
      <c r="E155" s="10"/>
      <c r="G155" s="31"/>
      <c r="H155" s="21"/>
      <c r="M155" s="18"/>
      <c r="N155" s="20"/>
      <c r="O155" s="20"/>
      <c r="P155" s="20"/>
      <c r="Q155" s="20"/>
    </row>
    <row r="156" spans="1:17" s="19" customFormat="1" x14ac:dyDescent="0.35">
      <c r="D156" s="10"/>
      <c r="E156" s="22"/>
      <c r="G156" s="31"/>
      <c r="H156" s="21"/>
      <c r="M156" s="18"/>
      <c r="N156" s="20"/>
      <c r="O156" s="20"/>
      <c r="P156" s="20"/>
      <c r="Q156" s="20"/>
    </row>
    <row r="157" spans="1:17" s="19" customFormat="1" x14ac:dyDescent="0.35">
      <c r="D157" s="10"/>
      <c r="E157" s="22"/>
      <c r="F157" s="20"/>
      <c r="G157" s="31"/>
      <c r="H157" s="21"/>
      <c r="M157" s="18"/>
      <c r="N157" s="20"/>
      <c r="O157" s="20"/>
      <c r="P157" s="20"/>
      <c r="Q157" s="20"/>
    </row>
    <row r="158" spans="1:17" s="19" customFormat="1" x14ac:dyDescent="0.35">
      <c r="D158" s="10"/>
      <c r="E158" s="22"/>
      <c r="F158" s="20"/>
      <c r="G158" s="31"/>
      <c r="H158" s="21"/>
      <c r="M158" s="18"/>
      <c r="N158" s="20"/>
      <c r="O158" s="20"/>
      <c r="P158" s="20"/>
      <c r="Q158" s="20"/>
    </row>
    <row r="159" spans="1:17" s="19" customFormat="1" x14ac:dyDescent="0.35">
      <c r="D159" s="10"/>
      <c r="E159" s="22"/>
      <c r="F159" s="20"/>
      <c r="G159" s="31"/>
      <c r="H159" s="21"/>
      <c r="M159" s="18"/>
      <c r="N159" s="20"/>
      <c r="O159" s="20"/>
      <c r="P159" s="20"/>
      <c r="Q159" s="20"/>
    </row>
    <row r="160" spans="1:17" s="19" customFormat="1" x14ac:dyDescent="0.35">
      <c r="D160" s="10"/>
      <c r="E160" s="22"/>
      <c r="F160" s="20"/>
      <c r="G160" s="31"/>
      <c r="H160" s="21"/>
      <c r="M160" s="18"/>
      <c r="N160" s="20"/>
      <c r="O160" s="20"/>
      <c r="P160" s="20"/>
      <c r="Q160" s="20"/>
    </row>
    <row r="161" spans="4:17" s="19" customFormat="1" x14ac:dyDescent="0.35">
      <c r="D161" s="10"/>
      <c r="E161" s="22"/>
      <c r="F161" s="22"/>
      <c r="G161" s="31"/>
      <c r="H161" s="21"/>
      <c r="M161" s="18"/>
      <c r="N161" s="20"/>
      <c r="O161" s="20"/>
      <c r="P161" s="20"/>
      <c r="Q161" s="20"/>
    </row>
    <row r="162" spans="4:17" s="19" customFormat="1" x14ac:dyDescent="0.35">
      <c r="D162" s="10"/>
      <c r="E162" s="22"/>
      <c r="F162" s="22"/>
      <c r="G162" s="31"/>
      <c r="H162" s="21"/>
      <c r="M162" s="18"/>
      <c r="N162" s="20"/>
      <c r="O162" s="20"/>
      <c r="P162" s="20"/>
      <c r="Q162" s="20"/>
    </row>
    <row r="163" spans="4:17" s="19" customFormat="1" x14ac:dyDescent="0.35">
      <c r="D163" s="10"/>
      <c r="E163" s="22"/>
      <c r="F163" s="20"/>
      <c r="G163" s="31"/>
      <c r="H163" s="21"/>
      <c r="M163" s="18"/>
      <c r="N163" s="20"/>
      <c r="O163" s="20"/>
      <c r="P163" s="20"/>
      <c r="Q163" s="20"/>
    </row>
    <row r="164" spans="4:17" s="19" customFormat="1" x14ac:dyDescent="0.35">
      <c r="D164" s="10"/>
      <c r="E164" s="22"/>
      <c r="F164" s="20"/>
      <c r="G164" s="31"/>
      <c r="H164" s="21"/>
      <c r="M164" s="18"/>
      <c r="N164" s="20"/>
      <c r="O164" s="20"/>
      <c r="P164" s="20"/>
      <c r="Q164" s="20"/>
    </row>
    <row r="165" spans="4:17" s="19" customFormat="1" x14ac:dyDescent="0.35">
      <c r="D165" s="10"/>
      <c r="E165" s="22"/>
      <c r="F165" s="22"/>
      <c r="G165" s="32"/>
      <c r="H165" s="21"/>
      <c r="M165" s="18"/>
      <c r="N165" s="20"/>
      <c r="O165" s="20"/>
      <c r="P165" s="20"/>
      <c r="Q165" s="20"/>
    </row>
    <row r="166" spans="4:17" s="19" customFormat="1" x14ac:dyDescent="0.35">
      <c r="D166" s="10"/>
      <c r="E166" s="22"/>
      <c r="F166" s="22"/>
      <c r="G166" s="32"/>
      <c r="H166" s="21"/>
      <c r="M166" s="18"/>
      <c r="N166" s="20"/>
      <c r="O166" s="20"/>
      <c r="P166" s="20"/>
      <c r="Q166" s="20"/>
    </row>
    <row r="167" spans="4:17" s="19" customFormat="1" x14ac:dyDescent="0.35">
      <c r="D167" s="10"/>
      <c r="E167" s="22"/>
      <c r="F167" s="22"/>
      <c r="G167" s="31"/>
      <c r="H167" s="21"/>
      <c r="M167" s="18"/>
      <c r="N167" s="20"/>
      <c r="O167" s="20"/>
      <c r="P167" s="20"/>
      <c r="Q167" s="20"/>
    </row>
    <row r="168" spans="4:17" s="19" customFormat="1" x14ac:dyDescent="0.35">
      <c r="D168" s="10"/>
      <c r="E168" s="22"/>
      <c r="F168" s="22"/>
      <c r="G168" s="32"/>
      <c r="H168" s="21"/>
      <c r="M168" s="18"/>
      <c r="N168" s="20"/>
      <c r="O168" s="20"/>
      <c r="P168" s="20"/>
      <c r="Q168" s="20"/>
    </row>
    <row r="169" spans="4:17" s="19" customFormat="1" x14ac:dyDescent="0.35">
      <c r="D169" s="10"/>
      <c r="E169" s="22"/>
      <c r="F169" s="20"/>
      <c r="G169" s="31"/>
      <c r="H169" s="21"/>
      <c r="M169" s="18"/>
      <c r="N169" s="20"/>
      <c r="O169" s="20"/>
      <c r="P169" s="20"/>
      <c r="Q169" s="20"/>
    </row>
    <row r="170" spans="4:17" s="19" customFormat="1" x14ac:dyDescent="0.35">
      <c r="D170" s="10"/>
      <c r="E170" s="22"/>
      <c r="F170" s="20"/>
      <c r="G170" s="31"/>
      <c r="H170" s="21"/>
      <c r="M170" s="18"/>
      <c r="N170" s="20"/>
      <c r="O170" s="20"/>
      <c r="P170" s="20"/>
      <c r="Q170" s="20"/>
    </row>
    <row r="171" spans="4:17" s="19" customFormat="1" x14ac:dyDescent="0.35">
      <c r="D171" s="10"/>
      <c r="E171" s="22"/>
      <c r="F171" s="20"/>
      <c r="G171" s="31"/>
      <c r="H171" s="21"/>
      <c r="M171" s="18"/>
      <c r="N171" s="20"/>
      <c r="O171" s="20"/>
      <c r="P171" s="20"/>
      <c r="Q171" s="20"/>
    </row>
    <row r="172" spans="4:17" s="19" customFormat="1" x14ac:dyDescent="0.35">
      <c r="D172" s="10"/>
      <c r="E172" s="22"/>
      <c r="F172" s="20"/>
      <c r="G172" s="31"/>
      <c r="H172" s="21"/>
      <c r="M172" s="18"/>
      <c r="N172" s="20"/>
      <c r="O172" s="20"/>
      <c r="P172" s="20"/>
      <c r="Q172" s="20"/>
    </row>
    <row r="173" spans="4:17" s="19" customFormat="1" x14ac:dyDescent="0.35">
      <c r="D173" s="10"/>
      <c r="E173" s="22"/>
      <c r="F173" s="20"/>
      <c r="G173" s="31"/>
      <c r="H173" s="21"/>
      <c r="M173" s="18"/>
      <c r="N173" s="20"/>
      <c r="O173" s="20"/>
      <c r="P173" s="20"/>
      <c r="Q173" s="20"/>
    </row>
    <row r="174" spans="4:17" s="19" customFormat="1" x14ac:dyDescent="0.35">
      <c r="D174" s="10"/>
      <c r="E174" s="22"/>
      <c r="F174" s="20"/>
      <c r="G174" s="31"/>
      <c r="H174" s="21"/>
      <c r="M174" s="18"/>
      <c r="N174" s="20"/>
      <c r="O174" s="20"/>
      <c r="P174" s="20"/>
      <c r="Q174" s="20"/>
    </row>
    <row r="175" spans="4:17" s="19" customFormat="1" x14ac:dyDescent="0.35">
      <c r="D175" s="10"/>
      <c r="E175" s="22"/>
      <c r="F175" s="22"/>
      <c r="G175" s="31"/>
      <c r="H175" s="21"/>
      <c r="M175" s="18"/>
      <c r="N175" s="20"/>
      <c r="O175" s="20"/>
      <c r="P175" s="20"/>
      <c r="Q175" s="20"/>
    </row>
    <row r="176" spans="4:17" s="19" customFormat="1" x14ac:dyDescent="0.35">
      <c r="D176" s="10"/>
      <c r="E176" s="22"/>
      <c r="F176" s="20"/>
      <c r="G176" s="31"/>
      <c r="H176" s="21"/>
      <c r="M176" s="18"/>
      <c r="N176" s="20"/>
      <c r="O176" s="20"/>
      <c r="P176" s="20"/>
      <c r="Q176" s="20"/>
    </row>
    <row r="177" spans="4:17" s="19" customFormat="1" x14ac:dyDescent="0.35">
      <c r="D177" s="10"/>
      <c r="E177" s="22"/>
      <c r="F177" s="20"/>
      <c r="G177" s="31"/>
      <c r="H177" s="21"/>
      <c r="M177" s="18"/>
      <c r="N177" s="20"/>
      <c r="O177" s="20"/>
      <c r="P177" s="20"/>
      <c r="Q177" s="20"/>
    </row>
    <row r="178" spans="4:17" s="19" customFormat="1" x14ac:dyDescent="0.35">
      <c r="D178" s="10"/>
      <c r="E178" s="22"/>
      <c r="F178" s="20"/>
      <c r="G178" s="31"/>
      <c r="H178" s="21"/>
      <c r="M178" s="18"/>
      <c r="N178" s="20"/>
      <c r="O178" s="20"/>
      <c r="P178" s="20"/>
      <c r="Q178" s="20"/>
    </row>
    <row r="179" spans="4:17" s="19" customFormat="1" x14ac:dyDescent="0.35">
      <c r="D179" s="10"/>
      <c r="E179" s="22"/>
      <c r="F179" s="20"/>
      <c r="G179" s="31"/>
      <c r="H179" s="21"/>
      <c r="M179" s="18"/>
      <c r="N179" s="20"/>
      <c r="O179" s="20"/>
      <c r="P179" s="20"/>
      <c r="Q179" s="20"/>
    </row>
    <row r="180" spans="4:17" s="19" customFormat="1" x14ac:dyDescent="0.35">
      <c r="D180" s="10"/>
      <c r="E180" s="22"/>
      <c r="F180" s="20"/>
      <c r="G180" s="31"/>
      <c r="H180" s="21"/>
      <c r="L180" s="25"/>
      <c r="M180" s="18"/>
      <c r="N180" s="20"/>
      <c r="O180" s="20"/>
      <c r="P180" s="20"/>
      <c r="Q180" s="20"/>
    </row>
    <row r="181" spans="4:17" s="19" customFormat="1" x14ac:dyDescent="0.35">
      <c r="D181" s="10"/>
      <c r="E181" s="22"/>
      <c r="F181" s="20"/>
      <c r="G181" s="31"/>
      <c r="H181" s="21"/>
      <c r="M181" s="18"/>
      <c r="N181" s="20"/>
      <c r="O181" s="20"/>
      <c r="P181" s="20"/>
      <c r="Q181" s="20"/>
    </row>
    <row r="182" spans="4:17" s="19" customFormat="1" x14ac:dyDescent="0.35">
      <c r="D182" s="10"/>
      <c r="E182" s="22"/>
      <c r="F182" s="20"/>
      <c r="G182" s="31"/>
      <c r="H182" s="21"/>
      <c r="M182" s="18"/>
      <c r="N182" s="20"/>
      <c r="O182" s="20"/>
      <c r="P182" s="20"/>
      <c r="Q182" s="20"/>
    </row>
    <row r="183" spans="4:17" s="19" customFormat="1" x14ac:dyDescent="0.35">
      <c r="D183" s="10"/>
      <c r="E183" s="22"/>
      <c r="F183" s="20"/>
      <c r="G183" s="31"/>
      <c r="H183" s="21"/>
      <c r="M183" s="18"/>
      <c r="N183" s="20"/>
      <c r="O183" s="20"/>
      <c r="P183" s="20"/>
      <c r="Q183" s="20"/>
    </row>
    <row r="184" spans="4:17" s="19" customFormat="1" x14ac:dyDescent="0.35">
      <c r="D184" s="10"/>
      <c r="E184" s="22"/>
      <c r="F184" s="20"/>
      <c r="G184" s="31"/>
      <c r="H184" s="21"/>
      <c r="M184" s="18"/>
      <c r="N184" s="20"/>
      <c r="O184" s="20"/>
      <c r="P184" s="20"/>
      <c r="Q184" s="20"/>
    </row>
    <row r="185" spans="4:17" s="19" customFormat="1" x14ac:dyDescent="0.35">
      <c r="D185" s="10"/>
      <c r="E185" s="22"/>
      <c r="F185" s="20"/>
      <c r="G185" s="31"/>
      <c r="H185" s="21"/>
      <c r="M185" s="18"/>
      <c r="N185" s="20"/>
      <c r="O185" s="20"/>
      <c r="P185" s="20"/>
      <c r="Q185" s="20"/>
    </row>
    <row r="186" spans="4:17" s="19" customFormat="1" x14ac:dyDescent="0.35">
      <c r="D186" s="10"/>
      <c r="E186" s="22"/>
      <c r="F186" s="20"/>
      <c r="G186" s="31"/>
      <c r="H186" s="21"/>
      <c r="M186" s="18"/>
      <c r="N186" s="20"/>
      <c r="O186" s="20"/>
      <c r="P186" s="20"/>
      <c r="Q186" s="20"/>
    </row>
    <row r="187" spans="4:17" s="19" customFormat="1" x14ac:dyDescent="0.35">
      <c r="D187" s="10"/>
      <c r="E187" s="20"/>
      <c r="F187" s="20"/>
      <c r="G187" s="31"/>
      <c r="H187" s="21"/>
      <c r="M187" s="18"/>
      <c r="N187" s="20"/>
      <c r="O187" s="20"/>
      <c r="P187" s="20"/>
      <c r="Q187" s="20"/>
    </row>
    <row r="188" spans="4:17" s="19" customFormat="1" x14ac:dyDescent="0.35">
      <c r="D188" s="10"/>
      <c r="E188" s="20"/>
      <c r="F188" s="20"/>
      <c r="G188" s="31"/>
      <c r="H188" s="21"/>
      <c r="M188" s="18"/>
      <c r="N188" s="20"/>
      <c r="O188" s="20"/>
      <c r="P188" s="20"/>
      <c r="Q188" s="20"/>
    </row>
    <row r="189" spans="4:17" s="19" customFormat="1" x14ac:dyDescent="0.35">
      <c r="D189" s="10"/>
      <c r="E189" s="20"/>
      <c r="F189" s="20"/>
      <c r="G189" s="31"/>
      <c r="H189" s="21"/>
      <c r="M189" s="18"/>
      <c r="N189" s="20"/>
      <c r="O189" s="20"/>
      <c r="P189" s="20"/>
      <c r="Q189" s="20"/>
    </row>
    <row r="190" spans="4:17" s="2" customFormat="1" x14ac:dyDescent="0.35">
      <c r="D190" s="10"/>
      <c r="E190" s="22"/>
      <c r="F190" s="4"/>
      <c r="G190" s="31"/>
      <c r="H190" s="7"/>
      <c r="M190" s="4"/>
      <c r="N190" s="4"/>
      <c r="O190" s="4"/>
      <c r="P190" s="4"/>
      <c r="Q190" s="4"/>
    </row>
    <row r="191" spans="4:17" s="2" customFormat="1" x14ac:dyDescent="0.35">
      <c r="D191" s="10"/>
      <c r="E191" s="22"/>
      <c r="F191" s="4"/>
      <c r="G191" s="31"/>
      <c r="H191" s="7"/>
      <c r="M191" s="4"/>
      <c r="N191" s="4"/>
      <c r="O191" s="4"/>
      <c r="P191" s="4"/>
      <c r="Q191" s="4"/>
    </row>
    <row r="192" spans="4:17" s="2" customFormat="1" x14ac:dyDescent="0.35">
      <c r="D192" s="10"/>
      <c r="E192" s="22"/>
      <c r="F192" s="11"/>
      <c r="G192" s="31"/>
      <c r="H192" s="7"/>
      <c r="M192" s="4"/>
      <c r="N192" s="4"/>
      <c r="O192" s="4"/>
      <c r="P192" s="4"/>
      <c r="Q192" s="4"/>
    </row>
    <row r="193" spans="4:17" s="2" customFormat="1" x14ac:dyDescent="0.35">
      <c r="D193" s="10"/>
      <c r="E193" s="22"/>
      <c r="F193" s="11"/>
      <c r="G193" s="31"/>
      <c r="H193" s="7"/>
      <c r="M193" s="4"/>
      <c r="N193" s="4"/>
      <c r="O193" s="4"/>
      <c r="P193" s="4"/>
      <c r="Q193" s="4"/>
    </row>
    <row r="194" spans="4:17" s="2" customFormat="1" x14ac:dyDescent="0.35">
      <c r="D194" s="10"/>
      <c r="E194" s="22"/>
      <c r="F194" s="11"/>
      <c r="G194" s="31"/>
      <c r="H194" s="7"/>
      <c r="M194" s="4"/>
      <c r="N194" s="4"/>
      <c r="O194" s="4"/>
      <c r="P194" s="4"/>
      <c r="Q194" s="4"/>
    </row>
    <row r="195" spans="4:17" s="2" customFormat="1" x14ac:dyDescent="0.35">
      <c r="D195" s="10"/>
      <c r="E195" s="22"/>
      <c r="F195" s="11"/>
      <c r="G195" s="31"/>
      <c r="H195" s="7"/>
      <c r="M195" s="4"/>
      <c r="N195" s="4"/>
      <c r="O195" s="4"/>
      <c r="P195" s="4"/>
      <c r="Q195" s="4"/>
    </row>
    <row r="196" spans="4:17" s="2" customFormat="1" x14ac:dyDescent="0.35">
      <c r="D196" s="10"/>
      <c r="E196" s="22"/>
      <c r="F196" s="11"/>
      <c r="G196" s="31"/>
      <c r="H196" s="7"/>
      <c r="M196" s="4"/>
      <c r="N196" s="4"/>
      <c r="O196" s="4"/>
      <c r="P196" s="4"/>
      <c r="Q196" s="4"/>
    </row>
    <row r="197" spans="4:17" s="2" customFormat="1" x14ac:dyDescent="0.35">
      <c r="D197" s="10"/>
      <c r="E197" s="22"/>
      <c r="F197" s="11"/>
      <c r="G197" s="31"/>
      <c r="H197" s="7"/>
      <c r="M197" s="4"/>
      <c r="N197" s="4"/>
      <c r="O197" s="4"/>
      <c r="P197" s="4"/>
      <c r="Q197" s="4"/>
    </row>
    <row r="198" spans="4:17" s="2" customFormat="1" x14ac:dyDescent="0.35">
      <c r="D198" s="10"/>
      <c r="E198" s="22"/>
      <c r="F198" s="11"/>
      <c r="G198" s="31"/>
      <c r="H198" s="7"/>
      <c r="M198" s="4"/>
      <c r="N198" s="4"/>
      <c r="O198" s="4"/>
      <c r="P198" s="4"/>
      <c r="Q198" s="4"/>
    </row>
    <row r="199" spans="4:17" s="2" customFormat="1" x14ac:dyDescent="0.35">
      <c r="D199" s="10"/>
      <c r="E199" s="22"/>
      <c r="F199" s="11"/>
      <c r="G199" s="31"/>
      <c r="H199" s="7"/>
      <c r="M199" s="4"/>
      <c r="N199" s="4"/>
      <c r="O199" s="4"/>
      <c r="P199" s="4"/>
      <c r="Q199" s="4"/>
    </row>
    <row r="200" spans="4:17" s="2" customFormat="1" x14ac:dyDescent="0.35">
      <c r="D200" s="10"/>
      <c r="E200" s="22"/>
      <c r="F200" s="11"/>
      <c r="G200" s="31"/>
      <c r="H200" s="7"/>
      <c r="M200" s="4"/>
      <c r="N200" s="4"/>
      <c r="O200" s="4"/>
      <c r="P200" s="4"/>
      <c r="Q200" s="4"/>
    </row>
    <row r="201" spans="4:17" s="2" customFormat="1" x14ac:dyDescent="0.35">
      <c r="D201" s="10"/>
      <c r="E201" s="22"/>
      <c r="F201" s="11"/>
      <c r="G201" s="31"/>
      <c r="H201" s="7"/>
      <c r="M201" s="4"/>
      <c r="N201" s="4"/>
      <c r="O201" s="4"/>
      <c r="P201" s="4"/>
      <c r="Q201" s="4"/>
    </row>
    <row r="202" spans="4:17" s="2" customFormat="1" x14ac:dyDescent="0.35">
      <c r="D202" s="10"/>
      <c r="E202" s="22"/>
      <c r="F202" s="11"/>
      <c r="G202" s="31"/>
      <c r="H202" s="7"/>
      <c r="M202" s="4"/>
      <c r="N202" s="4"/>
      <c r="O202" s="4"/>
      <c r="P202" s="4"/>
      <c r="Q202" s="4"/>
    </row>
    <row r="203" spans="4:17" s="2" customFormat="1" x14ac:dyDescent="0.35">
      <c r="D203" s="10"/>
      <c r="E203" s="22"/>
      <c r="F203" s="11"/>
      <c r="G203" s="31"/>
      <c r="H203" s="7"/>
      <c r="M203" s="4"/>
      <c r="N203" s="4"/>
      <c r="O203" s="4"/>
      <c r="P203" s="4"/>
      <c r="Q203" s="4"/>
    </row>
    <row r="204" spans="4:17" s="2" customFormat="1" x14ac:dyDescent="0.35">
      <c r="D204" s="10"/>
      <c r="E204" s="22"/>
      <c r="F204" s="11"/>
      <c r="G204" s="31"/>
      <c r="H204" s="7"/>
      <c r="M204" s="4"/>
      <c r="N204" s="4"/>
      <c r="O204" s="4"/>
      <c r="P204" s="4"/>
      <c r="Q204" s="4"/>
    </row>
    <row r="205" spans="4:17" s="2" customFormat="1" x14ac:dyDescent="0.35">
      <c r="D205" s="10"/>
      <c r="E205" s="22"/>
      <c r="F205" s="11"/>
      <c r="G205" s="31"/>
      <c r="H205" s="7"/>
      <c r="M205" s="4"/>
      <c r="N205" s="4"/>
      <c r="O205" s="4"/>
      <c r="P205" s="4"/>
      <c r="Q205" s="4"/>
    </row>
    <row r="206" spans="4:17" s="2" customFormat="1" x14ac:dyDescent="0.35">
      <c r="D206" s="10"/>
      <c r="E206" s="22"/>
      <c r="F206" s="11"/>
      <c r="G206" s="31"/>
      <c r="H206" s="7"/>
      <c r="M206" s="4"/>
      <c r="N206" s="4"/>
      <c r="O206" s="4"/>
      <c r="P206" s="4"/>
      <c r="Q206" s="4"/>
    </row>
    <row r="207" spans="4:17" s="2" customFormat="1" x14ac:dyDescent="0.35">
      <c r="D207" s="10"/>
      <c r="E207" s="22"/>
      <c r="F207" s="11"/>
      <c r="G207" s="31"/>
      <c r="H207" s="7"/>
      <c r="M207" s="4"/>
      <c r="N207" s="4"/>
      <c r="O207" s="4"/>
      <c r="P207" s="4"/>
      <c r="Q207" s="4"/>
    </row>
    <row r="208" spans="4:17" s="2" customFormat="1" x14ac:dyDescent="0.35">
      <c r="D208" s="10"/>
      <c r="E208" s="22"/>
      <c r="F208" s="11"/>
      <c r="G208" s="31"/>
      <c r="H208" s="7"/>
      <c r="M208" s="4"/>
      <c r="N208" s="4"/>
      <c r="O208" s="4"/>
      <c r="P208" s="4"/>
      <c r="Q208" s="4"/>
    </row>
    <row r="209" spans="1:17" s="2" customFormat="1" x14ac:dyDescent="0.35">
      <c r="D209" s="10"/>
      <c r="E209" s="22"/>
      <c r="F209" s="11"/>
      <c r="G209" s="31"/>
      <c r="H209" s="7"/>
      <c r="M209" s="4"/>
      <c r="N209" s="4"/>
      <c r="O209" s="4"/>
      <c r="P209" s="4"/>
      <c r="Q209" s="4"/>
    </row>
    <row r="210" spans="1:17" x14ac:dyDescent="0.35">
      <c r="A210" s="1"/>
      <c r="B210" s="1"/>
      <c r="C210" s="1"/>
      <c r="D210" s="12"/>
      <c r="E210" s="23"/>
      <c r="F210" s="13"/>
      <c r="G210" s="33"/>
      <c r="H210" s="8"/>
      <c r="I210" s="1"/>
      <c r="J210" s="1"/>
      <c r="K210" s="1"/>
      <c r="L210" s="1"/>
      <c r="M210" s="3"/>
      <c r="N210" s="3"/>
      <c r="O210" s="3"/>
      <c r="P210" s="3"/>
      <c r="Q210" s="3"/>
    </row>
    <row r="211" spans="1:17" x14ac:dyDescent="0.35">
      <c r="F211" s="12"/>
      <c r="I211" s="1"/>
    </row>
  </sheetData>
  <autoFilter ref="A1:Q153">
    <sortState ref="A154:Q154">
      <sortCondition ref="G1:G154"/>
    </sortState>
  </autoFilter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filterMode="1">
    <tabColor rgb="FFFF0000"/>
  </sheetPr>
  <dimension ref="A1:D160"/>
  <sheetViews>
    <sheetView zoomScaleNormal="100" workbookViewId="0">
      <selection activeCell="C96" sqref="C96"/>
    </sheetView>
  </sheetViews>
  <sheetFormatPr baseColWidth="10" defaultColWidth="28" defaultRowHeight="31.5" customHeight="1" x14ac:dyDescent="0.35"/>
  <cols>
    <col min="3" max="3" width="39.26953125" customWidth="1"/>
  </cols>
  <sheetData>
    <row r="1" spans="1:4" ht="31.5" customHeight="1" x14ac:dyDescent="0.35">
      <c r="A1" s="27" t="s">
        <v>60</v>
      </c>
      <c r="B1" s="27" t="s">
        <v>57</v>
      </c>
      <c r="C1" s="27" t="s">
        <v>58</v>
      </c>
      <c r="D1" s="27" t="s">
        <v>59</v>
      </c>
    </row>
    <row r="2" spans="1:4" ht="31.5" hidden="1" customHeight="1" x14ac:dyDescent="0.35">
      <c r="A2" s="28" t="s">
        <v>229</v>
      </c>
      <c r="B2" s="28" t="s">
        <v>226</v>
      </c>
      <c r="C2" s="28" t="s">
        <v>227</v>
      </c>
      <c r="D2" s="28" t="s">
        <v>228</v>
      </c>
    </row>
    <row r="3" spans="1:4" ht="31.5" hidden="1" customHeight="1" x14ac:dyDescent="0.35">
      <c r="A3" s="28" t="s">
        <v>19</v>
      </c>
      <c r="B3" s="28" t="s">
        <v>226</v>
      </c>
      <c r="C3" s="28" t="s">
        <v>230</v>
      </c>
      <c r="D3" s="28" t="s">
        <v>228</v>
      </c>
    </row>
    <row r="4" spans="1:4" ht="31.5" hidden="1" customHeight="1" x14ac:dyDescent="0.35">
      <c r="A4" s="30" t="s">
        <v>56</v>
      </c>
      <c r="B4" s="28" t="s">
        <v>288</v>
      </c>
      <c r="C4" s="28" t="s">
        <v>289</v>
      </c>
      <c r="D4" s="28" t="s">
        <v>290</v>
      </c>
    </row>
    <row r="5" spans="1:4" ht="31.5" hidden="1" customHeight="1" x14ac:dyDescent="0.35">
      <c r="A5" s="28" t="s">
        <v>292</v>
      </c>
      <c r="B5" s="28" t="s">
        <v>288</v>
      </c>
      <c r="C5" s="28" t="s">
        <v>291</v>
      </c>
      <c r="D5" s="28" t="s">
        <v>290</v>
      </c>
    </row>
    <row r="6" spans="1:4" ht="31.5" hidden="1" customHeight="1" x14ac:dyDescent="0.35">
      <c r="A6" s="28" t="s">
        <v>294</v>
      </c>
      <c r="B6" s="28" t="s">
        <v>288</v>
      </c>
      <c r="C6" s="28" t="s">
        <v>293</v>
      </c>
      <c r="D6" s="28" t="s">
        <v>290</v>
      </c>
    </row>
    <row r="7" spans="1:4" ht="31.5" customHeight="1" x14ac:dyDescent="0.35">
      <c r="A7" s="29" t="s">
        <v>304</v>
      </c>
      <c r="B7" s="29" t="s">
        <v>288</v>
      </c>
      <c r="C7" s="29" t="s">
        <v>303</v>
      </c>
      <c r="D7" s="29" t="s">
        <v>290</v>
      </c>
    </row>
    <row r="8" spans="1:4" ht="31.5" hidden="1" customHeight="1" x14ac:dyDescent="0.35">
      <c r="A8" s="29" t="s">
        <v>302</v>
      </c>
      <c r="B8" s="29" t="s">
        <v>288</v>
      </c>
      <c r="C8" s="29" t="s">
        <v>301</v>
      </c>
      <c r="D8" s="29" t="s">
        <v>290</v>
      </c>
    </row>
    <row r="9" spans="1:4" ht="31.5" hidden="1" customHeight="1" x14ac:dyDescent="0.35">
      <c r="A9" s="29" t="s">
        <v>306</v>
      </c>
      <c r="B9" s="29" t="s">
        <v>288</v>
      </c>
      <c r="C9" s="29" t="s">
        <v>305</v>
      </c>
      <c r="D9" s="29" t="s">
        <v>290</v>
      </c>
    </row>
    <row r="10" spans="1:4" ht="31.5" hidden="1" customHeight="1" x14ac:dyDescent="0.35">
      <c r="A10" s="28" t="s">
        <v>296</v>
      </c>
      <c r="B10" s="28" t="s">
        <v>288</v>
      </c>
      <c r="C10" s="28" t="s">
        <v>295</v>
      </c>
      <c r="D10" s="28" t="s">
        <v>290</v>
      </c>
    </row>
    <row r="11" spans="1:4" ht="31.5" hidden="1" customHeight="1" x14ac:dyDescent="0.35">
      <c r="A11" s="28" t="s">
        <v>298</v>
      </c>
      <c r="B11" s="28" t="s">
        <v>288</v>
      </c>
      <c r="C11" s="28" t="s">
        <v>297</v>
      </c>
      <c r="D11" s="28" t="s">
        <v>290</v>
      </c>
    </row>
    <row r="12" spans="1:4" ht="31.5" hidden="1" customHeight="1" x14ac:dyDescent="0.35">
      <c r="A12" s="28" t="s">
        <v>300</v>
      </c>
      <c r="B12" s="28" t="s">
        <v>288</v>
      </c>
      <c r="C12" s="28" t="s">
        <v>299</v>
      </c>
      <c r="D12" s="28" t="s">
        <v>290</v>
      </c>
    </row>
    <row r="13" spans="1:4" ht="31.5" hidden="1" customHeight="1" x14ac:dyDescent="0.35">
      <c r="A13" s="28" t="s">
        <v>234</v>
      </c>
      <c r="B13" s="28" t="s">
        <v>231</v>
      </c>
      <c r="C13" s="28" t="s">
        <v>232</v>
      </c>
      <c r="D13" s="28" t="s">
        <v>233</v>
      </c>
    </row>
    <row r="14" spans="1:4" ht="31.5" hidden="1" customHeight="1" x14ac:dyDescent="0.35">
      <c r="A14" s="28" t="s">
        <v>236</v>
      </c>
      <c r="B14" s="28" t="s">
        <v>231</v>
      </c>
      <c r="C14" s="28" t="s">
        <v>235</v>
      </c>
      <c r="D14" s="28" t="s">
        <v>233</v>
      </c>
    </row>
    <row r="15" spans="1:4" ht="31.5" hidden="1" customHeight="1" x14ac:dyDescent="0.35">
      <c r="A15" s="28" t="s">
        <v>238</v>
      </c>
      <c r="B15" s="28" t="s">
        <v>231</v>
      </c>
      <c r="C15" s="28" t="s">
        <v>237</v>
      </c>
      <c r="D15" s="28" t="s">
        <v>233</v>
      </c>
    </row>
    <row r="16" spans="1:4" ht="31.5" hidden="1" customHeight="1" x14ac:dyDescent="0.35">
      <c r="A16" s="28" t="s">
        <v>240</v>
      </c>
      <c r="B16" s="28" t="s">
        <v>231</v>
      </c>
      <c r="C16" s="28" t="s">
        <v>239</v>
      </c>
      <c r="D16" s="28" t="s">
        <v>233</v>
      </c>
    </row>
    <row r="17" spans="1:4" ht="31.5" hidden="1" customHeight="1" x14ac:dyDescent="0.35">
      <c r="A17" s="41" t="s">
        <v>343</v>
      </c>
      <c r="B17" s="41" t="s">
        <v>231</v>
      </c>
      <c r="C17" s="41" t="s">
        <v>344</v>
      </c>
      <c r="D17" s="41" t="s">
        <v>233</v>
      </c>
    </row>
    <row r="18" spans="1:4" ht="31.5" customHeight="1" x14ac:dyDescent="0.35">
      <c r="A18" s="28" t="s">
        <v>242</v>
      </c>
      <c r="B18" s="28" t="s">
        <v>231</v>
      </c>
      <c r="C18" s="28" t="s">
        <v>241</v>
      </c>
      <c r="D18" s="28" t="s">
        <v>233</v>
      </c>
    </row>
    <row r="19" spans="1:4" ht="31.5" customHeight="1" x14ac:dyDescent="0.35">
      <c r="A19" s="28" t="s">
        <v>244</v>
      </c>
      <c r="B19" s="28" t="s">
        <v>231</v>
      </c>
      <c r="C19" s="28" t="s">
        <v>243</v>
      </c>
      <c r="D19" s="28" t="s">
        <v>233</v>
      </c>
    </row>
    <row r="20" spans="1:4" ht="31.5" hidden="1" customHeight="1" x14ac:dyDescent="0.35">
      <c r="A20" s="28" t="s">
        <v>213</v>
      </c>
      <c r="B20" s="28" t="s">
        <v>210</v>
      </c>
      <c r="C20" s="28" t="s">
        <v>211</v>
      </c>
      <c r="D20" s="28" t="s">
        <v>212</v>
      </c>
    </row>
    <row r="21" spans="1:4" ht="31.5" hidden="1" customHeight="1" x14ac:dyDescent="0.35">
      <c r="A21" s="29" t="s">
        <v>218</v>
      </c>
      <c r="B21" s="29" t="s">
        <v>210</v>
      </c>
      <c r="C21" s="29" t="s">
        <v>217</v>
      </c>
      <c r="D21" s="29" t="s">
        <v>212</v>
      </c>
    </row>
    <row r="22" spans="1:4" ht="31.5" hidden="1" customHeight="1" x14ac:dyDescent="0.35">
      <c r="A22" s="28" t="s">
        <v>215</v>
      </c>
      <c r="B22" s="28" t="s">
        <v>210</v>
      </c>
      <c r="C22" s="28" t="s">
        <v>214</v>
      </c>
      <c r="D22" s="28" t="s">
        <v>212</v>
      </c>
    </row>
    <row r="23" spans="1:4" ht="31.5" hidden="1" customHeight="1" x14ac:dyDescent="0.35">
      <c r="A23" s="28" t="s">
        <v>27</v>
      </c>
      <c r="B23" s="28" t="s">
        <v>210</v>
      </c>
      <c r="C23" s="28" t="s">
        <v>216</v>
      </c>
      <c r="D23" s="28" t="s">
        <v>212</v>
      </c>
    </row>
    <row r="24" spans="1:4" ht="31.5" hidden="1" customHeight="1" x14ac:dyDescent="0.35">
      <c r="A24" s="28" t="s">
        <v>319</v>
      </c>
      <c r="B24" s="28" t="s">
        <v>316</v>
      </c>
      <c r="C24" s="28" t="s">
        <v>317</v>
      </c>
      <c r="D24" s="28" t="s">
        <v>318</v>
      </c>
    </row>
    <row r="25" spans="1:4" ht="31.5" hidden="1" customHeight="1" x14ac:dyDescent="0.35">
      <c r="A25" s="28" t="s">
        <v>321</v>
      </c>
      <c r="B25" s="28" t="s">
        <v>316</v>
      </c>
      <c r="C25" s="28" t="s">
        <v>320</v>
      </c>
      <c r="D25" s="28" t="s">
        <v>318</v>
      </c>
    </row>
    <row r="26" spans="1:4" ht="31.5" hidden="1" customHeight="1" x14ac:dyDescent="0.35">
      <c r="A26" s="28" t="s">
        <v>323</v>
      </c>
      <c r="B26" s="28" t="s">
        <v>316</v>
      </c>
      <c r="C26" s="28" t="s">
        <v>322</v>
      </c>
      <c r="D26" s="28" t="s">
        <v>318</v>
      </c>
    </row>
    <row r="27" spans="1:4" ht="31.5" hidden="1" customHeight="1" x14ac:dyDescent="0.35">
      <c r="A27" s="29" t="s">
        <v>331</v>
      </c>
      <c r="B27" s="29" t="s">
        <v>316</v>
      </c>
      <c r="C27" s="29" t="s">
        <v>330</v>
      </c>
      <c r="D27" s="29" t="s">
        <v>318</v>
      </c>
    </row>
    <row r="28" spans="1:4" ht="31.5" hidden="1" customHeight="1" x14ac:dyDescent="0.35">
      <c r="A28" s="28" t="s">
        <v>325</v>
      </c>
      <c r="B28" s="28" t="s">
        <v>316</v>
      </c>
      <c r="C28" s="28" t="s">
        <v>324</v>
      </c>
      <c r="D28" s="28" t="s">
        <v>318</v>
      </c>
    </row>
    <row r="29" spans="1:4" ht="31.5" hidden="1" customHeight="1" x14ac:dyDescent="0.35">
      <c r="A29" s="29" t="s">
        <v>328</v>
      </c>
      <c r="B29" s="29" t="s">
        <v>316</v>
      </c>
      <c r="C29" s="29" t="s">
        <v>327</v>
      </c>
      <c r="D29" s="29" t="s">
        <v>318</v>
      </c>
    </row>
    <row r="30" spans="1:4" ht="31.5" hidden="1" customHeight="1" x14ac:dyDescent="0.35">
      <c r="A30" s="29" t="s">
        <v>333</v>
      </c>
      <c r="B30" s="29" t="s">
        <v>316</v>
      </c>
      <c r="C30" s="29" t="s">
        <v>332</v>
      </c>
      <c r="D30" s="29" t="s">
        <v>318</v>
      </c>
    </row>
    <row r="31" spans="1:4" ht="31.5" hidden="1" customHeight="1" x14ac:dyDescent="0.35">
      <c r="A31" s="28" t="s">
        <v>53</v>
      </c>
      <c r="B31" s="28" t="s">
        <v>316</v>
      </c>
      <c r="C31" s="28" t="s">
        <v>326</v>
      </c>
      <c r="D31" s="28" t="s">
        <v>318</v>
      </c>
    </row>
    <row r="32" spans="1:4" ht="31.5" hidden="1" customHeight="1" x14ac:dyDescent="0.35">
      <c r="A32" s="29" t="s">
        <v>54</v>
      </c>
      <c r="B32" s="29" t="s">
        <v>316</v>
      </c>
      <c r="C32" s="29" t="s">
        <v>329</v>
      </c>
      <c r="D32" s="29" t="s">
        <v>318</v>
      </c>
    </row>
    <row r="33" spans="1:4" ht="31.5" hidden="1" customHeight="1" x14ac:dyDescent="0.35">
      <c r="A33" s="28" t="s">
        <v>161</v>
      </c>
      <c r="B33" s="28" t="s">
        <v>158</v>
      </c>
      <c r="C33" s="28" t="s">
        <v>159</v>
      </c>
      <c r="D33" s="28" t="s">
        <v>160</v>
      </c>
    </row>
    <row r="34" spans="1:4" ht="31.5" hidden="1" customHeight="1" x14ac:dyDescent="0.35">
      <c r="A34" s="28" t="s">
        <v>163</v>
      </c>
      <c r="B34" s="28" t="s">
        <v>158</v>
      </c>
      <c r="C34" s="28" t="s">
        <v>162</v>
      </c>
      <c r="D34" s="28" t="s">
        <v>160</v>
      </c>
    </row>
    <row r="35" spans="1:4" ht="31.5" hidden="1" customHeight="1" x14ac:dyDescent="0.35">
      <c r="A35" s="28" t="s">
        <v>165</v>
      </c>
      <c r="B35" s="28" t="s">
        <v>158</v>
      </c>
      <c r="C35" s="28" t="s">
        <v>164</v>
      </c>
      <c r="D35" s="28" t="s">
        <v>160</v>
      </c>
    </row>
    <row r="36" spans="1:4" ht="31.5" customHeight="1" x14ac:dyDescent="0.35">
      <c r="A36" s="28" t="s">
        <v>173</v>
      </c>
      <c r="B36" s="28" t="s">
        <v>158</v>
      </c>
      <c r="C36" s="28" t="s">
        <v>172</v>
      </c>
      <c r="D36" s="28" t="s">
        <v>160</v>
      </c>
    </row>
    <row r="37" spans="1:4" ht="31.5" hidden="1" customHeight="1" x14ac:dyDescent="0.35">
      <c r="A37" s="28" t="s">
        <v>25</v>
      </c>
      <c r="B37" s="28" t="s">
        <v>158</v>
      </c>
      <c r="C37" s="28" t="s">
        <v>174</v>
      </c>
      <c r="D37" s="28" t="s">
        <v>160</v>
      </c>
    </row>
    <row r="38" spans="1:4" ht="31.5" hidden="1" customHeight="1" x14ac:dyDescent="0.35">
      <c r="A38" s="28" t="s">
        <v>167</v>
      </c>
      <c r="B38" s="28" t="s">
        <v>158</v>
      </c>
      <c r="C38" s="28" t="s">
        <v>166</v>
      </c>
      <c r="D38" s="28" t="s">
        <v>160</v>
      </c>
    </row>
    <row r="39" spans="1:4" ht="31.5" hidden="1" customHeight="1" x14ac:dyDescent="0.35">
      <c r="A39" s="28" t="s">
        <v>169</v>
      </c>
      <c r="B39" s="28" t="s">
        <v>158</v>
      </c>
      <c r="C39" s="28" t="s">
        <v>168</v>
      </c>
      <c r="D39" s="28" t="s">
        <v>160</v>
      </c>
    </row>
    <row r="40" spans="1:4" ht="31.5" hidden="1" customHeight="1" x14ac:dyDescent="0.35">
      <c r="A40" s="28" t="s">
        <v>176</v>
      </c>
      <c r="B40" s="28" t="s">
        <v>158</v>
      </c>
      <c r="C40" s="28" t="s">
        <v>175</v>
      </c>
      <c r="D40" s="28" t="s">
        <v>160</v>
      </c>
    </row>
    <row r="41" spans="1:4" ht="31.5" hidden="1" customHeight="1" x14ac:dyDescent="0.35">
      <c r="A41" s="28" t="s">
        <v>171</v>
      </c>
      <c r="B41" s="28" t="s">
        <v>158</v>
      </c>
      <c r="C41" s="28" t="s">
        <v>170</v>
      </c>
      <c r="D41" s="28" t="s">
        <v>160</v>
      </c>
    </row>
    <row r="42" spans="1:4" ht="31.5" hidden="1" customHeight="1" x14ac:dyDescent="0.35">
      <c r="A42" s="28" t="s">
        <v>26</v>
      </c>
      <c r="B42" s="28" t="s">
        <v>158</v>
      </c>
      <c r="C42" s="28" t="s">
        <v>177</v>
      </c>
      <c r="D42" s="28" t="s">
        <v>160</v>
      </c>
    </row>
    <row r="43" spans="1:4" ht="31.5" customHeight="1" x14ac:dyDescent="0.35">
      <c r="A43" s="29" t="s">
        <v>179</v>
      </c>
      <c r="B43" s="29" t="s">
        <v>158</v>
      </c>
      <c r="C43" s="29" t="s">
        <v>178</v>
      </c>
      <c r="D43" s="29" t="s">
        <v>160</v>
      </c>
    </row>
    <row r="44" spans="1:4" ht="31.5" hidden="1" customHeight="1" x14ac:dyDescent="0.35">
      <c r="A44" s="28" t="s">
        <v>269</v>
      </c>
      <c r="B44" s="28" t="s">
        <v>266</v>
      </c>
      <c r="C44" s="28" t="s">
        <v>267</v>
      </c>
      <c r="D44" s="28" t="s">
        <v>268</v>
      </c>
    </row>
    <row r="45" spans="1:4" ht="31.5" hidden="1" customHeight="1" x14ac:dyDescent="0.35">
      <c r="A45" s="28" t="s">
        <v>271</v>
      </c>
      <c r="B45" s="28" t="s">
        <v>266</v>
      </c>
      <c r="C45" s="28" t="s">
        <v>270</v>
      </c>
      <c r="D45" s="28" t="s">
        <v>268</v>
      </c>
    </row>
    <row r="46" spans="1:4" ht="31.5" hidden="1" customHeight="1" x14ac:dyDescent="0.35">
      <c r="A46" s="28" t="s">
        <v>273</v>
      </c>
      <c r="B46" s="28" t="s">
        <v>266</v>
      </c>
      <c r="C46" s="28" t="s">
        <v>272</v>
      </c>
      <c r="D46" s="28" t="s">
        <v>268</v>
      </c>
    </row>
    <row r="47" spans="1:4" ht="31.5" hidden="1" customHeight="1" x14ac:dyDescent="0.35">
      <c r="A47" s="28" t="s">
        <v>274</v>
      </c>
      <c r="B47" s="28" t="s">
        <v>266</v>
      </c>
      <c r="C47" s="28" t="s">
        <v>256</v>
      </c>
      <c r="D47" s="28" t="s">
        <v>268</v>
      </c>
    </row>
    <row r="48" spans="1:4" ht="31.5" customHeight="1" x14ac:dyDescent="0.35">
      <c r="A48" s="28" t="s">
        <v>276</v>
      </c>
      <c r="B48" s="28" t="s">
        <v>266</v>
      </c>
      <c r="C48" s="28" t="s">
        <v>275</v>
      </c>
      <c r="D48" s="28" t="s">
        <v>268</v>
      </c>
    </row>
    <row r="49" spans="1:4" ht="31.5" hidden="1" customHeight="1" x14ac:dyDescent="0.35">
      <c r="A49" s="28" t="s">
        <v>278</v>
      </c>
      <c r="B49" s="28" t="s">
        <v>266</v>
      </c>
      <c r="C49" s="28" t="s">
        <v>277</v>
      </c>
      <c r="D49" s="28" t="s">
        <v>268</v>
      </c>
    </row>
    <row r="50" spans="1:4" ht="31.5" hidden="1" customHeight="1" x14ac:dyDescent="0.35">
      <c r="A50" s="28" t="s">
        <v>280</v>
      </c>
      <c r="B50" s="28" t="s">
        <v>266</v>
      </c>
      <c r="C50" s="28" t="s">
        <v>279</v>
      </c>
      <c r="D50" s="28" t="s">
        <v>268</v>
      </c>
    </row>
    <row r="51" spans="1:4" ht="31.5" hidden="1" customHeight="1" x14ac:dyDescent="0.35">
      <c r="A51" s="28" t="s">
        <v>282</v>
      </c>
      <c r="B51" s="28" t="s">
        <v>266</v>
      </c>
      <c r="C51" s="28" t="s">
        <v>281</v>
      </c>
      <c r="D51" s="28" t="s">
        <v>268</v>
      </c>
    </row>
    <row r="52" spans="1:4" ht="31.5" hidden="1" customHeight="1" x14ac:dyDescent="0.35">
      <c r="A52" s="28" t="s">
        <v>28</v>
      </c>
      <c r="B52" s="28" t="s">
        <v>266</v>
      </c>
      <c r="C52" s="28" t="s">
        <v>283</v>
      </c>
      <c r="D52" s="28" t="s">
        <v>268</v>
      </c>
    </row>
    <row r="53" spans="1:4" ht="31.5" hidden="1" customHeight="1" x14ac:dyDescent="0.35">
      <c r="A53" s="28" t="s">
        <v>29</v>
      </c>
      <c r="B53" s="28" t="s">
        <v>266</v>
      </c>
      <c r="C53" s="28" t="s">
        <v>284</v>
      </c>
      <c r="D53" s="28" t="s">
        <v>268</v>
      </c>
    </row>
    <row r="54" spans="1:4" ht="31.5" hidden="1" customHeight="1" x14ac:dyDescent="0.35">
      <c r="A54" s="28" t="s">
        <v>30</v>
      </c>
      <c r="B54" s="28" t="s">
        <v>266</v>
      </c>
      <c r="C54" s="28" t="s">
        <v>285</v>
      </c>
      <c r="D54" s="28" t="s">
        <v>268</v>
      </c>
    </row>
    <row r="55" spans="1:4" ht="31.5" hidden="1" customHeight="1" x14ac:dyDescent="0.35">
      <c r="A55" s="28" t="s">
        <v>287</v>
      </c>
      <c r="B55" s="28" t="s">
        <v>266</v>
      </c>
      <c r="C55" s="28" t="s">
        <v>286</v>
      </c>
      <c r="D55" s="28" t="s">
        <v>268</v>
      </c>
    </row>
    <row r="56" spans="1:4" ht="31.5" hidden="1" customHeight="1" x14ac:dyDescent="0.35">
      <c r="A56" s="28" t="s">
        <v>222</v>
      </c>
      <c r="B56" s="28" t="s">
        <v>219</v>
      </c>
      <c r="C56" s="28" t="s">
        <v>220</v>
      </c>
      <c r="D56" s="28" t="s">
        <v>221</v>
      </c>
    </row>
    <row r="57" spans="1:4" ht="31.5" customHeight="1" x14ac:dyDescent="0.35">
      <c r="A57" s="28" t="s">
        <v>224</v>
      </c>
      <c r="B57" s="28" t="s">
        <v>219</v>
      </c>
      <c r="C57" s="28" t="s">
        <v>223</v>
      </c>
      <c r="D57" s="28" t="s">
        <v>221</v>
      </c>
    </row>
    <row r="58" spans="1:4" ht="31.5" hidden="1" customHeight="1" x14ac:dyDescent="0.35">
      <c r="A58" s="28" t="s">
        <v>52</v>
      </c>
      <c r="B58" s="28" t="s">
        <v>219</v>
      </c>
      <c r="C58" s="28" t="s">
        <v>225</v>
      </c>
      <c r="D58" s="28" t="s">
        <v>221</v>
      </c>
    </row>
    <row r="59" spans="1:4" ht="31.5" hidden="1" customHeight="1" x14ac:dyDescent="0.35">
      <c r="A59" s="28" t="s">
        <v>248</v>
      </c>
      <c r="B59" s="28" t="s">
        <v>245</v>
      </c>
      <c r="C59" s="28" t="s">
        <v>246</v>
      </c>
      <c r="D59" s="28" t="s">
        <v>247</v>
      </c>
    </row>
    <row r="60" spans="1:4" ht="31.5" hidden="1" customHeight="1" x14ac:dyDescent="0.35">
      <c r="A60" s="28" t="s">
        <v>250</v>
      </c>
      <c r="B60" s="28" t="s">
        <v>245</v>
      </c>
      <c r="C60" s="28" t="s">
        <v>249</v>
      </c>
      <c r="D60" s="28" t="s">
        <v>247</v>
      </c>
    </row>
    <row r="61" spans="1:4" ht="31.5" hidden="1" customHeight="1" x14ac:dyDescent="0.35">
      <c r="A61" s="28" t="s">
        <v>32</v>
      </c>
      <c r="B61" s="28" t="s">
        <v>245</v>
      </c>
      <c r="C61" s="28" t="s">
        <v>251</v>
      </c>
      <c r="D61" s="28" t="s">
        <v>247</v>
      </c>
    </row>
    <row r="62" spans="1:4" ht="31.5" hidden="1" customHeight="1" x14ac:dyDescent="0.35">
      <c r="A62" s="28" t="s">
        <v>18</v>
      </c>
      <c r="B62" s="28" t="s">
        <v>245</v>
      </c>
      <c r="C62" s="28" t="s">
        <v>252</v>
      </c>
      <c r="D62" s="28" t="s">
        <v>247</v>
      </c>
    </row>
    <row r="63" spans="1:4" ht="31.5" hidden="1" customHeight="1" x14ac:dyDescent="0.35">
      <c r="A63" s="28" t="s">
        <v>33</v>
      </c>
      <c r="B63" s="28" t="s">
        <v>245</v>
      </c>
      <c r="C63" s="28" t="s">
        <v>253</v>
      </c>
      <c r="D63" s="28" t="s">
        <v>247</v>
      </c>
    </row>
    <row r="64" spans="1:4" ht="31.5" hidden="1" customHeight="1" x14ac:dyDescent="0.35">
      <c r="A64" s="28" t="s">
        <v>34</v>
      </c>
      <c r="B64" s="28" t="s">
        <v>245</v>
      </c>
      <c r="C64" s="28" t="s">
        <v>254</v>
      </c>
      <c r="D64" s="28" t="s">
        <v>247</v>
      </c>
    </row>
    <row r="65" spans="1:4" ht="31.5" hidden="1" customHeight="1" x14ac:dyDescent="0.35">
      <c r="A65" s="29" t="s">
        <v>334</v>
      </c>
      <c r="B65" s="29" t="s">
        <v>245</v>
      </c>
      <c r="C65" s="29" t="s">
        <v>335</v>
      </c>
      <c r="D65" s="29" t="s">
        <v>247</v>
      </c>
    </row>
    <row r="66" spans="1:4" ht="31.5" hidden="1" customHeight="1" x14ac:dyDescent="0.35">
      <c r="A66" s="29" t="s">
        <v>31</v>
      </c>
      <c r="B66" s="29" t="s">
        <v>245</v>
      </c>
      <c r="C66" s="29" t="s">
        <v>256</v>
      </c>
      <c r="D66" s="29" t="s">
        <v>247</v>
      </c>
    </row>
    <row r="67" spans="1:4" ht="31.5" customHeight="1" x14ac:dyDescent="0.35">
      <c r="A67" s="29" t="s">
        <v>258</v>
      </c>
      <c r="B67" s="29" t="s">
        <v>245</v>
      </c>
      <c r="C67" s="29" t="s">
        <v>257</v>
      </c>
      <c r="D67" s="29" t="s">
        <v>247</v>
      </c>
    </row>
    <row r="68" spans="1:4" ht="31.5" hidden="1" customHeight="1" x14ac:dyDescent="0.35">
      <c r="A68" s="28" t="s">
        <v>255</v>
      </c>
      <c r="B68" s="28" t="s">
        <v>245</v>
      </c>
      <c r="C68" s="28" t="s">
        <v>345</v>
      </c>
      <c r="D68" s="28" t="s">
        <v>247</v>
      </c>
    </row>
    <row r="69" spans="1:4" ht="31.5" hidden="1" customHeight="1" x14ac:dyDescent="0.35">
      <c r="A69" s="28" t="s">
        <v>104</v>
      </c>
      <c r="B69" s="28" t="s">
        <v>101</v>
      </c>
      <c r="C69" s="28" t="s">
        <v>102</v>
      </c>
      <c r="D69" s="28" t="s">
        <v>103</v>
      </c>
    </row>
    <row r="70" spans="1:4" ht="31.5" hidden="1" customHeight="1" x14ac:dyDescent="0.35">
      <c r="A70" s="28" t="s">
        <v>37</v>
      </c>
      <c r="B70" s="28" t="s">
        <v>101</v>
      </c>
      <c r="C70" s="28" t="s">
        <v>105</v>
      </c>
      <c r="D70" s="28" t="s">
        <v>103</v>
      </c>
    </row>
    <row r="71" spans="1:4" ht="31.5" hidden="1" customHeight="1" x14ac:dyDescent="0.35">
      <c r="A71" s="29" t="s">
        <v>107</v>
      </c>
      <c r="B71" s="29" t="s">
        <v>101</v>
      </c>
      <c r="C71" s="29" t="s">
        <v>106</v>
      </c>
      <c r="D71" s="29" t="s">
        <v>103</v>
      </c>
    </row>
    <row r="72" spans="1:4" ht="31.5" hidden="1" customHeight="1" x14ac:dyDescent="0.35">
      <c r="A72" s="29" t="s">
        <v>35</v>
      </c>
      <c r="B72" s="29" t="s">
        <v>101</v>
      </c>
      <c r="C72" s="29" t="s">
        <v>108</v>
      </c>
      <c r="D72" s="29" t="s">
        <v>103</v>
      </c>
    </row>
    <row r="73" spans="1:4" ht="31.5" hidden="1" customHeight="1" x14ac:dyDescent="0.35">
      <c r="A73" s="28" t="s">
        <v>110</v>
      </c>
      <c r="B73" s="28" t="s">
        <v>101</v>
      </c>
      <c r="C73" s="28" t="s">
        <v>109</v>
      </c>
      <c r="D73" s="28" t="s">
        <v>103</v>
      </c>
    </row>
    <row r="74" spans="1:4" ht="31.5" hidden="1" customHeight="1" x14ac:dyDescent="0.35">
      <c r="A74" s="28" t="s">
        <v>112</v>
      </c>
      <c r="B74" s="28" t="s">
        <v>101</v>
      </c>
      <c r="C74" s="28" t="s">
        <v>111</v>
      </c>
      <c r="D74" s="28" t="s">
        <v>103</v>
      </c>
    </row>
    <row r="75" spans="1:4" ht="31.5" hidden="1" customHeight="1" x14ac:dyDescent="0.35">
      <c r="A75" s="29" t="s">
        <v>114</v>
      </c>
      <c r="B75" s="29" t="s">
        <v>101</v>
      </c>
      <c r="C75" s="29" t="s">
        <v>113</v>
      </c>
      <c r="D75" s="29" t="s">
        <v>103</v>
      </c>
    </row>
    <row r="76" spans="1:4" ht="31.5" hidden="1" customHeight="1" x14ac:dyDescent="0.35">
      <c r="A76" s="29" t="s">
        <v>36</v>
      </c>
      <c r="B76" s="29" t="s">
        <v>101</v>
      </c>
      <c r="C76" s="29" t="s">
        <v>115</v>
      </c>
      <c r="D76" s="29" t="s">
        <v>103</v>
      </c>
    </row>
    <row r="77" spans="1:4" ht="31.5" hidden="1" customHeight="1" x14ac:dyDescent="0.35">
      <c r="A77" s="28" t="s">
        <v>119</v>
      </c>
      <c r="B77" s="28" t="s">
        <v>116</v>
      </c>
      <c r="C77" s="28" t="s">
        <v>117</v>
      </c>
      <c r="D77" s="28" t="s">
        <v>118</v>
      </c>
    </row>
    <row r="78" spans="1:4" ht="31.5" hidden="1" customHeight="1" x14ac:dyDescent="0.35">
      <c r="A78" s="28" t="s">
        <v>121</v>
      </c>
      <c r="B78" s="28" t="s">
        <v>116</v>
      </c>
      <c r="C78" s="28" t="s">
        <v>120</v>
      </c>
      <c r="D78" s="28" t="s">
        <v>118</v>
      </c>
    </row>
    <row r="79" spans="1:4" ht="31.5" hidden="1" customHeight="1" x14ac:dyDescent="0.35">
      <c r="A79" s="28" t="s">
        <v>38</v>
      </c>
      <c r="B79" s="28" t="s">
        <v>116</v>
      </c>
      <c r="C79" s="28" t="s">
        <v>128</v>
      </c>
      <c r="D79" s="28" t="s">
        <v>118</v>
      </c>
    </row>
    <row r="80" spans="1:4" ht="31.5" hidden="1" customHeight="1" x14ac:dyDescent="0.35">
      <c r="A80" s="28" t="s">
        <v>130</v>
      </c>
      <c r="B80" s="28" t="s">
        <v>116</v>
      </c>
      <c r="C80" s="28" t="s">
        <v>129</v>
      </c>
      <c r="D80" s="28" t="s">
        <v>118</v>
      </c>
    </row>
    <row r="81" spans="1:4" ht="31.5" hidden="1" customHeight="1" x14ac:dyDescent="0.35">
      <c r="A81" s="28" t="s">
        <v>132</v>
      </c>
      <c r="B81" s="28" t="s">
        <v>116</v>
      </c>
      <c r="C81" s="28" t="s">
        <v>131</v>
      </c>
      <c r="D81" s="28" t="s">
        <v>118</v>
      </c>
    </row>
    <row r="82" spans="1:4" ht="31.5" hidden="1" customHeight="1" x14ac:dyDescent="0.35">
      <c r="A82" s="28" t="s">
        <v>123</v>
      </c>
      <c r="B82" s="28" t="s">
        <v>116</v>
      </c>
      <c r="C82" s="28" t="s">
        <v>122</v>
      </c>
      <c r="D82" s="28" t="s">
        <v>118</v>
      </c>
    </row>
    <row r="83" spans="1:4" ht="31.5" hidden="1" customHeight="1" x14ac:dyDescent="0.35">
      <c r="A83" s="28" t="s">
        <v>125</v>
      </c>
      <c r="B83" s="28" t="s">
        <v>116</v>
      </c>
      <c r="C83" s="28" t="s">
        <v>124</v>
      </c>
      <c r="D83" s="28" t="s">
        <v>118</v>
      </c>
    </row>
    <row r="84" spans="1:4" ht="31.5" hidden="1" customHeight="1" x14ac:dyDescent="0.35">
      <c r="A84" s="28" t="s">
        <v>39</v>
      </c>
      <c r="B84" s="28" t="s">
        <v>116</v>
      </c>
      <c r="C84" s="28" t="s">
        <v>133</v>
      </c>
      <c r="D84" s="28" t="s">
        <v>118</v>
      </c>
    </row>
    <row r="85" spans="1:4" ht="31.5" hidden="1" customHeight="1" x14ac:dyDescent="0.35">
      <c r="A85" s="28" t="s">
        <v>135</v>
      </c>
      <c r="B85" s="28" t="s">
        <v>116</v>
      </c>
      <c r="C85" s="28" t="s">
        <v>134</v>
      </c>
      <c r="D85" s="28" t="s">
        <v>118</v>
      </c>
    </row>
    <row r="86" spans="1:4" ht="31.5" hidden="1" customHeight="1" x14ac:dyDescent="0.35">
      <c r="A86" s="28" t="s">
        <v>127</v>
      </c>
      <c r="B86" s="28" t="s">
        <v>116</v>
      </c>
      <c r="C86" s="28" t="s">
        <v>126</v>
      </c>
      <c r="D86" s="28" t="s">
        <v>118</v>
      </c>
    </row>
    <row r="87" spans="1:4" ht="31.5" hidden="1" customHeight="1" x14ac:dyDescent="0.35">
      <c r="A87" s="28" t="s">
        <v>137</v>
      </c>
      <c r="B87" s="28" t="s">
        <v>116</v>
      </c>
      <c r="C87" s="28" t="s">
        <v>136</v>
      </c>
      <c r="D87" s="28" t="s">
        <v>118</v>
      </c>
    </row>
    <row r="88" spans="1:4" ht="31.5" hidden="1" customHeight="1" x14ac:dyDescent="0.35">
      <c r="A88" s="28" t="s">
        <v>40</v>
      </c>
      <c r="B88" s="28" t="s">
        <v>116</v>
      </c>
      <c r="C88" s="28" t="s">
        <v>138</v>
      </c>
      <c r="D88" s="28" t="s">
        <v>118</v>
      </c>
    </row>
    <row r="89" spans="1:4" ht="31.5" hidden="1" customHeight="1" x14ac:dyDescent="0.35">
      <c r="A89" s="28" t="s">
        <v>140</v>
      </c>
      <c r="B89" s="28" t="s">
        <v>116</v>
      </c>
      <c r="C89" s="28" t="s">
        <v>139</v>
      </c>
      <c r="D89" s="28" t="s">
        <v>118</v>
      </c>
    </row>
    <row r="90" spans="1:4" ht="31.5" hidden="1" customHeight="1" x14ac:dyDescent="0.35">
      <c r="A90" s="29" t="s">
        <v>146</v>
      </c>
      <c r="B90" s="29" t="s">
        <v>116</v>
      </c>
      <c r="C90" s="29" t="s">
        <v>145</v>
      </c>
      <c r="D90" s="29" t="s">
        <v>118</v>
      </c>
    </row>
    <row r="91" spans="1:4" ht="31.5" hidden="1" customHeight="1" x14ac:dyDescent="0.35">
      <c r="A91" s="28" t="s">
        <v>51</v>
      </c>
      <c r="B91" s="28" t="s">
        <v>116</v>
      </c>
      <c r="C91" s="28" t="s">
        <v>141</v>
      </c>
      <c r="D91" s="28" t="s">
        <v>118</v>
      </c>
    </row>
    <row r="92" spans="1:4" ht="31.5" hidden="1" customHeight="1" x14ac:dyDescent="0.35">
      <c r="A92" s="29" t="s">
        <v>144</v>
      </c>
      <c r="B92" s="29" t="s">
        <v>116</v>
      </c>
      <c r="C92" s="29" t="s">
        <v>143</v>
      </c>
      <c r="D92" s="29" t="s">
        <v>118</v>
      </c>
    </row>
    <row r="93" spans="1:4" ht="31.5" hidden="1" customHeight="1" x14ac:dyDescent="0.35">
      <c r="A93" s="29" t="s">
        <v>50</v>
      </c>
      <c r="B93" s="29" t="s">
        <v>116</v>
      </c>
      <c r="C93" s="29" t="s">
        <v>142</v>
      </c>
      <c r="D93" s="29" t="s">
        <v>118</v>
      </c>
    </row>
    <row r="94" spans="1:4" ht="31.5" hidden="1" customHeight="1" x14ac:dyDescent="0.35">
      <c r="A94" s="28" t="s">
        <v>64</v>
      </c>
      <c r="B94" s="28" t="s">
        <v>61</v>
      </c>
      <c r="C94" s="28" t="s">
        <v>62</v>
      </c>
      <c r="D94" s="28" t="s">
        <v>63</v>
      </c>
    </row>
    <row r="95" spans="1:4" ht="31.5" hidden="1" customHeight="1" x14ac:dyDescent="0.35">
      <c r="A95" s="28" t="s">
        <v>66</v>
      </c>
      <c r="B95" s="28" t="s">
        <v>61</v>
      </c>
      <c r="C95" s="28" t="s">
        <v>65</v>
      </c>
      <c r="D95" s="28" t="s">
        <v>63</v>
      </c>
    </row>
    <row r="96" spans="1:4" ht="31.5" hidden="1" customHeight="1" x14ac:dyDescent="0.35">
      <c r="A96" s="28" t="s">
        <v>43</v>
      </c>
      <c r="B96" s="28" t="s">
        <v>61</v>
      </c>
      <c r="C96" s="28" t="s">
        <v>71</v>
      </c>
      <c r="D96" s="28" t="s">
        <v>63</v>
      </c>
    </row>
    <row r="97" spans="1:4" ht="31.5" hidden="1" customHeight="1" x14ac:dyDescent="0.35">
      <c r="A97" s="28" t="s">
        <v>46</v>
      </c>
      <c r="B97" s="28" t="s">
        <v>61</v>
      </c>
      <c r="C97" s="28" t="s">
        <v>72</v>
      </c>
      <c r="D97" s="28" t="s">
        <v>63</v>
      </c>
    </row>
    <row r="98" spans="1:4" ht="31.5" hidden="1" customHeight="1" x14ac:dyDescent="0.35">
      <c r="A98" s="29" t="s">
        <v>41</v>
      </c>
      <c r="B98" s="29" t="s">
        <v>61</v>
      </c>
      <c r="C98" s="29" t="s">
        <v>82</v>
      </c>
      <c r="D98" s="29" t="s">
        <v>63</v>
      </c>
    </row>
    <row r="99" spans="1:4" ht="31.5" hidden="1" customHeight="1" x14ac:dyDescent="0.35">
      <c r="A99" s="28" t="s">
        <v>42</v>
      </c>
      <c r="B99" s="28" t="s">
        <v>61</v>
      </c>
      <c r="C99" s="28" t="s">
        <v>73</v>
      </c>
      <c r="D99" s="28" t="s">
        <v>63</v>
      </c>
    </row>
    <row r="100" spans="1:4" ht="31.5" hidden="1" customHeight="1" x14ac:dyDescent="0.35">
      <c r="A100" s="28" t="s">
        <v>70</v>
      </c>
      <c r="B100" s="28" t="s">
        <v>61</v>
      </c>
      <c r="C100" s="28" t="s">
        <v>69</v>
      </c>
      <c r="D100" s="28" t="s">
        <v>63</v>
      </c>
    </row>
    <row r="101" spans="1:4" ht="31.5" hidden="1" customHeight="1" x14ac:dyDescent="0.35">
      <c r="A101" s="29" t="s">
        <v>90</v>
      </c>
      <c r="B101" s="29" t="s">
        <v>61</v>
      </c>
      <c r="C101" s="29" t="s">
        <v>89</v>
      </c>
      <c r="D101" s="29" t="s">
        <v>63</v>
      </c>
    </row>
    <row r="102" spans="1:4" ht="31.5" hidden="1" customHeight="1" x14ac:dyDescent="0.35">
      <c r="A102" s="28" t="s">
        <v>68</v>
      </c>
      <c r="B102" s="28" t="s">
        <v>61</v>
      </c>
      <c r="C102" s="28" t="s">
        <v>67</v>
      </c>
      <c r="D102" s="28" t="s">
        <v>63</v>
      </c>
    </row>
    <row r="103" spans="1:4" ht="31.5" hidden="1" customHeight="1" x14ac:dyDescent="0.35">
      <c r="A103" s="29" t="s">
        <v>84</v>
      </c>
      <c r="B103" s="29" t="s">
        <v>61</v>
      </c>
      <c r="C103" s="29" t="s">
        <v>83</v>
      </c>
      <c r="D103" s="29" t="s">
        <v>63</v>
      </c>
    </row>
    <row r="104" spans="1:4" ht="31.5" hidden="1" customHeight="1" x14ac:dyDescent="0.35">
      <c r="A104" s="29" t="s">
        <v>86</v>
      </c>
      <c r="B104" s="29" t="s">
        <v>61</v>
      </c>
      <c r="C104" s="29" t="s">
        <v>85</v>
      </c>
      <c r="D104" s="29" t="s">
        <v>63</v>
      </c>
    </row>
    <row r="105" spans="1:4" ht="31.5" hidden="1" customHeight="1" x14ac:dyDescent="0.35">
      <c r="A105" s="29" t="s">
        <v>44</v>
      </c>
      <c r="B105" s="29" t="s">
        <v>61</v>
      </c>
      <c r="C105" s="29" t="s">
        <v>87</v>
      </c>
      <c r="D105" s="29" t="s">
        <v>63</v>
      </c>
    </row>
    <row r="106" spans="1:4" ht="31.5" hidden="1" customHeight="1" x14ac:dyDescent="0.35">
      <c r="A106" s="29" t="s">
        <v>45</v>
      </c>
      <c r="B106" s="29" t="s">
        <v>61</v>
      </c>
      <c r="C106" s="29" t="s">
        <v>88</v>
      </c>
      <c r="D106" s="29" t="s">
        <v>63</v>
      </c>
    </row>
    <row r="107" spans="1:4" ht="31.5" hidden="1" customHeight="1" x14ac:dyDescent="0.35">
      <c r="A107" s="28" t="s">
        <v>75</v>
      </c>
      <c r="B107" s="28" t="s">
        <v>61</v>
      </c>
      <c r="C107" s="28" t="s">
        <v>74</v>
      </c>
      <c r="D107" s="28" t="s">
        <v>63</v>
      </c>
    </row>
    <row r="108" spans="1:4" ht="31.5" hidden="1" customHeight="1" x14ac:dyDescent="0.35">
      <c r="A108" s="29" t="s">
        <v>92</v>
      </c>
      <c r="B108" s="29" t="s">
        <v>61</v>
      </c>
      <c r="C108" s="29" t="s">
        <v>91</v>
      </c>
      <c r="D108" s="29" t="s">
        <v>63</v>
      </c>
    </row>
    <row r="109" spans="1:4" ht="31.5" hidden="1" customHeight="1" x14ac:dyDescent="0.35">
      <c r="A109" s="29" t="s">
        <v>99</v>
      </c>
      <c r="B109" s="29" t="s">
        <v>61</v>
      </c>
      <c r="C109" s="29" t="s">
        <v>98</v>
      </c>
      <c r="D109" s="29" t="s">
        <v>63</v>
      </c>
    </row>
    <row r="110" spans="1:4" ht="31.5" hidden="1" customHeight="1" x14ac:dyDescent="0.35">
      <c r="A110" s="28" t="s">
        <v>77</v>
      </c>
      <c r="B110" s="28" t="s">
        <v>61</v>
      </c>
      <c r="C110" s="28" t="s">
        <v>76</v>
      </c>
      <c r="D110" s="28" t="s">
        <v>63</v>
      </c>
    </row>
    <row r="111" spans="1:4" ht="31.5" hidden="1" customHeight="1" x14ac:dyDescent="0.35">
      <c r="A111" s="29" t="s">
        <v>47</v>
      </c>
      <c r="B111" s="29" t="s">
        <v>61</v>
      </c>
      <c r="C111" s="29" t="s">
        <v>93</v>
      </c>
      <c r="D111" s="29" t="s">
        <v>63</v>
      </c>
    </row>
    <row r="112" spans="1:4" ht="31.5" hidden="1" customHeight="1" x14ac:dyDescent="0.35">
      <c r="A112" s="29" t="s">
        <v>48</v>
      </c>
      <c r="B112" s="29" t="s">
        <v>61</v>
      </c>
      <c r="C112" s="29" t="s">
        <v>100</v>
      </c>
      <c r="D112" s="29" t="s">
        <v>63</v>
      </c>
    </row>
    <row r="113" spans="1:4" ht="31.5" hidden="1" customHeight="1" x14ac:dyDescent="0.35">
      <c r="A113" s="28" t="s">
        <v>79</v>
      </c>
      <c r="B113" s="28" t="s">
        <v>61</v>
      </c>
      <c r="C113" s="28" t="s">
        <v>78</v>
      </c>
      <c r="D113" s="28" t="s">
        <v>63</v>
      </c>
    </row>
    <row r="114" spans="1:4" ht="31.5" hidden="1" customHeight="1" x14ac:dyDescent="0.35">
      <c r="A114" s="28" t="s">
        <v>81</v>
      </c>
      <c r="B114" s="28" t="s">
        <v>61</v>
      </c>
      <c r="C114" s="28" t="s">
        <v>80</v>
      </c>
      <c r="D114" s="28" t="s">
        <v>63</v>
      </c>
    </row>
    <row r="115" spans="1:4" ht="31.5" hidden="1" customHeight="1" x14ac:dyDescent="0.35">
      <c r="A115" s="29" t="s">
        <v>95</v>
      </c>
      <c r="B115" s="29" t="s">
        <v>61</v>
      </c>
      <c r="C115" s="29" t="s">
        <v>94</v>
      </c>
      <c r="D115" s="29" t="s">
        <v>63</v>
      </c>
    </row>
    <row r="116" spans="1:4" ht="31.5" hidden="1" customHeight="1" x14ac:dyDescent="0.35">
      <c r="A116" s="29" t="s">
        <v>97</v>
      </c>
      <c r="B116" s="29" t="s">
        <v>61</v>
      </c>
      <c r="C116" s="29" t="s">
        <v>96</v>
      </c>
      <c r="D116" s="29" t="s">
        <v>63</v>
      </c>
    </row>
    <row r="117" spans="1:4" ht="31.5" hidden="1" customHeight="1" x14ac:dyDescent="0.35">
      <c r="A117" s="28" t="s">
        <v>262</v>
      </c>
      <c r="B117" s="28" t="s">
        <v>259</v>
      </c>
      <c r="C117" s="28" t="s">
        <v>260</v>
      </c>
      <c r="D117" s="28" t="s">
        <v>261</v>
      </c>
    </row>
    <row r="118" spans="1:4" ht="31.5" hidden="1" customHeight="1" x14ac:dyDescent="0.35">
      <c r="A118" s="28" t="s">
        <v>49</v>
      </c>
      <c r="B118" s="28" t="s">
        <v>259</v>
      </c>
      <c r="C118" s="28" t="s">
        <v>263</v>
      </c>
      <c r="D118" s="28" t="s">
        <v>261</v>
      </c>
    </row>
    <row r="119" spans="1:4" ht="31.5" customHeight="1" x14ac:dyDescent="0.35">
      <c r="A119" s="28" t="s">
        <v>265</v>
      </c>
      <c r="B119" s="28" t="s">
        <v>259</v>
      </c>
      <c r="C119" s="28" t="s">
        <v>264</v>
      </c>
      <c r="D119" s="28" t="s">
        <v>261</v>
      </c>
    </row>
    <row r="120" spans="1:4" ht="31.5" hidden="1" customHeight="1" x14ac:dyDescent="0.35">
      <c r="A120" s="29" t="s">
        <v>346</v>
      </c>
      <c r="B120" s="29" t="s">
        <v>259</v>
      </c>
      <c r="C120" s="29" t="s">
        <v>347</v>
      </c>
      <c r="D120" s="29" t="s">
        <v>261</v>
      </c>
    </row>
    <row r="121" spans="1:4" ht="31.5" hidden="1" customHeight="1" x14ac:dyDescent="0.35">
      <c r="A121" s="28" t="s">
        <v>22</v>
      </c>
      <c r="B121" s="28" t="s">
        <v>147</v>
      </c>
      <c r="C121" s="28" t="s">
        <v>149</v>
      </c>
      <c r="D121" s="28" t="s">
        <v>148</v>
      </c>
    </row>
    <row r="122" spans="1:4" ht="31.5" hidden="1" customHeight="1" x14ac:dyDescent="0.35">
      <c r="A122" s="41" t="s">
        <v>348</v>
      </c>
      <c r="B122" s="41" t="s">
        <v>147</v>
      </c>
      <c r="C122" s="41" t="s">
        <v>349</v>
      </c>
      <c r="D122" s="41" t="s">
        <v>148</v>
      </c>
    </row>
    <row r="123" spans="1:4" ht="31.5" hidden="1" customHeight="1" x14ac:dyDescent="0.35">
      <c r="A123" s="28" t="s">
        <v>20</v>
      </c>
      <c r="B123" s="28" t="s">
        <v>147</v>
      </c>
      <c r="C123" s="28" t="s">
        <v>150</v>
      </c>
      <c r="D123" s="28" t="s">
        <v>148</v>
      </c>
    </row>
    <row r="124" spans="1:4" ht="31.5" hidden="1" customHeight="1" x14ac:dyDescent="0.35">
      <c r="A124" s="28" t="s">
        <v>21</v>
      </c>
      <c r="B124" s="28" t="s">
        <v>147</v>
      </c>
      <c r="C124" s="28" t="s">
        <v>151</v>
      </c>
      <c r="D124" s="28" t="s">
        <v>148</v>
      </c>
    </row>
    <row r="125" spans="1:4" ht="31.5" hidden="1" customHeight="1" x14ac:dyDescent="0.35">
      <c r="A125" s="41" t="s">
        <v>350</v>
      </c>
      <c r="B125" s="41" t="s">
        <v>147</v>
      </c>
      <c r="C125" s="41" t="s">
        <v>351</v>
      </c>
      <c r="D125" s="41" t="s">
        <v>148</v>
      </c>
    </row>
    <row r="126" spans="1:4" ht="31.5" hidden="1" customHeight="1" x14ac:dyDescent="0.35">
      <c r="A126" s="28" t="s">
        <v>23</v>
      </c>
      <c r="B126" s="28" t="s">
        <v>147</v>
      </c>
      <c r="C126" s="28" t="s">
        <v>152</v>
      </c>
      <c r="D126" s="28" t="s">
        <v>148</v>
      </c>
    </row>
    <row r="127" spans="1:4" ht="31.5" hidden="1" customHeight="1" x14ac:dyDescent="0.35">
      <c r="A127" s="28" t="s">
        <v>24</v>
      </c>
      <c r="B127" s="28" t="s">
        <v>147</v>
      </c>
      <c r="C127" s="28" t="s">
        <v>153</v>
      </c>
      <c r="D127" s="28" t="s">
        <v>148</v>
      </c>
    </row>
    <row r="128" spans="1:4" ht="31.5" hidden="1" customHeight="1" x14ac:dyDescent="0.35">
      <c r="A128" s="29" t="s">
        <v>155</v>
      </c>
      <c r="B128" s="29" t="s">
        <v>147</v>
      </c>
      <c r="C128" s="29" t="s">
        <v>154</v>
      </c>
      <c r="D128" s="29" t="s">
        <v>148</v>
      </c>
    </row>
    <row r="129" spans="1:4" ht="31.5" hidden="1" customHeight="1" x14ac:dyDescent="0.35">
      <c r="A129" s="29" t="s">
        <v>157</v>
      </c>
      <c r="B129" s="29" t="s">
        <v>147</v>
      </c>
      <c r="C129" s="29" t="s">
        <v>156</v>
      </c>
      <c r="D129" s="29" t="s">
        <v>148</v>
      </c>
    </row>
    <row r="130" spans="1:4" ht="31.5" hidden="1" customHeight="1" x14ac:dyDescent="0.35">
      <c r="A130" s="28" t="s">
        <v>183</v>
      </c>
      <c r="B130" s="28" t="s">
        <v>180</v>
      </c>
      <c r="C130" s="28" t="s">
        <v>181</v>
      </c>
      <c r="D130" s="28" t="s">
        <v>182</v>
      </c>
    </row>
    <row r="131" spans="1:4" ht="31.5" hidden="1" customHeight="1" x14ac:dyDescent="0.35">
      <c r="A131" s="28" t="s">
        <v>185</v>
      </c>
      <c r="B131" s="28" t="s">
        <v>180</v>
      </c>
      <c r="C131" s="28" t="s">
        <v>184</v>
      </c>
      <c r="D131" s="28" t="s">
        <v>182</v>
      </c>
    </row>
    <row r="132" spans="1:4" ht="31.5" hidden="1" customHeight="1" x14ac:dyDescent="0.35">
      <c r="A132" s="28" t="s">
        <v>187</v>
      </c>
      <c r="B132" s="28" t="s">
        <v>180</v>
      </c>
      <c r="C132" s="28" t="s">
        <v>186</v>
      </c>
      <c r="D132" s="28" t="s">
        <v>182</v>
      </c>
    </row>
    <row r="133" spans="1:4" ht="31.5" hidden="1" customHeight="1" x14ac:dyDescent="0.35">
      <c r="A133" s="28" t="s">
        <v>189</v>
      </c>
      <c r="B133" s="28" t="s">
        <v>180</v>
      </c>
      <c r="C133" s="28" t="s">
        <v>188</v>
      </c>
      <c r="D133" s="28" t="s">
        <v>182</v>
      </c>
    </row>
    <row r="134" spans="1:4" ht="31.5" hidden="1" customHeight="1" x14ac:dyDescent="0.35">
      <c r="A134" s="28" t="s">
        <v>193</v>
      </c>
      <c r="B134" s="28" t="s">
        <v>190</v>
      </c>
      <c r="C134" s="28" t="s">
        <v>191</v>
      </c>
      <c r="D134" s="28" t="s">
        <v>192</v>
      </c>
    </row>
    <row r="135" spans="1:4" ht="31.5" hidden="1" customHeight="1" x14ac:dyDescent="0.35">
      <c r="A135" s="28" t="s">
        <v>195</v>
      </c>
      <c r="B135" s="28" t="s">
        <v>190</v>
      </c>
      <c r="C135" s="28" t="s">
        <v>194</v>
      </c>
      <c r="D135" s="28" t="s">
        <v>192</v>
      </c>
    </row>
    <row r="136" spans="1:4" ht="31.5" hidden="1" customHeight="1" x14ac:dyDescent="0.35">
      <c r="A136" s="29" t="s">
        <v>352</v>
      </c>
      <c r="B136" s="29" t="s">
        <v>190</v>
      </c>
      <c r="C136" s="29" t="s">
        <v>353</v>
      </c>
      <c r="D136" s="29" t="s">
        <v>192</v>
      </c>
    </row>
    <row r="137" spans="1:4" ht="31.5" hidden="1" customHeight="1" x14ac:dyDescent="0.35">
      <c r="A137" s="28" t="s">
        <v>197</v>
      </c>
      <c r="B137" s="28" t="s">
        <v>190</v>
      </c>
      <c r="C137" s="28" t="s">
        <v>196</v>
      </c>
      <c r="D137" s="28" t="s">
        <v>192</v>
      </c>
    </row>
    <row r="138" spans="1:4" ht="31.5" hidden="1" customHeight="1" x14ac:dyDescent="0.35">
      <c r="A138" s="28" t="s">
        <v>199</v>
      </c>
      <c r="B138" s="28" t="s">
        <v>190</v>
      </c>
      <c r="C138" s="28" t="s">
        <v>198</v>
      </c>
      <c r="D138" s="28" t="s">
        <v>192</v>
      </c>
    </row>
    <row r="139" spans="1:4" ht="31.5" hidden="1" customHeight="1" x14ac:dyDescent="0.35">
      <c r="A139" s="28" t="s">
        <v>201</v>
      </c>
      <c r="B139" s="28" t="s">
        <v>190</v>
      </c>
      <c r="C139" s="28" t="s">
        <v>200</v>
      </c>
      <c r="D139" s="28" t="s">
        <v>192</v>
      </c>
    </row>
    <row r="140" spans="1:4" ht="31.5" hidden="1" customHeight="1" x14ac:dyDescent="0.35">
      <c r="A140" s="29" t="s">
        <v>203</v>
      </c>
      <c r="B140" s="29" t="s">
        <v>190</v>
      </c>
      <c r="C140" s="29" t="s">
        <v>202</v>
      </c>
      <c r="D140" s="29" t="s">
        <v>192</v>
      </c>
    </row>
    <row r="141" spans="1:4" ht="31.5" hidden="1" customHeight="1" x14ac:dyDescent="0.35">
      <c r="A141" s="29" t="s">
        <v>205</v>
      </c>
      <c r="B141" s="29" t="s">
        <v>190</v>
      </c>
      <c r="C141" s="29" t="s">
        <v>204</v>
      </c>
      <c r="D141" s="29" t="s">
        <v>192</v>
      </c>
    </row>
    <row r="142" spans="1:4" ht="31.5" hidden="1" customHeight="1" x14ac:dyDescent="0.35">
      <c r="A142" s="29" t="s">
        <v>207</v>
      </c>
      <c r="B142" s="29" t="s">
        <v>190</v>
      </c>
      <c r="C142" s="29" t="s">
        <v>206</v>
      </c>
      <c r="D142" s="29" t="s">
        <v>192</v>
      </c>
    </row>
    <row r="143" spans="1:4" ht="31.5" hidden="1" customHeight="1" x14ac:dyDescent="0.35">
      <c r="A143" s="29" t="s">
        <v>209</v>
      </c>
      <c r="B143" s="29" t="s">
        <v>190</v>
      </c>
      <c r="C143" s="29" t="s">
        <v>208</v>
      </c>
      <c r="D143" s="29" t="s">
        <v>192</v>
      </c>
    </row>
    <row r="144" spans="1:4" ht="31.5" hidden="1" customHeight="1" x14ac:dyDescent="0.35">
      <c r="A144" s="28" t="s">
        <v>310</v>
      </c>
      <c r="B144" s="28" t="s">
        <v>307</v>
      </c>
      <c r="C144" s="28" t="s">
        <v>308</v>
      </c>
      <c r="D144" s="28" t="s">
        <v>309</v>
      </c>
    </row>
    <row r="145" spans="1:4" ht="31.5" hidden="1" customHeight="1" x14ac:dyDescent="0.35">
      <c r="A145" s="28" t="s">
        <v>312</v>
      </c>
      <c r="B145" s="28" t="s">
        <v>307</v>
      </c>
      <c r="C145" s="28" t="s">
        <v>311</v>
      </c>
      <c r="D145" s="28" t="s">
        <v>309</v>
      </c>
    </row>
    <row r="146" spans="1:4" ht="31.5" hidden="1" customHeight="1" x14ac:dyDescent="0.35">
      <c r="A146" s="28" t="s">
        <v>314</v>
      </c>
      <c r="B146" s="28" t="s">
        <v>307</v>
      </c>
      <c r="C146" s="28" t="s">
        <v>313</v>
      </c>
      <c r="D146" s="28" t="s">
        <v>309</v>
      </c>
    </row>
    <row r="147" spans="1:4" ht="31.5" hidden="1" customHeight="1" x14ac:dyDescent="0.35">
      <c r="A147" s="28" t="s">
        <v>55</v>
      </c>
      <c r="B147" s="28" t="s">
        <v>307</v>
      </c>
      <c r="C147" s="28" t="s">
        <v>315</v>
      </c>
      <c r="D147" s="28" t="s">
        <v>309</v>
      </c>
    </row>
    <row r="148" spans="1:4" ht="31.5" customHeight="1" x14ac:dyDescent="0.35">
      <c r="A148" s="28"/>
      <c r="B148" s="28"/>
      <c r="C148" s="28"/>
      <c r="D148" s="28"/>
    </row>
    <row r="149" spans="1:4" ht="31.5" customHeight="1" x14ac:dyDescent="0.35">
      <c r="A149" s="28"/>
      <c r="B149" s="28"/>
      <c r="C149" s="28"/>
      <c r="D149" s="28"/>
    </row>
    <row r="150" spans="1:4" ht="31.5" customHeight="1" x14ac:dyDescent="0.35">
      <c r="A150" s="28"/>
      <c r="B150" s="28"/>
      <c r="C150" s="28"/>
      <c r="D150" s="28"/>
    </row>
    <row r="151" spans="1:4" ht="31.5" customHeight="1" x14ac:dyDescent="0.35">
      <c r="A151" s="28"/>
      <c r="B151" s="28"/>
      <c r="C151" s="28"/>
      <c r="D151" s="28"/>
    </row>
    <row r="152" spans="1:4" ht="31.5" customHeight="1" x14ac:dyDescent="0.35">
      <c r="A152" s="28"/>
      <c r="B152" s="28"/>
      <c r="C152" s="28"/>
      <c r="D152" s="28"/>
    </row>
    <row r="153" spans="1:4" ht="31.5" customHeight="1" x14ac:dyDescent="0.35">
      <c r="A153" s="29"/>
      <c r="B153" s="29"/>
      <c r="C153" s="29"/>
      <c r="D153" s="29"/>
    </row>
    <row r="154" spans="1:4" ht="31.5" customHeight="1" x14ac:dyDescent="0.35">
      <c r="A154" s="29"/>
      <c r="B154" s="29"/>
      <c r="C154" s="29"/>
      <c r="D154" s="29"/>
    </row>
    <row r="155" spans="1:4" ht="31.5" customHeight="1" x14ac:dyDescent="0.35">
      <c r="A155" s="29"/>
      <c r="B155" s="29"/>
      <c r="C155" s="29"/>
      <c r="D155" s="29"/>
    </row>
    <row r="156" spans="1:4" ht="31.5" customHeight="1" x14ac:dyDescent="0.35">
      <c r="A156" s="29"/>
      <c r="B156" s="29"/>
      <c r="C156" s="29"/>
      <c r="D156" s="29"/>
    </row>
    <row r="157" spans="1:4" ht="32.25" customHeight="1" x14ac:dyDescent="0.35">
      <c r="A157" s="29"/>
      <c r="B157" s="29"/>
      <c r="C157" s="29"/>
      <c r="D157" s="29"/>
    </row>
    <row r="158" spans="1:4" ht="31.5" customHeight="1" x14ac:dyDescent="0.35">
      <c r="A158" s="29"/>
      <c r="B158" s="29"/>
      <c r="C158" s="29"/>
      <c r="D158" s="29"/>
    </row>
    <row r="159" spans="1:4" ht="31.5" customHeight="1" x14ac:dyDescent="0.35">
      <c r="A159" s="29"/>
      <c r="B159" s="29"/>
      <c r="C159" s="29"/>
      <c r="D159" s="29"/>
    </row>
    <row r="160" spans="1:4" ht="31.5" customHeight="1" x14ac:dyDescent="0.35">
      <c r="A160" s="29"/>
      <c r="B160" s="29"/>
      <c r="C160" s="29"/>
      <c r="D160" s="29"/>
    </row>
  </sheetData>
  <autoFilter ref="A1:D147">
    <filterColumn colId="2">
      <filters>
        <filter val="Ampliación de los días y/o horarios de apertura de comercios"/>
        <filter val="Horario preferente paseo personas mayores"/>
        <filter val="Limitación de encuentros fuera del grupo de convivencia habitual (por ejemplo, durante un horario limitado, en cuyo caso, consignar horas)"/>
        <filter val="Limitación de horario comercio no esencial"/>
        <filter val="Limitación de horario en el ocio nocturno (número de horas hasta un hipotético cierre a las 3:00 am)"/>
        <filter val="Limitación de horario en locles de apuestas, bingos etc."/>
        <filter val="Limitación de horario en parques y jardines"/>
        <filter val="Limitación de horario en restaurantes y bares"/>
        <filter val="Segmentación de la población (p.e. horarios de paseo diferenciados por edades, no solo de mayores)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3"/>
  <sheetViews>
    <sheetView workbookViewId="0">
      <selection activeCell="A3" sqref="A3"/>
    </sheetView>
  </sheetViews>
  <sheetFormatPr baseColWidth="10" defaultRowHeight="14.5" x14ac:dyDescent="0.35"/>
  <cols>
    <col min="1" max="1" width="15.26953125" customWidth="1"/>
    <col min="2" max="2" width="14.1796875" customWidth="1"/>
    <col min="3" max="3" width="17.54296875" customWidth="1"/>
  </cols>
  <sheetData>
    <row r="1" spans="1:3" x14ac:dyDescent="0.35">
      <c r="A1" s="15" t="s">
        <v>12</v>
      </c>
      <c r="B1" s="15" t="s">
        <v>13</v>
      </c>
      <c r="C1" s="15" t="s">
        <v>14</v>
      </c>
    </row>
    <row r="2" spans="1:3" x14ac:dyDescent="0.35">
      <c r="A2" s="16"/>
      <c r="B2" s="16"/>
      <c r="C2" s="17" t="s">
        <v>17</v>
      </c>
    </row>
    <row r="3" spans="1:3" x14ac:dyDescent="0.35">
      <c r="A3" s="24">
        <v>44169</v>
      </c>
      <c r="B3" s="24">
        <v>43916</v>
      </c>
      <c r="C3" t="s">
        <v>1458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C144"/>
  <sheetViews>
    <sheetView workbookViewId="0">
      <selection activeCell="C46" sqref="C46:C133"/>
    </sheetView>
  </sheetViews>
  <sheetFormatPr baseColWidth="10" defaultRowHeight="14.5" x14ac:dyDescent="0.35"/>
  <cols>
    <col min="1" max="1" width="75" bestFit="1" customWidth="1"/>
    <col min="2" max="2" width="21.54296875" customWidth="1"/>
    <col min="3" max="3" width="11.453125" bestFit="1" customWidth="1"/>
  </cols>
  <sheetData>
    <row r="1" spans="1:3" x14ac:dyDescent="0.35">
      <c r="A1" t="s">
        <v>354</v>
      </c>
    </row>
    <row r="2" spans="1:3" x14ac:dyDescent="0.35">
      <c r="A2" t="s">
        <v>355</v>
      </c>
    </row>
    <row r="4" spans="1:3" x14ac:dyDescent="0.35">
      <c r="A4" t="s">
        <v>356</v>
      </c>
    </row>
    <row r="5" spans="1:3" x14ac:dyDescent="0.35">
      <c r="A5" t="s">
        <v>357</v>
      </c>
    </row>
    <row r="7" spans="1:3" x14ac:dyDescent="0.35">
      <c r="A7" t="s">
        <v>358</v>
      </c>
      <c r="B7" t="s">
        <v>359</v>
      </c>
    </row>
    <row r="8" spans="1:3" x14ac:dyDescent="0.35">
      <c r="A8" t="s">
        <v>358</v>
      </c>
      <c r="B8">
        <v>2020</v>
      </c>
    </row>
    <row r="9" spans="1:3" x14ac:dyDescent="0.35">
      <c r="A9" t="s">
        <v>360</v>
      </c>
      <c r="B9" s="42">
        <v>585590</v>
      </c>
      <c r="C9" s="43">
        <f>B9/$B$9*100</f>
        <v>100</v>
      </c>
    </row>
    <row r="10" spans="1:3" hidden="1" x14ac:dyDescent="0.35">
      <c r="A10" t="s">
        <v>361</v>
      </c>
      <c r="B10">
        <v>123</v>
      </c>
      <c r="C10" s="43">
        <f t="shared" ref="C10:C73" si="0">B10/$B$9*100</f>
        <v>2.1004457043323828E-2</v>
      </c>
    </row>
    <row r="11" spans="1:3" hidden="1" x14ac:dyDescent="0.35">
      <c r="A11" t="s">
        <v>362</v>
      </c>
      <c r="B11" s="42">
        <v>1227</v>
      </c>
      <c r="C11" s="43">
        <f t="shared" si="0"/>
        <v>0.2095322666029133</v>
      </c>
    </row>
    <row r="12" spans="1:3" hidden="1" x14ac:dyDescent="0.35">
      <c r="A12" t="s">
        <v>363</v>
      </c>
      <c r="B12" s="42">
        <v>6638</v>
      </c>
      <c r="C12" s="43">
        <f t="shared" si="0"/>
        <v>1.13355760856572</v>
      </c>
    </row>
    <row r="13" spans="1:3" hidden="1" x14ac:dyDescent="0.35">
      <c r="A13" t="s">
        <v>364</v>
      </c>
      <c r="B13" s="42">
        <v>10417</v>
      </c>
      <c r="C13" s="43">
        <f t="shared" si="0"/>
        <v>1.7788896668317424</v>
      </c>
    </row>
    <row r="14" spans="1:3" hidden="1" x14ac:dyDescent="0.35">
      <c r="A14" t="s">
        <v>365</v>
      </c>
      <c r="B14">
        <v>188</v>
      </c>
      <c r="C14" s="43">
        <f t="shared" si="0"/>
        <v>3.2104373367031536E-2</v>
      </c>
    </row>
    <row r="15" spans="1:3" hidden="1" x14ac:dyDescent="0.35">
      <c r="A15" t="s">
        <v>366</v>
      </c>
      <c r="B15">
        <v>862</v>
      </c>
      <c r="C15" s="43">
        <f t="shared" si="0"/>
        <v>0.14720196724670845</v>
      </c>
    </row>
    <row r="16" spans="1:3" hidden="1" x14ac:dyDescent="0.35">
      <c r="A16" t="s">
        <v>367</v>
      </c>
      <c r="B16">
        <v>262</v>
      </c>
      <c r="C16" s="43">
        <f t="shared" si="0"/>
        <v>4.4741201181714166E-2</v>
      </c>
    </row>
    <row r="17" spans="1:3" hidden="1" x14ac:dyDescent="0.35">
      <c r="A17" t="s">
        <v>368</v>
      </c>
      <c r="B17" s="42">
        <v>26742</v>
      </c>
      <c r="C17" s="43">
        <f t="shared" si="0"/>
        <v>4.5666763435167947</v>
      </c>
    </row>
    <row r="18" spans="1:3" hidden="1" x14ac:dyDescent="0.35">
      <c r="A18" t="s">
        <v>369</v>
      </c>
      <c r="B18">
        <v>244</v>
      </c>
      <c r="C18" s="43">
        <f t="shared" si="0"/>
        <v>4.1667378199764342E-2</v>
      </c>
    </row>
    <row r="19" spans="1:3" hidden="1" x14ac:dyDescent="0.35">
      <c r="A19" t="s">
        <v>370</v>
      </c>
      <c r="B19" s="42">
        <v>6090</v>
      </c>
      <c r="C19" s="43">
        <f t="shared" si="0"/>
        <v>1.0399767755596918</v>
      </c>
    </row>
    <row r="20" spans="1:3" hidden="1" x14ac:dyDescent="0.35">
      <c r="A20" t="s">
        <v>371</v>
      </c>
      <c r="B20" s="42">
        <v>4464</v>
      </c>
      <c r="C20" s="43">
        <f t="shared" si="0"/>
        <v>0.76230809952355749</v>
      </c>
    </row>
    <row r="21" spans="1:3" hidden="1" x14ac:dyDescent="0.35">
      <c r="A21" t="s">
        <v>372</v>
      </c>
      <c r="B21" s="42">
        <v>3601</v>
      </c>
      <c r="C21" s="43">
        <f t="shared" si="0"/>
        <v>0.61493536433340734</v>
      </c>
    </row>
    <row r="22" spans="1:3" hidden="1" x14ac:dyDescent="0.35">
      <c r="A22" t="s">
        <v>373</v>
      </c>
      <c r="B22">
        <v>151</v>
      </c>
      <c r="C22" s="43">
        <f t="shared" si="0"/>
        <v>2.5785959459690224E-2</v>
      </c>
    </row>
    <row r="23" spans="1:3" hidden="1" x14ac:dyDescent="0.35">
      <c r="A23" t="s">
        <v>374</v>
      </c>
      <c r="B23">
        <v>184</v>
      </c>
      <c r="C23" s="43">
        <f t="shared" si="0"/>
        <v>3.1421301593264908E-2</v>
      </c>
    </row>
    <row r="24" spans="1:3" hidden="1" x14ac:dyDescent="0.35">
      <c r="A24" t="s">
        <v>375</v>
      </c>
      <c r="B24">
        <v>126</v>
      </c>
      <c r="C24" s="43">
        <f t="shared" si="0"/>
        <v>2.1516760873648798E-2</v>
      </c>
    </row>
    <row r="25" spans="1:3" hidden="1" x14ac:dyDescent="0.35">
      <c r="A25" t="s">
        <v>376</v>
      </c>
      <c r="B25" s="42">
        <v>1955</v>
      </c>
      <c r="C25" s="43">
        <f t="shared" si="0"/>
        <v>0.33385132942843965</v>
      </c>
    </row>
    <row r="26" spans="1:3" hidden="1" x14ac:dyDescent="0.35">
      <c r="A26" t="s">
        <v>377</v>
      </c>
      <c r="B26" s="42">
        <v>1304</v>
      </c>
      <c r="C26" s="43">
        <f t="shared" si="0"/>
        <v>0.22268139824792088</v>
      </c>
    </row>
    <row r="27" spans="1:3" hidden="1" x14ac:dyDescent="0.35">
      <c r="A27" t="s">
        <v>378</v>
      </c>
      <c r="B27">
        <v>153</v>
      </c>
      <c r="C27" s="43">
        <f t="shared" si="0"/>
        <v>2.6127495346573545E-2</v>
      </c>
    </row>
    <row r="28" spans="1:3" hidden="1" x14ac:dyDescent="0.35">
      <c r="A28" t="s">
        <v>379</v>
      </c>
      <c r="B28">
        <v>310</v>
      </c>
      <c r="C28" s="43">
        <f t="shared" si="0"/>
        <v>5.2938062466913717E-2</v>
      </c>
    </row>
    <row r="29" spans="1:3" hidden="1" x14ac:dyDescent="0.35">
      <c r="A29" t="s">
        <v>380</v>
      </c>
      <c r="B29">
        <v>168</v>
      </c>
      <c r="C29" s="43">
        <f t="shared" si="0"/>
        <v>2.8689014498198398E-2</v>
      </c>
    </row>
    <row r="30" spans="1:3" hidden="1" x14ac:dyDescent="0.35">
      <c r="A30" t="s">
        <v>381</v>
      </c>
      <c r="B30">
        <v>371</v>
      </c>
      <c r="C30" s="43">
        <f t="shared" si="0"/>
        <v>6.3354907016854797E-2</v>
      </c>
    </row>
    <row r="31" spans="1:3" hidden="1" x14ac:dyDescent="0.35">
      <c r="A31" t="s">
        <v>382</v>
      </c>
      <c r="B31">
        <v>164</v>
      </c>
      <c r="C31" s="43">
        <f t="shared" si="0"/>
        <v>2.800594272443177E-2</v>
      </c>
    </row>
    <row r="32" spans="1:3" hidden="1" x14ac:dyDescent="0.35">
      <c r="A32" t="s">
        <v>383</v>
      </c>
      <c r="B32">
        <v>138</v>
      </c>
      <c r="C32" s="43">
        <f t="shared" si="0"/>
        <v>2.3565976194948685E-2</v>
      </c>
    </row>
    <row r="33" spans="1:3" hidden="1" x14ac:dyDescent="0.35">
      <c r="A33" t="s">
        <v>384</v>
      </c>
      <c r="B33" s="42">
        <v>1063</v>
      </c>
      <c r="C33" s="43">
        <f t="shared" si="0"/>
        <v>0.18152632387848153</v>
      </c>
    </row>
    <row r="34" spans="1:3" hidden="1" x14ac:dyDescent="0.35">
      <c r="A34" t="s">
        <v>385</v>
      </c>
      <c r="B34" s="42">
        <v>27363</v>
      </c>
      <c r="C34" s="43">
        <f t="shared" si="0"/>
        <v>4.6727232363940638</v>
      </c>
    </row>
    <row r="35" spans="1:3" hidden="1" x14ac:dyDescent="0.35">
      <c r="A35" t="s">
        <v>386</v>
      </c>
      <c r="B35" s="42">
        <v>18364</v>
      </c>
      <c r="C35" s="43">
        <f t="shared" si="0"/>
        <v>3.1359825133625918</v>
      </c>
    </row>
    <row r="36" spans="1:3" hidden="1" x14ac:dyDescent="0.35">
      <c r="A36" t="s">
        <v>387</v>
      </c>
      <c r="B36" s="42">
        <v>1048</v>
      </c>
      <c r="C36" s="43">
        <f t="shared" si="0"/>
        <v>0.17896480472685666</v>
      </c>
    </row>
    <row r="37" spans="1:3" hidden="1" x14ac:dyDescent="0.35">
      <c r="A37" t="s">
        <v>388</v>
      </c>
      <c r="B37" s="42">
        <v>5618</v>
      </c>
      <c r="C37" s="43">
        <f t="shared" si="0"/>
        <v>0.95937430625522979</v>
      </c>
    </row>
    <row r="38" spans="1:3" hidden="1" x14ac:dyDescent="0.35">
      <c r="A38" t="s">
        <v>389</v>
      </c>
      <c r="B38" s="42">
        <v>35052</v>
      </c>
      <c r="C38" s="43">
        <f t="shared" si="0"/>
        <v>5.9857579535169663</v>
      </c>
    </row>
    <row r="39" spans="1:3" hidden="1" x14ac:dyDescent="0.35">
      <c r="A39" t="s">
        <v>390</v>
      </c>
      <c r="B39" s="42">
        <v>5397</v>
      </c>
      <c r="C39" s="43">
        <f t="shared" si="0"/>
        <v>0.92163459075462351</v>
      </c>
    </row>
    <row r="40" spans="1:3" hidden="1" x14ac:dyDescent="0.35">
      <c r="A40" t="s">
        <v>391</v>
      </c>
      <c r="B40" s="42">
        <v>2978</v>
      </c>
      <c r="C40" s="43">
        <f t="shared" si="0"/>
        <v>0.50854693556925501</v>
      </c>
    </row>
    <row r="41" spans="1:3" hidden="1" x14ac:dyDescent="0.35">
      <c r="A41" t="s">
        <v>392</v>
      </c>
      <c r="B41" s="42">
        <v>1961</v>
      </c>
      <c r="C41" s="43">
        <f t="shared" si="0"/>
        <v>0.33487593708908964</v>
      </c>
    </row>
    <row r="42" spans="1:3" hidden="1" x14ac:dyDescent="0.35">
      <c r="A42" t="s">
        <v>393</v>
      </c>
      <c r="B42">
        <v>676</v>
      </c>
      <c r="C42" s="43">
        <f t="shared" si="0"/>
        <v>0.11543912976656023</v>
      </c>
    </row>
    <row r="43" spans="1:3" hidden="1" x14ac:dyDescent="0.35">
      <c r="A43" t="s">
        <v>394</v>
      </c>
      <c r="B43">
        <v>22</v>
      </c>
      <c r="C43" s="43">
        <f t="shared" si="0"/>
        <v>3.7568947557164571E-3</v>
      </c>
    </row>
    <row r="44" spans="1:3" hidden="1" x14ac:dyDescent="0.35">
      <c r="A44" t="s">
        <v>395</v>
      </c>
      <c r="B44">
        <v>179</v>
      </c>
      <c r="C44" s="43">
        <f t="shared" si="0"/>
        <v>3.0567461876056624E-2</v>
      </c>
    </row>
    <row r="45" spans="1:3" hidden="1" x14ac:dyDescent="0.35">
      <c r="A45" t="s">
        <v>396</v>
      </c>
      <c r="B45">
        <v>918</v>
      </c>
      <c r="C45" s="43">
        <f t="shared" si="0"/>
        <v>0.15676497207944123</v>
      </c>
    </row>
    <row r="46" spans="1:3" x14ac:dyDescent="0.35">
      <c r="A46" t="s">
        <v>397</v>
      </c>
      <c r="B46" s="42">
        <v>174264</v>
      </c>
      <c r="C46" s="43">
        <f t="shared" si="0"/>
        <v>29.758704895916939</v>
      </c>
    </row>
    <row r="47" spans="1:3" hidden="1" x14ac:dyDescent="0.35">
      <c r="A47" t="s">
        <v>398</v>
      </c>
      <c r="B47">
        <v>101</v>
      </c>
      <c r="C47" s="43">
        <f t="shared" si="0"/>
        <v>1.7247562287607369E-2</v>
      </c>
    </row>
    <row r="48" spans="1:3" hidden="1" x14ac:dyDescent="0.35">
      <c r="A48" t="s">
        <v>399</v>
      </c>
      <c r="B48">
        <v>714</v>
      </c>
      <c r="C48" s="43">
        <f t="shared" si="0"/>
        <v>0.1219283116173432</v>
      </c>
    </row>
    <row r="49" spans="1:3" hidden="1" x14ac:dyDescent="0.35">
      <c r="A49" t="s">
        <v>400</v>
      </c>
      <c r="B49">
        <v>659</v>
      </c>
      <c r="C49" s="43">
        <f t="shared" si="0"/>
        <v>0.11253607472805204</v>
      </c>
    </row>
    <row r="50" spans="1:3" hidden="1" x14ac:dyDescent="0.35">
      <c r="A50" t="s">
        <v>401</v>
      </c>
      <c r="B50">
        <v>557</v>
      </c>
      <c r="C50" s="43">
        <f t="shared" si="0"/>
        <v>9.5117744497003026E-2</v>
      </c>
    </row>
    <row r="51" spans="1:3" hidden="1" x14ac:dyDescent="0.35">
      <c r="A51" t="s">
        <v>402</v>
      </c>
      <c r="B51" s="42">
        <v>2714</v>
      </c>
      <c r="C51" s="43">
        <f t="shared" si="0"/>
        <v>0.46346419850065745</v>
      </c>
    </row>
    <row r="52" spans="1:3" hidden="1" x14ac:dyDescent="0.35">
      <c r="A52" t="s">
        <v>403</v>
      </c>
      <c r="B52">
        <v>106</v>
      </c>
      <c r="C52" s="43">
        <f t="shared" si="0"/>
        <v>1.8101402004815657E-2</v>
      </c>
    </row>
    <row r="53" spans="1:3" hidden="1" x14ac:dyDescent="0.35">
      <c r="A53" t="s">
        <v>404</v>
      </c>
      <c r="B53">
        <v>288</v>
      </c>
      <c r="C53" s="43">
        <f t="shared" si="0"/>
        <v>4.9181167711197252E-2</v>
      </c>
    </row>
    <row r="54" spans="1:3" hidden="1" x14ac:dyDescent="0.35">
      <c r="A54" t="s">
        <v>405</v>
      </c>
      <c r="B54">
        <v>400</v>
      </c>
      <c r="C54" s="43">
        <f t="shared" si="0"/>
        <v>6.830717737666285E-2</v>
      </c>
    </row>
    <row r="55" spans="1:3" hidden="1" x14ac:dyDescent="0.35">
      <c r="A55" t="s">
        <v>406</v>
      </c>
      <c r="B55">
        <v>206</v>
      </c>
      <c r="C55" s="43">
        <f t="shared" si="0"/>
        <v>3.5178196348981373E-2</v>
      </c>
    </row>
    <row r="56" spans="1:3" hidden="1" x14ac:dyDescent="0.35">
      <c r="A56" t="s">
        <v>407</v>
      </c>
      <c r="B56">
        <v>300</v>
      </c>
      <c r="C56" s="43">
        <f t="shared" si="0"/>
        <v>5.1230383032497141E-2</v>
      </c>
    </row>
    <row r="57" spans="1:3" hidden="1" x14ac:dyDescent="0.35">
      <c r="A57" t="s">
        <v>408</v>
      </c>
      <c r="B57">
        <v>518</v>
      </c>
      <c r="C57" s="43">
        <f t="shared" si="0"/>
        <v>8.8457794702778397E-2</v>
      </c>
    </row>
    <row r="58" spans="1:3" hidden="1" x14ac:dyDescent="0.35">
      <c r="A58" t="s">
        <v>409</v>
      </c>
      <c r="B58" s="42">
        <v>1806</v>
      </c>
      <c r="C58" s="43">
        <f t="shared" si="0"/>
        <v>0.3084069058556328</v>
      </c>
    </row>
    <row r="59" spans="1:3" hidden="1" x14ac:dyDescent="0.35">
      <c r="A59" t="s">
        <v>410</v>
      </c>
      <c r="B59">
        <v>481</v>
      </c>
      <c r="C59" s="43">
        <f t="shared" si="0"/>
        <v>8.2139380795437089E-2</v>
      </c>
    </row>
    <row r="60" spans="1:3" hidden="1" x14ac:dyDescent="0.35">
      <c r="A60" t="s">
        <v>411</v>
      </c>
      <c r="B60">
        <v>725</v>
      </c>
      <c r="C60" s="43">
        <f t="shared" si="0"/>
        <v>0.12380675899520141</v>
      </c>
    </row>
    <row r="61" spans="1:3" hidden="1" x14ac:dyDescent="0.35">
      <c r="A61" t="s">
        <v>412</v>
      </c>
      <c r="B61">
        <v>69</v>
      </c>
      <c r="C61" s="43">
        <f t="shared" si="0"/>
        <v>1.1782988097474342E-2</v>
      </c>
    </row>
    <row r="62" spans="1:3" hidden="1" x14ac:dyDescent="0.35">
      <c r="A62" t="s">
        <v>413</v>
      </c>
      <c r="B62">
        <v>273</v>
      </c>
      <c r="C62" s="43">
        <f t="shared" si="0"/>
        <v>4.6619648559572402E-2</v>
      </c>
    </row>
    <row r="63" spans="1:3" hidden="1" x14ac:dyDescent="0.35">
      <c r="A63" t="s">
        <v>414</v>
      </c>
      <c r="B63">
        <v>523</v>
      </c>
      <c r="C63" s="43">
        <f t="shared" si="0"/>
        <v>8.9311634419986671E-2</v>
      </c>
    </row>
    <row r="64" spans="1:3" hidden="1" x14ac:dyDescent="0.35">
      <c r="A64" t="s">
        <v>415</v>
      </c>
      <c r="B64">
        <v>456</v>
      </c>
      <c r="C64" s="43">
        <f t="shared" si="0"/>
        <v>7.787018220939565E-2</v>
      </c>
    </row>
    <row r="65" spans="1:3" hidden="1" x14ac:dyDescent="0.35">
      <c r="A65" t="s">
        <v>416</v>
      </c>
      <c r="B65">
        <v>51</v>
      </c>
      <c r="C65" s="43">
        <f t="shared" si="0"/>
        <v>8.7091651155245132E-3</v>
      </c>
    </row>
    <row r="66" spans="1:3" hidden="1" x14ac:dyDescent="0.35">
      <c r="A66" t="s">
        <v>417</v>
      </c>
      <c r="B66">
        <v>89</v>
      </c>
      <c r="C66" s="43">
        <f t="shared" si="0"/>
        <v>1.5198346966307485E-2</v>
      </c>
    </row>
    <row r="67" spans="1:3" hidden="1" x14ac:dyDescent="0.35">
      <c r="A67" t="s">
        <v>418</v>
      </c>
      <c r="B67">
        <v>181</v>
      </c>
      <c r="C67" s="43">
        <f t="shared" si="0"/>
        <v>3.0908997762939937E-2</v>
      </c>
    </row>
    <row r="68" spans="1:3" hidden="1" x14ac:dyDescent="0.35">
      <c r="A68" t="s">
        <v>419</v>
      </c>
      <c r="B68">
        <v>633</v>
      </c>
      <c r="C68" s="43">
        <f t="shared" si="0"/>
        <v>0.10809610819856896</v>
      </c>
    </row>
    <row r="69" spans="1:3" hidden="1" x14ac:dyDescent="0.35">
      <c r="A69" t="s">
        <v>420</v>
      </c>
      <c r="B69">
        <v>44</v>
      </c>
      <c r="C69" s="43">
        <f t="shared" si="0"/>
        <v>7.5137895114329141E-3</v>
      </c>
    </row>
    <row r="70" spans="1:3" hidden="1" x14ac:dyDescent="0.35">
      <c r="A70" t="s">
        <v>421</v>
      </c>
      <c r="B70">
        <v>48</v>
      </c>
      <c r="C70" s="43">
        <f t="shared" si="0"/>
        <v>8.1968612851995425E-3</v>
      </c>
    </row>
    <row r="71" spans="1:3" hidden="1" x14ac:dyDescent="0.35">
      <c r="A71" t="s">
        <v>422</v>
      </c>
      <c r="B71">
        <v>676</v>
      </c>
      <c r="C71" s="43">
        <f t="shared" si="0"/>
        <v>0.11543912976656023</v>
      </c>
    </row>
    <row r="72" spans="1:3" hidden="1" x14ac:dyDescent="0.35">
      <c r="A72" t="s">
        <v>423</v>
      </c>
      <c r="B72" s="42">
        <v>1559</v>
      </c>
      <c r="C72" s="43">
        <f t="shared" si="0"/>
        <v>0.26622722382554348</v>
      </c>
    </row>
    <row r="73" spans="1:3" hidden="1" x14ac:dyDescent="0.35">
      <c r="A73" t="s">
        <v>424</v>
      </c>
      <c r="B73">
        <v>982</v>
      </c>
      <c r="C73" s="43">
        <f t="shared" si="0"/>
        <v>0.1676941204597073</v>
      </c>
    </row>
    <row r="74" spans="1:3" hidden="1" x14ac:dyDescent="0.35">
      <c r="A74" t="s">
        <v>425</v>
      </c>
      <c r="B74" s="42">
        <v>1315</v>
      </c>
      <c r="C74" s="43">
        <f t="shared" ref="C74:C137" si="1">B74/$B$9*100</f>
        <v>0.22455984562577913</v>
      </c>
    </row>
    <row r="75" spans="1:3" hidden="1" x14ac:dyDescent="0.35">
      <c r="A75" t="s">
        <v>426</v>
      </c>
      <c r="B75">
        <v>149</v>
      </c>
      <c r="C75" s="43">
        <f t="shared" si="1"/>
        <v>2.544442357280691E-2</v>
      </c>
    </row>
    <row r="76" spans="1:3" hidden="1" x14ac:dyDescent="0.35">
      <c r="A76" t="s">
        <v>427</v>
      </c>
      <c r="B76">
        <v>160</v>
      </c>
      <c r="C76" s="43">
        <f t="shared" si="1"/>
        <v>2.7322870950665143E-2</v>
      </c>
    </row>
    <row r="77" spans="1:3" hidden="1" x14ac:dyDescent="0.35">
      <c r="A77" t="s">
        <v>428</v>
      </c>
      <c r="B77">
        <v>83</v>
      </c>
      <c r="C77" s="43">
        <f t="shared" si="1"/>
        <v>1.4173739305657542E-2</v>
      </c>
    </row>
    <row r="78" spans="1:3" hidden="1" x14ac:dyDescent="0.35">
      <c r="A78" t="s">
        <v>429</v>
      </c>
      <c r="B78" s="42">
        <v>6707</v>
      </c>
      <c r="C78" s="43">
        <f t="shared" si="1"/>
        <v>1.1453405966631944</v>
      </c>
    </row>
    <row r="79" spans="1:3" hidden="1" x14ac:dyDescent="0.35">
      <c r="A79" t="s">
        <v>430</v>
      </c>
      <c r="B79">
        <v>368</v>
      </c>
      <c r="C79" s="43">
        <f t="shared" si="1"/>
        <v>6.2842603186529816E-2</v>
      </c>
    </row>
    <row r="80" spans="1:3" hidden="1" x14ac:dyDescent="0.35">
      <c r="A80" t="s">
        <v>431</v>
      </c>
      <c r="B80">
        <v>564</v>
      </c>
      <c r="C80" s="43">
        <f t="shared" si="1"/>
        <v>9.6313120101094621E-2</v>
      </c>
    </row>
    <row r="81" spans="1:3" hidden="1" x14ac:dyDescent="0.35">
      <c r="A81" t="s">
        <v>432</v>
      </c>
      <c r="B81" s="42">
        <v>2416</v>
      </c>
      <c r="C81" s="43">
        <f t="shared" si="1"/>
        <v>0.41257535135504358</v>
      </c>
    </row>
    <row r="82" spans="1:3" hidden="1" x14ac:dyDescent="0.35">
      <c r="A82" t="s">
        <v>433</v>
      </c>
      <c r="B82">
        <v>720</v>
      </c>
      <c r="C82" s="43">
        <f t="shared" si="1"/>
        <v>0.12295291927799314</v>
      </c>
    </row>
    <row r="83" spans="1:3" hidden="1" x14ac:dyDescent="0.35">
      <c r="A83" t="s">
        <v>434</v>
      </c>
      <c r="B83" s="42">
        <v>13236</v>
      </c>
      <c r="C83" s="43">
        <f t="shared" si="1"/>
        <v>2.2602844993937738</v>
      </c>
    </row>
    <row r="84" spans="1:3" hidden="1" x14ac:dyDescent="0.35">
      <c r="A84" t="s">
        <v>435</v>
      </c>
      <c r="B84">
        <v>120</v>
      </c>
      <c r="C84" s="43">
        <f t="shared" si="1"/>
        <v>2.0492153212998857E-2</v>
      </c>
    </row>
    <row r="85" spans="1:3" hidden="1" x14ac:dyDescent="0.35">
      <c r="A85" t="s">
        <v>436</v>
      </c>
      <c r="B85" s="42">
        <v>24980</v>
      </c>
      <c r="C85" s="43">
        <f t="shared" si="1"/>
        <v>4.2657832271725953</v>
      </c>
    </row>
    <row r="86" spans="1:3" hidden="1" x14ac:dyDescent="0.35">
      <c r="A86" t="s">
        <v>437</v>
      </c>
      <c r="B86" s="42">
        <v>9339</v>
      </c>
      <c r="C86" s="43">
        <f t="shared" si="1"/>
        <v>1.5948018238016357</v>
      </c>
    </row>
    <row r="87" spans="1:3" hidden="1" x14ac:dyDescent="0.35">
      <c r="A87" t="s">
        <v>438</v>
      </c>
      <c r="B87">
        <v>34</v>
      </c>
      <c r="C87" s="43">
        <f t="shared" si="1"/>
        <v>5.8061100770163427E-3</v>
      </c>
    </row>
    <row r="88" spans="1:3" hidden="1" x14ac:dyDescent="0.35">
      <c r="A88" t="s">
        <v>439</v>
      </c>
      <c r="B88">
        <v>68</v>
      </c>
      <c r="C88" s="43">
        <f t="shared" si="1"/>
        <v>1.1612220154032685E-2</v>
      </c>
    </row>
    <row r="89" spans="1:3" hidden="1" x14ac:dyDescent="0.35">
      <c r="A89" t="s">
        <v>440</v>
      </c>
      <c r="B89" s="42">
        <v>7683</v>
      </c>
      <c r="C89" s="43">
        <f t="shared" si="1"/>
        <v>1.3120101094622516</v>
      </c>
    </row>
    <row r="90" spans="1:3" hidden="1" x14ac:dyDescent="0.35">
      <c r="A90" t="s">
        <v>441</v>
      </c>
      <c r="B90">
        <v>110</v>
      </c>
      <c r="C90" s="43">
        <f t="shared" si="1"/>
        <v>1.8784473778582285E-2</v>
      </c>
    </row>
    <row r="91" spans="1:3" hidden="1" x14ac:dyDescent="0.35">
      <c r="A91" t="s">
        <v>442</v>
      </c>
      <c r="B91">
        <v>199</v>
      </c>
      <c r="C91" s="43">
        <f t="shared" si="1"/>
        <v>3.3982820744889772E-2</v>
      </c>
    </row>
    <row r="92" spans="1:3" hidden="1" x14ac:dyDescent="0.35">
      <c r="A92" t="s">
        <v>443</v>
      </c>
      <c r="B92" s="42">
        <v>1212</v>
      </c>
      <c r="C92" s="43">
        <f t="shared" si="1"/>
        <v>0.20697074745128843</v>
      </c>
    </row>
    <row r="93" spans="1:3" hidden="1" x14ac:dyDescent="0.35">
      <c r="A93" t="s">
        <v>444</v>
      </c>
      <c r="B93">
        <v>188</v>
      </c>
      <c r="C93" s="43">
        <f t="shared" si="1"/>
        <v>3.2104373367031536E-2</v>
      </c>
    </row>
    <row r="94" spans="1:3" hidden="1" x14ac:dyDescent="0.35">
      <c r="A94" t="s">
        <v>445</v>
      </c>
      <c r="B94">
        <v>152</v>
      </c>
      <c r="C94" s="43">
        <f t="shared" si="1"/>
        <v>2.5956727403131884E-2</v>
      </c>
    </row>
    <row r="95" spans="1:3" hidden="1" x14ac:dyDescent="0.35">
      <c r="A95" t="s">
        <v>446</v>
      </c>
      <c r="B95" s="42">
        <v>1163</v>
      </c>
      <c r="C95" s="43">
        <f t="shared" si="1"/>
        <v>0.19860311822264723</v>
      </c>
    </row>
    <row r="96" spans="1:3" hidden="1" x14ac:dyDescent="0.35">
      <c r="A96" t="s">
        <v>447</v>
      </c>
      <c r="B96">
        <v>912</v>
      </c>
      <c r="C96" s="43">
        <f t="shared" si="1"/>
        <v>0.1557403644187913</v>
      </c>
    </row>
    <row r="97" spans="1:3" hidden="1" x14ac:dyDescent="0.35">
      <c r="A97" t="s">
        <v>448</v>
      </c>
      <c r="B97">
        <v>62</v>
      </c>
      <c r="C97" s="43">
        <f t="shared" si="1"/>
        <v>1.0587612493382742E-2</v>
      </c>
    </row>
    <row r="98" spans="1:3" hidden="1" x14ac:dyDescent="0.35">
      <c r="A98" t="s">
        <v>449</v>
      </c>
      <c r="B98">
        <v>700</v>
      </c>
      <c r="C98" s="43">
        <f t="shared" si="1"/>
        <v>0.11953756040916</v>
      </c>
    </row>
    <row r="99" spans="1:3" hidden="1" x14ac:dyDescent="0.35">
      <c r="A99" t="s">
        <v>450</v>
      </c>
      <c r="B99">
        <v>466</v>
      </c>
      <c r="C99" s="43">
        <f t="shared" si="1"/>
        <v>7.9577861643812225E-2</v>
      </c>
    </row>
    <row r="100" spans="1:3" hidden="1" x14ac:dyDescent="0.35">
      <c r="A100" t="s">
        <v>451</v>
      </c>
      <c r="B100" s="42">
        <v>3232</v>
      </c>
      <c r="C100" s="43">
        <f t="shared" si="1"/>
        <v>0.55192199320343582</v>
      </c>
    </row>
    <row r="101" spans="1:3" hidden="1" x14ac:dyDescent="0.35">
      <c r="A101" t="s">
        <v>452</v>
      </c>
      <c r="B101">
        <v>990</v>
      </c>
      <c r="C101" s="43">
        <f t="shared" si="1"/>
        <v>0.16906026400724056</v>
      </c>
    </row>
    <row r="102" spans="1:3" hidden="1" x14ac:dyDescent="0.35">
      <c r="A102" t="s">
        <v>453</v>
      </c>
      <c r="B102" s="42">
        <v>1952</v>
      </c>
      <c r="C102" s="43">
        <f t="shared" si="1"/>
        <v>0.33333902559811474</v>
      </c>
    </row>
    <row r="103" spans="1:3" hidden="1" x14ac:dyDescent="0.35">
      <c r="A103" t="s">
        <v>454</v>
      </c>
      <c r="B103">
        <v>754</v>
      </c>
      <c r="C103" s="43">
        <f t="shared" si="1"/>
        <v>0.12875902935500946</v>
      </c>
    </row>
    <row r="104" spans="1:3" hidden="1" x14ac:dyDescent="0.35">
      <c r="A104" t="s">
        <v>455</v>
      </c>
      <c r="B104" s="42">
        <v>9097</v>
      </c>
      <c r="C104" s="43">
        <f t="shared" si="1"/>
        <v>1.5534759814887549</v>
      </c>
    </row>
    <row r="105" spans="1:3" hidden="1" x14ac:dyDescent="0.35">
      <c r="A105" t="s">
        <v>456</v>
      </c>
      <c r="B105">
        <v>95</v>
      </c>
      <c r="C105" s="43">
        <f t="shared" si="1"/>
        <v>1.6222954626957428E-2</v>
      </c>
    </row>
    <row r="106" spans="1:3" hidden="1" x14ac:dyDescent="0.35">
      <c r="A106" t="s">
        <v>457</v>
      </c>
      <c r="B106">
        <v>988</v>
      </c>
      <c r="C106" s="43">
        <f t="shared" si="1"/>
        <v>0.16871872812035726</v>
      </c>
    </row>
    <row r="107" spans="1:3" hidden="1" x14ac:dyDescent="0.35">
      <c r="A107" t="s">
        <v>458</v>
      </c>
      <c r="B107" s="42">
        <v>1456</v>
      </c>
      <c r="C107" s="43">
        <f t="shared" si="1"/>
        <v>0.24863812565105278</v>
      </c>
    </row>
    <row r="108" spans="1:3" hidden="1" x14ac:dyDescent="0.35">
      <c r="A108" t="s">
        <v>459</v>
      </c>
      <c r="B108">
        <v>409</v>
      </c>
      <c r="C108" s="43">
        <f t="shared" si="1"/>
        <v>6.9844088867637766E-2</v>
      </c>
    </row>
    <row r="109" spans="1:3" hidden="1" x14ac:dyDescent="0.35">
      <c r="A109" t="s">
        <v>460</v>
      </c>
      <c r="B109">
        <v>524</v>
      </c>
      <c r="C109" s="43">
        <f t="shared" si="1"/>
        <v>8.9482402363428332E-2</v>
      </c>
    </row>
    <row r="110" spans="1:3" hidden="1" x14ac:dyDescent="0.35">
      <c r="A110" t="s">
        <v>461</v>
      </c>
      <c r="B110">
        <v>801</v>
      </c>
      <c r="C110" s="43">
        <f t="shared" si="1"/>
        <v>0.13678512269676735</v>
      </c>
    </row>
    <row r="111" spans="1:3" hidden="1" x14ac:dyDescent="0.35">
      <c r="A111" t="s">
        <v>462</v>
      </c>
      <c r="B111">
        <v>247</v>
      </c>
      <c r="C111" s="43">
        <f t="shared" si="1"/>
        <v>4.2179682030089316E-2</v>
      </c>
    </row>
    <row r="112" spans="1:3" hidden="1" x14ac:dyDescent="0.35">
      <c r="A112" t="s">
        <v>463</v>
      </c>
      <c r="B112">
        <v>420</v>
      </c>
      <c r="C112" s="43">
        <f t="shared" si="1"/>
        <v>7.1722536245496002E-2</v>
      </c>
    </row>
    <row r="113" spans="1:3" hidden="1" x14ac:dyDescent="0.35">
      <c r="A113" t="s">
        <v>464</v>
      </c>
      <c r="B113">
        <v>141</v>
      </c>
      <c r="C113" s="43">
        <f t="shared" si="1"/>
        <v>2.4078280025273655E-2</v>
      </c>
    </row>
    <row r="114" spans="1:3" hidden="1" x14ac:dyDescent="0.35">
      <c r="A114" t="s">
        <v>465</v>
      </c>
      <c r="B114">
        <v>96</v>
      </c>
      <c r="C114" s="43">
        <f t="shared" si="1"/>
        <v>1.6393722570399085E-2</v>
      </c>
    </row>
    <row r="115" spans="1:3" hidden="1" x14ac:dyDescent="0.35">
      <c r="A115" t="s">
        <v>466</v>
      </c>
      <c r="B115">
        <v>232</v>
      </c>
      <c r="C115" s="43">
        <f t="shared" si="1"/>
        <v>3.9618162878464452E-2</v>
      </c>
    </row>
    <row r="116" spans="1:3" hidden="1" x14ac:dyDescent="0.35">
      <c r="A116" t="s">
        <v>467</v>
      </c>
      <c r="B116">
        <v>241</v>
      </c>
      <c r="C116" s="43">
        <f t="shared" si="1"/>
        <v>4.1155074369439368E-2</v>
      </c>
    </row>
    <row r="117" spans="1:3" hidden="1" x14ac:dyDescent="0.35">
      <c r="A117" t="s">
        <v>468</v>
      </c>
      <c r="B117">
        <v>61</v>
      </c>
      <c r="C117" s="43">
        <f t="shared" si="1"/>
        <v>1.0416844549941085E-2</v>
      </c>
    </row>
    <row r="118" spans="1:3" hidden="1" x14ac:dyDescent="0.35">
      <c r="A118" t="s">
        <v>469</v>
      </c>
      <c r="B118">
        <v>167</v>
      </c>
      <c r="C118" s="43">
        <f t="shared" si="1"/>
        <v>2.8518246554756745E-2</v>
      </c>
    </row>
    <row r="119" spans="1:3" hidden="1" x14ac:dyDescent="0.35">
      <c r="A119" t="s">
        <v>470</v>
      </c>
      <c r="B119">
        <v>162</v>
      </c>
      <c r="C119" s="43">
        <f t="shared" si="1"/>
        <v>2.7664406837548457E-2</v>
      </c>
    </row>
    <row r="120" spans="1:3" hidden="1" x14ac:dyDescent="0.35">
      <c r="A120" t="s">
        <v>471</v>
      </c>
      <c r="B120" s="42">
        <v>5574</v>
      </c>
      <c r="C120" s="43">
        <f t="shared" si="1"/>
        <v>0.9518605167437969</v>
      </c>
    </row>
    <row r="121" spans="1:3" hidden="1" x14ac:dyDescent="0.35">
      <c r="A121" t="s">
        <v>472</v>
      </c>
      <c r="B121">
        <v>89</v>
      </c>
      <c r="C121" s="43">
        <f t="shared" si="1"/>
        <v>1.5198346966307485E-2</v>
      </c>
    </row>
    <row r="122" spans="1:3" hidden="1" x14ac:dyDescent="0.35">
      <c r="A122" t="s">
        <v>473</v>
      </c>
      <c r="B122" s="42">
        <v>1367</v>
      </c>
      <c r="C122" s="43">
        <f t="shared" si="1"/>
        <v>0.23343977868474527</v>
      </c>
    </row>
    <row r="123" spans="1:3" hidden="1" x14ac:dyDescent="0.35">
      <c r="A123" t="s">
        <v>474</v>
      </c>
      <c r="B123">
        <v>959</v>
      </c>
      <c r="C123" s="43">
        <f t="shared" si="1"/>
        <v>0.16376645776054918</v>
      </c>
    </row>
    <row r="124" spans="1:3" hidden="1" x14ac:dyDescent="0.35">
      <c r="A124" t="s">
        <v>475</v>
      </c>
      <c r="B124" s="42">
        <v>2856</v>
      </c>
      <c r="C124" s="43">
        <f t="shared" si="1"/>
        <v>0.48771324646937281</v>
      </c>
    </row>
    <row r="125" spans="1:3" hidden="1" x14ac:dyDescent="0.35">
      <c r="A125" t="s">
        <v>476</v>
      </c>
      <c r="B125">
        <v>263</v>
      </c>
      <c r="C125" s="43">
        <f t="shared" si="1"/>
        <v>4.4911969125155826E-2</v>
      </c>
    </row>
    <row r="126" spans="1:3" hidden="1" x14ac:dyDescent="0.35">
      <c r="A126" t="s">
        <v>477</v>
      </c>
      <c r="B126" s="42">
        <v>31681</v>
      </c>
      <c r="C126" s="43">
        <f t="shared" si="1"/>
        <v>5.4100992161751398</v>
      </c>
    </row>
    <row r="127" spans="1:3" hidden="1" x14ac:dyDescent="0.35">
      <c r="A127" t="s">
        <v>478</v>
      </c>
      <c r="B127">
        <v>51</v>
      </c>
      <c r="C127" s="43">
        <f t="shared" si="1"/>
        <v>8.7091651155245132E-3</v>
      </c>
    </row>
    <row r="128" spans="1:3" hidden="1" x14ac:dyDescent="0.35">
      <c r="A128" t="s">
        <v>479</v>
      </c>
      <c r="B128">
        <v>66</v>
      </c>
      <c r="C128" s="43">
        <f t="shared" si="1"/>
        <v>1.127068426714937E-2</v>
      </c>
    </row>
    <row r="129" spans="1:3" hidden="1" x14ac:dyDescent="0.35">
      <c r="A129" t="s">
        <v>480</v>
      </c>
      <c r="B129" s="42">
        <v>1829</v>
      </c>
      <c r="C129" s="43">
        <f t="shared" si="1"/>
        <v>0.31233456855479086</v>
      </c>
    </row>
    <row r="130" spans="1:3" hidden="1" x14ac:dyDescent="0.35">
      <c r="A130" t="s">
        <v>481</v>
      </c>
      <c r="B130" s="42">
        <v>2197</v>
      </c>
      <c r="C130" s="43">
        <f t="shared" si="1"/>
        <v>0.3751771717413207</v>
      </c>
    </row>
    <row r="131" spans="1:3" hidden="1" x14ac:dyDescent="0.35">
      <c r="A131" t="s">
        <v>482</v>
      </c>
      <c r="B131">
        <v>569</v>
      </c>
      <c r="C131" s="43">
        <f t="shared" si="1"/>
        <v>9.7166959818302909E-2</v>
      </c>
    </row>
    <row r="132" spans="1:3" hidden="1" x14ac:dyDescent="0.35">
      <c r="A132" t="s">
        <v>483</v>
      </c>
      <c r="B132">
        <v>169</v>
      </c>
      <c r="C132" s="43">
        <f t="shared" si="1"/>
        <v>2.8859782441640058E-2</v>
      </c>
    </row>
    <row r="133" spans="1:3" x14ac:dyDescent="0.35">
      <c r="A133" t="s">
        <v>484</v>
      </c>
      <c r="B133" s="42">
        <v>51293</v>
      </c>
      <c r="C133" s="43">
        <f t="shared" si="1"/>
        <v>8.7592001229529188</v>
      </c>
    </row>
    <row r="134" spans="1:3" hidden="1" x14ac:dyDescent="0.35">
      <c r="A134" t="s">
        <v>485</v>
      </c>
      <c r="B134" s="42">
        <v>3125</v>
      </c>
      <c r="C134" s="43">
        <f t="shared" si="1"/>
        <v>0.53364982325517851</v>
      </c>
    </row>
    <row r="135" spans="1:3" hidden="1" x14ac:dyDescent="0.35">
      <c r="A135" t="s">
        <v>486</v>
      </c>
      <c r="B135">
        <v>484</v>
      </c>
      <c r="C135" s="43">
        <f t="shared" si="1"/>
        <v>8.2651684625762056E-2</v>
      </c>
    </row>
    <row r="136" spans="1:3" hidden="1" x14ac:dyDescent="0.35">
      <c r="A136" t="s">
        <v>487</v>
      </c>
      <c r="B136">
        <v>102</v>
      </c>
      <c r="C136" s="43">
        <f t="shared" si="1"/>
        <v>1.7418330231049026E-2</v>
      </c>
    </row>
    <row r="137" spans="1:3" hidden="1" x14ac:dyDescent="0.35">
      <c r="A137" t="s">
        <v>488</v>
      </c>
      <c r="B137">
        <v>60</v>
      </c>
      <c r="C137" s="43">
        <f t="shared" si="1"/>
        <v>1.0246076606499429E-2</v>
      </c>
    </row>
    <row r="138" spans="1:3" hidden="1" x14ac:dyDescent="0.35">
      <c r="A138" t="s">
        <v>489</v>
      </c>
      <c r="B138">
        <v>42</v>
      </c>
      <c r="C138" s="43">
        <f t="shared" ref="C138:C144" si="2">B138/$B$9*100</f>
        <v>7.1722536245495995E-3</v>
      </c>
    </row>
    <row r="139" spans="1:3" hidden="1" x14ac:dyDescent="0.35">
      <c r="A139" t="s">
        <v>490</v>
      </c>
      <c r="B139" s="42">
        <v>28833</v>
      </c>
      <c r="C139" s="43">
        <f t="shared" si="2"/>
        <v>4.9237521132532995</v>
      </c>
    </row>
    <row r="140" spans="1:3" hidden="1" x14ac:dyDescent="0.35">
      <c r="A140" t="s">
        <v>491</v>
      </c>
      <c r="B140">
        <v>333</v>
      </c>
      <c r="C140" s="43">
        <f t="shared" si="2"/>
        <v>5.6865725166071829E-2</v>
      </c>
    </row>
    <row r="141" spans="1:3" hidden="1" x14ac:dyDescent="0.35">
      <c r="A141" t="s">
        <v>492</v>
      </c>
      <c r="B141" s="42">
        <v>1572</v>
      </c>
      <c r="C141" s="43">
        <f t="shared" si="2"/>
        <v>0.26844720709028502</v>
      </c>
    </row>
    <row r="142" spans="1:3" hidden="1" x14ac:dyDescent="0.35">
      <c r="A142" t="s">
        <v>493</v>
      </c>
      <c r="B142">
        <v>688</v>
      </c>
      <c r="C142" s="43">
        <f t="shared" si="2"/>
        <v>0.1174883450878601</v>
      </c>
    </row>
    <row r="143" spans="1:3" hidden="1" x14ac:dyDescent="0.35">
      <c r="A143" t="s">
        <v>494</v>
      </c>
      <c r="B143">
        <v>111</v>
      </c>
      <c r="C143" s="43">
        <f t="shared" si="2"/>
        <v>1.8955241722023942E-2</v>
      </c>
    </row>
    <row r="144" spans="1:3" hidden="1" x14ac:dyDescent="0.35">
      <c r="A144" t="s">
        <v>495</v>
      </c>
      <c r="B144">
        <v>162</v>
      </c>
      <c r="C144" s="43">
        <f t="shared" si="2"/>
        <v>2.7664406837548457E-2</v>
      </c>
    </row>
  </sheetData>
  <autoFilter ref="A9:C144">
    <filterColumn colId="1">
      <customFilters>
        <customFilter operator="greaterThan" val="50000"/>
      </custom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C275"/>
  <sheetViews>
    <sheetView workbookViewId="0">
      <selection activeCell="C135" sqref="C135:C258"/>
    </sheetView>
  </sheetViews>
  <sheetFormatPr baseColWidth="10" defaultRowHeight="14.5" x14ac:dyDescent="0.35"/>
  <cols>
    <col min="1" max="1" width="75" bestFit="1" customWidth="1"/>
  </cols>
  <sheetData>
    <row r="1" spans="1:3" x14ac:dyDescent="0.35">
      <c r="A1" t="s">
        <v>354</v>
      </c>
    </row>
    <row r="2" spans="1:3" x14ac:dyDescent="0.35">
      <c r="A2" t="s">
        <v>355</v>
      </c>
    </row>
    <row r="4" spans="1:3" x14ac:dyDescent="0.35">
      <c r="A4" t="s">
        <v>496</v>
      </c>
    </row>
    <row r="5" spans="1:3" x14ac:dyDescent="0.35">
      <c r="A5" t="s">
        <v>357</v>
      </c>
    </row>
    <row r="7" spans="1:3" x14ac:dyDescent="0.35">
      <c r="A7" t="s">
        <v>358</v>
      </c>
      <c r="B7" t="s">
        <v>359</v>
      </c>
    </row>
    <row r="8" spans="1:3" x14ac:dyDescent="0.35">
      <c r="A8" t="s">
        <v>358</v>
      </c>
      <c r="B8">
        <v>2020</v>
      </c>
    </row>
    <row r="9" spans="1:3" x14ac:dyDescent="0.35">
      <c r="A9" t="s">
        <v>497</v>
      </c>
      <c r="B9" s="42">
        <v>2591875</v>
      </c>
      <c r="C9" s="43">
        <f>B9/$B$9*100</f>
        <v>100</v>
      </c>
    </row>
    <row r="10" spans="1:3" hidden="1" x14ac:dyDescent="0.35">
      <c r="A10" t="s">
        <v>498</v>
      </c>
      <c r="B10" s="42">
        <v>1037</v>
      </c>
      <c r="C10" s="43">
        <f>B10/$B$9*100</f>
        <v>4.0009645526886906E-2</v>
      </c>
    </row>
    <row r="11" spans="1:3" hidden="1" x14ac:dyDescent="0.35">
      <c r="A11" t="s">
        <v>499</v>
      </c>
      <c r="B11" s="42">
        <v>1730</v>
      </c>
      <c r="C11" s="43">
        <f t="shared" ref="C11:C73" si="0">B11/$B$9*100</f>
        <v>6.6747046057390888E-2</v>
      </c>
    </row>
    <row r="12" spans="1:3" hidden="1" x14ac:dyDescent="0.35">
      <c r="A12" t="s">
        <v>500</v>
      </c>
      <c r="B12" s="42">
        <v>2388</v>
      </c>
      <c r="C12" s="43">
        <f t="shared" si="0"/>
        <v>9.2134072823727986E-2</v>
      </c>
    </row>
    <row r="13" spans="1:3" hidden="1" x14ac:dyDescent="0.35">
      <c r="A13" t="s">
        <v>501</v>
      </c>
      <c r="B13" s="42">
        <v>4625</v>
      </c>
      <c r="C13" s="43">
        <f t="shared" si="0"/>
        <v>0.17844224740776465</v>
      </c>
    </row>
    <row r="14" spans="1:3" hidden="1" x14ac:dyDescent="0.35">
      <c r="A14" t="s">
        <v>502</v>
      </c>
      <c r="B14">
        <v>160</v>
      </c>
      <c r="C14" s="43">
        <f t="shared" si="0"/>
        <v>6.1731372076199668E-3</v>
      </c>
    </row>
    <row r="15" spans="1:3" hidden="1" x14ac:dyDescent="0.35">
      <c r="A15" t="s">
        <v>503</v>
      </c>
      <c r="B15" s="42">
        <v>29711</v>
      </c>
      <c r="C15" s="43">
        <f t="shared" si="0"/>
        <v>1.1463129973474802</v>
      </c>
    </row>
    <row r="16" spans="1:3" hidden="1" x14ac:dyDescent="0.35">
      <c r="A16" t="s">
        <v>504</v>
      </c>
      <c r="B16" s="42">
        <v>5914</v>
      </c>
      <c r="C16" s="43">
        <f t="shared" si="0"/>
        <v>0.22817458403665303</v>
      </c>
    </row>
    <row r="17" spans="1:3" hidden="1" x14ac:dyDescent="0.35">
      <c r="A17" t="s">
        <v>505</v>
      </c>
      <c r="B17" s="42">
        <v>16577</v>
      </c>
      <c r="C17" s="43">
        <f t="shared" si="0"/>
        <v>0.63957559681697607</v>
      </c>
    </row>
    <row r="18" spans="1:3" hidden="1" x14ac:dyDescent="0.35">
      <c r="A18" t="s">
        <v>506</v>
      </c>
      <c r="B18" s="42">
        <v>3326</v>
      </c>
      <c r="C18" s="43">
        <f t="shared" si="0"/>
        <v>0.12832408970340003</v>
      </c>
    </row>
    <row r="19" spans="1:3" hidden="1" x14ac:dyDescent="0.35">
      <c r="A19" t="s">
        <v>507</v>
      </c>
      <c r="B19" s="42">
        <v>4036</v>
      </c>
      <c r="C19" s="43">
        <f t="shared" si="0"/>
        <v>0.15571738606221366</v>
      </c>
    </row>
    <row r="20" spans="1:3" hidden="1" x14ac:dyDescent="0.35">
      <c r="A20" t="s">
        <v>508</v>
      </c>
      <c r="B20" s="42">
        <v>1208</v>
      </c>
      <c r="C20" s="43">
        <f t="shared" si="0"/>
        <v>4.6607185917530741E-2</v>
      </c>
    </row>
    <row r="21" spans="1:3" hidden="1" x14ac:dyDescent="0.35">
      <c r="A21" t="s">
        <v>509</v>
      </c>
      <c r="B21" s="42">
        <v>10519</v>
      </c>
      <c r="C21" s="43">
        <f t="shared" si="0"/>
        <v>0.40584518929346519</v>
      </c>
    </row>
    <row r="22" spans="1:3" hidden="1" x14ac:dyDescent="0.35">
      <c r="A22" t="s">
        <v>510</v>
      </c>
      <c r="B22" s="42">
        <v>1229</v>
      </c>
      <c r="C22" s="43">
        <f t="shared" si="0"/>
        <v>4.7417410176030871E-2</v>
      </c>
    </row>
    <row r="23" spans="1:3" hidden="1" x14ac:dyDescent="0.35">
      <c r="A23" t="s">
        <v>511</v>
      </c>
      <c r="B23" s="42">
        <v>24741</v>
      </c>
      <c r="C23" s="43">
        <f t="shared" si="0"/>
        <v>0.95455992283578484</v>
      </c>
    </row>
    <row r="24" spans="1:3" hidden="1" x14ac:dyDescent="0.35">
      <c r="A24" t="s">
        <v>512</v>
      </c>
      <c r="B24" s="42">
        <v>4151</v>
      </c>
      <c r="C24" s="43">
        <f t="shared" si="0"/>
        <v>0.16015432843019048</v>
      </c>
    </row>
    <row r="25" spans="1:3" hidden="1" x14ac:dyDescent="0.35">
      <c r="A25" t="s">
        <v>513</v>
      </c>
      <c r="B25" s="42">
        <v>1341</v>
      </c>
      <c r="C25" s="43">
        <f t="shared" si="0"/>
        <v>5.1738606221364843E-2</v>
      </c>
    </row>
    <row r="26" spans="1:3" hidden="1" x14ac:dyDescent="0.35">
      <c r="A26" t="s">
        <v>514</v>
      </c>
      <c r="B26" s="42">
        <v>10196</v>
      </c>
      <c r="C26" s="43">
        <f t="shared" si="0"/>
        <v>0.39338316855558236</v>
      </c>
    </row>
    <row r="27" spans="1:3" hidden="1" x14ac:dyDescent="0.35">
      <c r="A27" t="s">
        <v>515</v>
      </c>
      <c r="B27">
        <v>611</v>
      </c>
      <c r="C27" s="43">
        <f t="shared" si="0"/>
        <v>2.3573667711598748E-2</v>
      </c>
    </row>
    <row r="28" spans="1:3" hidden="1" x14ac:dyDescent="0.35">
      <c r="A28" t="s">
        <v>516</v>
      </c>
      <c r="B28" s="42">
        <v>5113</v>
      </c>
      <c r="C28" s="43">
        <f t="shared" si="0"/>
        <v>0.19727031589100555</v>
      </c>
    </row>
    <row r="29" spans="1:3" hidden="1" x14ac:dyDescent="0.35">
      <c r="A29" t="s">
        <v>517</v>
      </c>
      <c r="B29" s="42">
        <v>12107</v>
      </c>
      <c r="C29" s="43">
        <f t="shared" si="0"/>
        <v>0.46711357607909337</v>
      </c>
    </row>
    <row r="30" spans="1:3" hidden="1" x14ac:dyDescent="0.35">
      <c r="A30" t="s">
        <v>518</v>
      </c>
      <c r="B30" s="42">
        <v>32204</v>
      </c>
      <c r="C30" s="43">
        <f t="shared" si="0"/>
        <v>1.2424981914637085</v>
      </c>
    </row>
    <row r="31" spans="1:3" hidden="1" x14ac:dyDescent="0.35">
      <c r="A31" t="s">
        <v>519</v>
      </c>
      <c r="B31" s="42">
        <v>21395</v>
      </c>
      <c r="C31" s="43">
        <f t="shared" si="0"/>
        <v>0.82546419098143231</v>
      </c>
    </row>
    <row r="32" spans="1:3" hidden="1" x14ac:dyDescent="0.35">
      <c r="A32" t="s">
        <v>520</v>
      </c>
      <c r="B32">
        <v>569</v>
      </c>
      <c r="C32" s="43">
        <f t="shared" si="0"/>
        <v>2.1953219194598503E-2</v>
      </c>
    </row>
    <row r="33" spans="1:3" hidden="1" x14ac:dyDescent="0.35">
      <c r="A33" t="s">
        <v>521</v>
      </c>
      <c r="B33" s="42">
        <v>3282</v>
      </c>
      <c r="C33" s="43">
        <f t="shared" si="0"/>
        <v>0.12662647697130455</v>
      </c>
    </row>
    <row r="34" spans="1:3" hidden="1" x14ac:dyDescent="0.35">
      <c r="A34" t="s">
        <v>522</v>
      </c>
      <c r="B34" s="42">
        <v>1571</v>
      </c>
      <c r="C34" s="43">
        <f t="shared" si="0"/>
        <v>6.0612490957318542E-2</v>
      </c>
    </row>
    <row r="35" spans="1:3" hidden="1" x14ac:dyDescent="0.35">
      <c r="A35" t="s">
        <v>523</v>
      </c>
      <c r="B35" s="42">
        <v>1219</v>
      </c>
      <c r="C35" s="43">
        <f t="shared" si="0"/>
        <v>4.7031589100554619E-2</v>
      </c>
    </row>
    <row r="36" spans="1:3" hidden="1" x14ac:dyDescent="0.35">
      <c r="A36" t="s">
        <v>524</v>
      </c>
      <c r="B36">
        <v>449</v>
      </c>
      <c r="C36" s="43">
        <f t="shared" si="0"/>
        <v>1.7323366288883531E-2</v>
      </c>
    </row>
    <row r="37" spans="1:3" hidden="1" x14ac:dyDescent="0.35">
      <c r="A37" t="s">
        <v>525</v>
      </c>
      <c r="B37">
        <v>491</v>
      </c>
      <c r="C37" s="43">
        <f t="shared" si="0"/>
        <v>1.8943814805883769E-2</v>
      </c>
    </row>
    <row r="38" spans="1:3" hidden="1" x14ac:dyDescent="0.35">
      <c r="A38" t="s">
        <v>526</v>
      </c>
      <c r="B38" s="42">
        <v>27430</v>
      </c>
      <c r="C38" s="43">
        <f t="shared" si="0"/>
        <v>1.058307210031348</v>
      </c>
    </row>
    <row r="39" spans="1:3" hidden="1" x14ac:dyDescent="0.35">
      <c r="A39" t="s">
        <v>527</v>
      </c>
      <c r="B39" s="42">
        <v>1053</v>
      </c>
      <c r="C39" s="43">
        <f t="shared" si="0"/>
        <v>4.0626959247648906E-2</v>
      </c>
    </row>
    <row r="40" spans="1:3" hidden="1" x14ac:dyDescent="0.35">
      <c r="A40" t="s">
        <v>528</v>
      </c>
      <c r="B40" s="42">
        <v>13827</v>
      </c>
      <c r="C40" s="43">
        <f t="shared" si="0"/>
        <v>0.53347480106100797</v>
      </c>
    </row>
    <row r="41" spans="1:3" hidden="1" x14ac:dyDescent="0.35">
      <c r="A41" t="s">
        <v>529</v>
      </c>
      <c r="B41" s="42">
        <v>7438</v>
      </c>
      <c r="C41" s="43">
        <f t="shared" si="0"/>
        <v>0.28697371593923315</v>
      </c>
    </row>
    <row r="42" spans="1:3" hidden="1" x14ac:dyDescent="0.35">
      <c r="A42" t="s">
        <v>530</v>
      </c>
      <c r="B42">
        <v>265</v>
      </c>
      <c r="C42" s="43">
        <f t="shared" si="0"/>
        <v>1.022425850012057E-2</v>
      </c>
    </row>
    <row r="43" spans="1:3" hidden="1" x14ac:dyDescent="0.35">
      <c r="A43" t="s">
        <v>531</v>
      </c>
      <c r="B43" s="42">
        <v>2477</v>
      </c>
      <c r="C43" s="43">
        <f t="shared" si="0"/>
        <v>9.5567880395466598E-2</v>
      </c>
    </row>
    <row r="44" spans="1:3" hidden="1" x14ac:dyDescent="0.35">
      <c r="A44" t="s">
        <v>532</v>
      </c>
      <c r="B44" s="42">
        <v>8979</v>
      </c>
      <c r="C44" s="43">
        <f t="shared" si="0"/>
        <v>0.346428743670123</v>
      </c>
    </row>
    <row r="45" spans="1:3" hidden="1" x14ac:dyDescent="0.35">
      <c r="A45" t="s">
        <v>533</v>
      </c>
      <c r="B45">
        <v>635</v>
      </c>
      <c r="C45" s="43">
        <f t="shared" si="0"/>
        <v>2.4499638292741741E-2</v>
      </c>
    </row>
    <row r="46" spans="1:3" hidden="1" x14ac:dyDescent="0.35">
      <c r="A46" t="s">
        <v>534</v>
      </c>
      <c r="B46" s="42">
        <v>1496</v>
      </c>
      <c r="C46" s="43">
        <f t="shared" si="0"/>
        <v>5.7718832891246685E-2</v>
      </c>
    </row>
    <row r="47" spans="1:3" hidden="1" x14ac:dyDescent="0.35">
      <c r="A47" t="s">
        <v>535</v>
      </c>
      <c r="B47" s="42">
        <v>44938</v>
      </c>
      <c r="C47" s="43">
        <f t="shared" si="0"/>
        <v>1.7338027489751626</v>
      </c>
    </row>
    <row r="48" spans="1:3" hidden="1" x14ac:dyDescent="0.35">
      <c r="A48" t="s">
        <v>536</v>
      </c>
      <c r="B48">
        <v>308</v>
      </c>
      <c r="C48" s="43">
        <f t="shared" si="0"/>
        <v>1.1883289124668435E-2</v>
      </c>
    </row>
    <row r="49" spans="1:3" hidden="1" x14ac:dyDescent="0.35">
      <c r="A49" t="s">
        <v>537</v>
      </c>
      <c r="B49" s="42">
        <v>2615</v>
      </c>
      <c r="C49" s="43">
        <f t="shared" si="0"/>
        <v>0.10089221123703881</v>
      </c>
    </row>
    <row r="50" spans="1:3" hidden="1" x14ac:dyDescent="0.35">
      <c r="A50" t="s">
        <v>538</v>
      </c>
      <c r="B50" s="42">
        <v>1157</v>
      </c>
      <c r="C50" s="43">
        <f t="shared" si="0"/>
        <v>4.4639498432601885E-2</v>
      </c>
    </row>
    <row r="51" spans="1:3" hidden="1" x14ac:dyDescent="0.35">
      <c r="A51" t="s">
        <v>539</v>
      </c>
      <c r="B51">
        <v>359</v>
      </c>
      <c r="C51" s="43">
        <f t="shared" si="0"/>
        <v>1.3850976609597299E-2</v>
      </c>
    </row>
    <row r="52" spans="1:3" hidden="1" x14ac:dyDescent="0.35">
      <c r="A52" t="s">
        <v>540</v>
      </c>
      <c r="B52" s="42">
        <v>1162</v>
      </c>
      <c r="C52" s="43">
        <f t="shared" si="0"/>
        <v>4.4832408970340007E-2</v>
      </c>
    </row>
    <row r="53" spans="1:3" hidden="1" x14ac:dyDescent="0.35">
      <c r="A53" t="s">
        <v>541</v>
      </c>
      <c r="B53" s="42">
        <v>5283</v>
      </c>
      <c r="C53" s="43">
        <f t="shared" si="0"/>
        <v>0.20382927417410177</v>
      </c>
    </row>
    <row r="54" spans="1:3" hidden="1" x14ac:dyDescent="0.35">
      <c r="A54" t="s">
        <v>542</v>
      </c>
      <c r="B54" s="42">
        <v>1303</v>
      </c>
      <c r="C54" s="43">
        <f t="shared" si="0"/>
        <v>5.0272486134555094E-2</v>
      </c>
    </row>
    <row r="55" spans="1:3" hidden="1" x14ac:dyDescent="0.35">
      <c r="A55" t="s">
        <v>543</v>
      </c>
      <c r="B55" s="42">
        <v>1586</v>
      </c>
      <c r="C55" s="43">
        <f t="shared" si="0"/>
        <v>6.1191222570532916E-2</v>
      </c>
    </row>
    <row r="56" spans="1:3" hidden="1" x14ac:dyDescent="0.35">
      <c r="A56" t="s">
        <v>544</v>
      </c>
      <c r="B56">
        <v>679</v>
      </c>
      <c r="C56" s="43">
        <f t="shared" si="0"/>
        <v>2.6197251024837234E-2</v>
      </c>
    </row>
    <row r="57" spans="1:3" hidden="1" x14ac:dyDescent="0.35">
      <c r="A57" t="s">
        <v>545</v>
      </c>
      <c r="B57" s="42">
        <v>4618</v>
      </c>
      <c r="C57" s="43">
        <f t="shared" si="0"/>
        <v>0.17817217265493127</v>
      </c>
    </row>
    <row r="58" spans="1:3" hidden="1" x14ac:dyDescent="0.35">
      <c r="A58" t="s">
        <v>546</v>
      </c>
      <c r="B58">
        <v>299</v>
      </c>
      <c r="C58" s="43">
        <f t="shared" si="0"/>
        <v>1.1536050156739813E-2</v>
      </c>
    </row>
    <row r="59" spans="1:3" hidden="1" x14ac:dyDescent="0.35">
      <c r="A59" t="s">
        <v>547</v>
      </c>
      <c r="B59">
        <v>180</v>
      </c>
      <c r="C59" s="43">
        <f t="shared" si="0"/>
        <v>6.9447793585724615E-3</v>
      </c>
    </row>
    <row r="60" spans="1:3" hidden="1" x14ac:dyDescent="0.35">
      <c r="A60" t="s">
        <v>548</v>
      </c>
      <c r="B60" s="42">
        <v>11256</v>
      </c>
      <c r="C60" s="43">
        <f t="shared" si="0"/>
        <v>0.43428020255606464</v>
      </c>
    </row>
    <row r="61" spans="1:3" hidden="1" x14ac:dyDescent="0.35">
      <c r="A61" t="s">
        <v>549</v>
      </c>
      <c r="B61">
        <v>638</v>
      </c>
      <c r="C61" s="43">
        <f t="shared" si="0"/>
        <v>2.4615384615384615E-2</v>
      </c>
    </row>
    <row r="62" spans="1:3" hidden="1" x14ac:dyDescent="0.35">
      <c r="A62" t="s">
        <v>550</v>
      </c>
      <c r="B62">
        <v>627</v>
      </c>
      <c r="C62" s="43">
        <f t="shared" si="0"/>
        <v>2.4190981432360745E-2</v>
      </c>
    </row>
    <row r="63" spans="1:3" hidden="1" x14ac:dyDescent="0.35">
      <c r="A63" t="s">
        <v>551</v>
      </c>
      <c r="B63" s="42">
        <v>15000</v>
      </c>
      <c r="C63" s="43">
        <f t="shared" si="0"/>
        <v>0.57873161321437183</v>
      </c>
    </row>
    <row r="64" spans="1:3" hidden="1" x14ac:dyDescent="0.35">
      <c r="A64" t="s">
        <v>552</v>
      </c>
      <c r="B64" s="42">
        <v>1767</v>
      </c>
      <c r="C64" s="43">
        <f t="shared" si="0"/>
        <v>6.817458403665301E-2</v>
      </c>
    </row>
    <row r="65" spans="1:3" hidden="1" x14ac:dyDescent="0.35">
      <c r="A65" t="s">
        <v>553</v>
      </c>
      <c r="B65">
        <v>219</v>
      </c>
      <c r="C65" s="43">
        <f t="shared" si="0"/>
        <v>8.4494815529298287E-3</v>
      </c>
    </row>
    <row r="66" spans="1:3" hidden="1" x14ac:dyDescent="0.35">
      <c r="A66" t="s">
        <v>554</v>
      </c>
      <c r="B66">
        <v>574</v>
      </c>
      <c r="C66" s="43">
        <f t="shared" si="0"/>
        <v>2.2146129732336629E-2</v>
      </c>
    </row>
    <row r="67" spans="1:3" hidden="1" x14ac:dyDescent="0.35">
      <c r="A67" t="s">
        <v>555</v>
      </c>
      <c r="B67" s="42">
        <v>1048</v>
      </c>
      <c r="C67" s="43">
        <f t="shared" si="0"/>
        <v>4.0434048709910776E-2</v>
      </c>
    </row>
    <row r="68" spans="1:3" hidden="1" x14ac:dyDescent="0.35">
      <c r="A68" t="s">
        <v>556</v>
      </c>
      <c r="B68" s="42">
        <v>11989</v>
      </c>
      <c r="C68" s="43">
        <f t="shared" si="0"/>
        <v>0.46256088738847362</v>
      </c>
    </row>
    <row r="69" spans="1:3" hidden="1" x14ac:dyDescent="0.35">
      <c r="A69" t="s">
        <v>557</v>
      </c>
      <c r="B69" s="42">
        <v>1558</v>
      </c>
      <c r="C69" s="43">
        <f t="shared" si="0"/>
        <v>6.011092355919942E-2</v>
      </c>
    </row>
    <row r="70" spans="1:3" hidden="1" x14ac:dyDescent="0.35">
      <c r="A70" t="s">
        <v>558</v>
      </c>
      <c r="B70" s="42">
        <v>2213</v>
      </c>
      <c r="C70" s="43">
        <f t="shared" si="0"/>
        <v>8.5382204002893661E-2</v>
      </c>
    </row>
    <row r="71" spans="1:3" hidden="1" x14ac:dyDescent="0.35">
      <c r="A71" t="s">
        <v>559</v>
      </c>
      <c r="B71">
        <v>460</v>
      </c>
      <c r="C71" s="43">
        <f t="shared" si="0"/>
        <v>1.7747769471907406E-2</v>
      </c>
    </row>
    <row r="72" spans="1:3" hidden="1" x14ac:dyDescent="0.35">
      <c r="A72" t="s">
        <v>560</v>
      </c>
      <c r="B72" s="42">
        <v>5779</v>
      </c>
      <c r="C72" s="43">
        <f t="shared" si="0"/>
        <v>0.22296599951772364</v>
      </c>
    </row>
    <row r="73" spans="1:3" hidden="1" x14ac:dyDescent="0.35">
      <c r="A73" t="s">
        <v>561</v>
      </c>
      <c r="B73" s="42">
        <v>2272</v>
      </c>
      <c r="C73" s="43">
        <f t="shared" si="0"/>
        <v>8.765854834820351E-2</v>
      </c>
    </row>
    <row r="74" spans="1:3" hidden="1" x14ac:dyDescent="0.35">
      <c r="A74" t="s">
        <v>562</v>
      </c>
      <c r="B74">
        <v>667</v>
      </c>
      <c r="C74" s="43">
        <f t="shared" ref="C74:C137" si="1">B74/$B$9*100</f>
        <v>2.5734265734265734E-2</v>
      </c>
    </row>
    <row r="75" spans="1:3" hidden="1" x14ac:dyDescent="0.35">
      <c r="A75" t="s">
        <v>563</v>
      </c>
      <c r="B75" s="42">
        <v>2015</v>
      </c>
      <c r="C75" s="43">
        <f t="shared" si="1"/>
        <v>7.7742946708463948E-2</v>
      </c>
    </row>
    <row r="76" spans="1:3" hidden="1" x14ac:dyDescent="0.35">
      <c r="A76" t="s">
        <v>564</v>
      </c>
      <c r="B76" s="42">
        <v>1555</v>
      </c>
      <c r="C76" s="43">
        <f t="shared" si="1"/>
        <v>5.9995177236556542E-2</v>
      </c>
    </row>
    <row r="77" spans="1:3" hidden="1" x14ac:dyDescent="0.35">
      <c r="A77" t="s">
        <v>565</v>
      </c>
      <c r="B77" s="42">
        <v>2291</v>
      </c>
      <c r="C77" s="43">
        <f t="shared" si="1"/>
        <v>8.8391608391608395E-2</v>
      </c>
    </row>
    <row r="78" spans="1:3" hidden="1" x14ac:dyDescent="0.35">
      <c r="A78" t="s">
        <v>566</v>
      </c>
      <c r="B78">
        <v>432</v>
      </c>
      <c r="C78" s="43">
        <f t="shared" si="1"/>
        <v>1.6667470460573909E-2</v>
      </c>
    </row>
    <row r="79" spans="1:3" hidden="1" x14ac:dyDescent="0.35">
      <c r="A79" t="s">
        <v>567</v>
      </c>
      <c r="B79">
        <v>185</v>
      </c>
      <c r="C79" s="43">
        <f t="shared" si="1"/>
        <v>7.1376898963105865E-3</v>
      </c>
    </row>
    <row r="80" spans="1:3" hidden="1" x14ac:dyDescent="0.35">
      <c r="A80" t="s">
        <v>568</v>
      </c>
      <c r="B80" s="42">
        <v>24604</v>
      </c>
      <c r="C80" s="43">
        <f t="shared" si="1"/>
        <v>0.9492741741017604</v>
      </c>
    </row>
    <row r="81" spans="1:3" hidden="1" x14ac:dyDescent="0.35">
      <c r="A81" t="s">
        <v>569</v>
      </c>
      <c r="B81">
        <v>529</v>
      </c>
      <c r="C81" s="43">
        <f t="shared" si="1"/>
        <v>2.0409934892693514E-2</v>
      </c>
    </row>
    <row r="82" spans="1:3" hidden="1" x14ac:dyDescent="0.35">
      <c r="A82" t="s">
        <v>570</v>
      </c>
      <c r="B82" s="42">
        <v>4142</v>
      </c>
      <c r="C82" s="43">
        <f t="shared" si="1"/>
        <v>0.15980708946226185</v>
      </c>
    </row>
    <row r="83" spans="1:3" hidden="1" x14ac:dyDescent="0.35">
      <c r="A83" t="s">
        <v>571</v>
      </c>
      <c r="B83" s="42">
        <v>1324</v>
      </c>
      <c r="C83" s="43">
        <f t="shared" si="1"/>
        <v>5.1082710393055224E-2</v>
      </c>
    </row>
    <row r="84" spans="1:3" hidden="1" x14ac:dyDescent="0.35">
      <c r="A84" t="s">
        <v>572</v>
      </c>
      <c r="B84" s="42">
        <v>3738</v>
      </c>
      <c r="C84" s="43">
        <f t="shared" si="1"/>
        <v>0.14421991801302148</v>
      </c>
    </row>
    <row r="85" spans="1:3" hidden="1" x14ac:dyDescent="0.35">
      <c r="A85" t="s">
        <v>573</v>
      </c>
      <c r="B85">
        <v>156</v>
      </c>
      <c r="C85" s="43">
        <f t="shared" si="1"/>
        <v>6.0188087774294668E-3</v>
      </c>
    </row>
    <row r="86" spans="1:3" hidden="1" x14ac:dyDescent="0.35">
      <c r="A86" t="s">
        <v>574</v>
      </c>
      <c r="B86">
        <v>739</v>
      </c>
      <c r="C86" s="43">
        <f t="shared" si="1"/>
        <v>2.8512177477694717E-2</v>
      </c>
    </row>
    <row r="87" spans="1:3" hidden="1" x14ac:dyDescent="0.35">
      <c r="A87" t="s">
        <v>575</v>
      </c>
      <c r="B87" s="42">
        <v>9498</v>
      </c>
      <c r="C87" s="43">
        <f t="shared" si="1"/>
        <v>0.36645285748734024</v>
      </c>
    </row>
    <row r="88" spans="1:3" hidden="1" x14ac:dyDescent="0.35">
      <c r="A88" t="s">
        <v>576</v>
      </c>
      <c r="B88" s="42">
        <v>38632</v>
      </c>
      <c r="C88" s="43">
        <f t="shared" si="1"/>
        <v>1.4905039787798409</v>
      </c>
    </row>
    <row r="89" spans="1:3" hidden="1" x14ac:dyDescent="0.35">
      <c r="A89" t="s">
        <v>577</v>
      </c>
      <c r="B89">
        <v>355</v>
      </c>
      <c r="C89" s="43">
        <f t="shared" si="1"/>
        <v>1.3696648179406799E-2</v>
      </c>
    </row>
    <row r="90" spans="1:3" hidden="1" x14ac:dyDescent="0.35">
      <c r="A90" t="s">
        <v>578</v>
      </c>
      <c r="B90" s="42">
        <v>1198</v>
      </c>
      <c r="C90" s="43">
        <f t="shared" si="1"/>
        <v>4.6221364842054496E-2</v>
      </c>
    </row>
    <row r="91" spans="1:3" hidden="1" x14ac:dyDescent="0.35">
      <c r="A91" t="s">
        <v>579</v>
      </c>
      <c r="B91" s="42">
        <v>13516</v>
      </c>
      <c r="C91" s="43">
        <f t="shared" si="1"/>
        <v>0.52147576561369668</v>
      </c>
    </row>
    <row r="92" spans="1:3" hidden="1" x14ac:dyDescent="0.35">
      <c r="A92" t="s">
        <v>580</v>
      </c>
      <c r="B92" s="42">
        <v>6765</v>
      </c>
      <c r="C92" s="43">
        <f t="shared" si="1"/>
        <v>0.2610079575596817</v>
      </c>
    </row>
    <row r="93" spans="1:3" hidden="1" x14ac:dyDescent="0.35">
      <c r="A93" t="s">
        <v>581</v>
      </c>
      <c r="B93" s="42">
        <v>20436</v>
      </c>
      <c r="C93" s="43">
        <f t="shared" si="1"/>
        <v>0.78846394984326018</v>
      </c>
    </row>
    <row r="94" spans="1:3" hidden="1" x14ac:dyDescent="0.35">
      <c r="A94" t="s">
        <v>582</v>
      </c>
      <c r="B94" s="42">
        <v>1827</v>
      </c>
      <c r="C94" s="43">
        <f t="shared" si="1"/>
        <v>7.0489510489510479E-2</v>
      </c>
    </row>
    <row r="95" spans="1:3" hidden="1" x14ac:dyDescent="0.35">
      <c r="A95" t="s">
        <v>583</v>
      </c>
      <c r="B95" s="42">
        <v>15740</v>
      </c>
      <c r="C95" s="43">
        <f t="shared" si="1"/>
        <v>0.60728237279961417</v>
      </c>
    </row>
    <row r="96" spans="1:3" hidden="1" x14ac:dyDescent="0.35">
      <c r="A96" t="s">
        <v>584</v>
      </c>
      <c r="B96">
        <v>99</v>
      </c>
      <c r="C96" s="43">
        <f t="shared" si="1"/>
        <v>3.819628647214854E-3</v>
      </c>
    </row>
    <row r="97" spans="1:3" hidden="1" x14ac:dyDescent="0.35">
      <c r="A97" t="s">
        <v>585</v>
      </c>
      <c r="B97">
        <v>131</v>
      </c>
      <c r="C97" s="43">
        <f t="shared" si="1"/>
        <v>5.054256088738847E-3</v>
      </c>
    </row>
    <row r="98" spans="1:3" hidden="1" x14ac:dyDescent="0.35">
      <c r="A98" t="s">
        <v>586</v>
      </c>
      <c r="B98">
        <v>163</v>
      </c>
      <c r="C98" s="43">
        <f t="shared" si="1"/>
        <v>6.28888353026284E-3</v>
      </c>
    </row>
    <row r="99" spans="1:3" hidden="1" x14ac:dyDescent="0.35">
      <c r="A99" t="s">
        <v>587</v>
      </c>
      <c r="B99" s="42">
        <v>2780</v>
      </c>
      <c r="C99" s="43">
        <f t="shared" si="1"/>
        <v>0.10725825898239691</v>
      </c>
    </row>
    <row r="100" spans="1:3" hidden="1" x14ac:dyDescent="0.35">
      <c r="A100" t="s">
        <v>588</v>
      </c>
      <c r="B100" s="42">
        <v>2298</v>
      </c>
      <c r="C100" s="43">
        <f t="shared" si="1"/>
        <v>8.8661683144441769E-2</v>
      </c>
    </row>
    <row r="101" spans="1:3" hidden="1" x14ac:dyDescent="0.35">
      <c r="A101" t="s">
        <v>589</v>
      </c>
      <c r="B101">
        <v>141</v>
      </c>
      <c r="C101" s="43">
        <f t="shared" si="1"/>
        <v>5.4400771642150953E-3</v>
      </c>
    </row>
    <row r="102" spans="1:3" hidden="1" x14ac:dyDescent="0.35">
      <c r="A102" t="s">
        <v>590</v>
      </c>
      <c r="B102">
        <v>308</v>
      </c>
      <c r="C102" s="43">
        <f t="shared" si="1"/>
        <v>1.1883289124668435E-2</v>
      </c>
    </row>
    <row r="103" spans="1:3" hidden="1" x14ac:dyDescent="0.35">
      <c r="A103" t="s">
        <v>591</v>
      </c>
      <c r="B103" s="42">
        <v>2804</v>
      </c>
      <c r="C103" s="43">
        <f t="shared" si="1"/>
        <v>0.10818422956353992</v>
      </c>
    </row>
    <row r="104" spans="1:3" hidden="1" x14ac:dyDescent="0.35">
      <c r="A104" t="s">
        <v>592</v>
      </c>
      <c r="B104" s="42">
        <v>28608</v>
      </c>
      <c r="C104" s="43">
        <f t="shared" si="1"/>
        <v>1.1037569327224499</v>
      </c>
    </row>
    <row r="105" spans="1:3" hidden="1" x14ac:dyDescent="0.35">
      <c r="A105" t="s">
        <v>593</v>
      </c>
      <c r="B105">
        <v>711</v>
      </c>
      <c r="C105" s="43">
        <f t="shared" si="1"/>
        <v>2.7431878466361227E-2</v>
      </c>
    </row>
    <row r="106" spans="1:3" hidden="1" x14ac:dyDescent="0.35">
      <c r="A106" t="s">
        <v>594</v>
      </c>
      <c r="B106">
        <v>331</v>
      </c>
      <c r="C106" s="43">
        <f t="shared" si="1"/>
        <v>1.2770677598263806E-2</v>
      </c>
    </row>
    <row r="107" spans="1:3" hidden="1" x14ac:dyDescent="0.35">
      <c r="A107" t="s">
        <v>595</v>
      </c>
      <c r="B107" s="42">
        <v>2472</v>
      </c>
      <c r="C107" s="43">
        <f t="shared" si="1"/>
        <v>9.5374969857728475E-2</v>
      </c>
    </row>
    <row r="108" spans="1:3" hidden="1" x14ac:dyDescent="0.35">
      <c r="A108" t="s">
        <v>596</v>
      </c>
      <c r="B108" s="42">
        <v>1531</v>
      </c>
      <c r="C108" s="43">
        <f t="shared" si="1"/>
        <v>5.9069206655413556E-2</v>
      </c>
    </row>
    <row r="109" spans="1:3" hidden="1" x14ac:dyDescent="0.35">
      <c r="A109" t="s">
        <v>597</v>
      </c>
      <c r="B109">
        <v>469</v>
      </c>
      <c r="C109" s="43">
        <f t="shared" si="1"/>
        <v>1.8095008439836028E-2</v>
      </c>
    </row>
    <row r="110" spans="1:3" hidden="1" x14ac:dyDescent="0.35">
      <c r="A110" t="s">
        <v>598</v>
      </c>
      <c r="B110" s="42">
        <v>8735</v>
      </c>
      <c r="C110" s="43">
        <f t="shared" si="1"/>
        <v>0.33701470942850253</v>
      </c>
    </row>
    <row r="111" spans="1:3" hidden="1" x14ac:dyDescent="0.35">
      <c r="A111" t="s">
        <v>599</v>
      </c>
      <c r="B111" s="42">
        <v>15414</v>
      </c>
      <c r="C111" s="43">
        <f t="shared" si="1"/>
        <v>0.59470460573908845</v>
      </c>
    </row>
    <row r="112" spans="1:3" hidden="1" x14ac:dyDescent="0.35">
      <c r="A112" t="s">
        <v>600</v>
      </c>
      <c r="B112">
        <v>662</v>
      </c>
      <c r="C112" s="43">
        <f t="shared" si="1"/>
        <v>2.5541355196527612E-2</v>
      </c>
    </row>
    <row r="113" spans="1:3" hidden="1" x14ac:dyDescent="0.35">
      <c r="A113" t="s">
        <v>601</v>
      </c>
      <c r="B113" s="42">
        <v>1123</v>
      </c>
      <c r="C113" s="43">
        <f t="shared" si="1"/>
        <v>4.332770677598264E-2</v>
      </c>
    </row>
    <row r="114" spans="1:3" hidden="1" x14ac:dyDescent="0.35">
      <c r="A114" t="s">
        <v>602</v>
      </c>
      <c r="B114" s="42">
        <v>3088</v>
      </c>
      <c r="C114" s="43">
        <f t="shared" si="1"/>
        <v>0.11914154810706536</v>
      </c>
    </row>
    <row r="115" spans="1:3" hidden="1" x14ac:dyDescent="0.35">
      <c r="A115" t="s">
        <v>603</v>
      </c>
      <c r="B115">
        <v>771</v>
      </c>
      <c r="C115" s="43">
        <f t="shared" si="1"/>
        <v>2.974680491921871E-2</v>
      </c>
    </row>
    <row r="116" spans="1:3" hidden="1" x14ac:dyDescent="0.35">
      <c r="A116" t="s">
        <v>604</v>
      </c>
      <c r="B116">
        <v>333</v>
      </c>
      <c r="C116" s="43">
        <f t="shared" si="1"/>
        <v>1.2847841813359054E-2</v>
      </c>
    </row>
    <row r="117" spans="1:3" hidden="1" x14ac:dyDescent="0.35">
      <c r="A117" t="s">
        <v>605</v>
      </c>
      <c r="B117" s="42">
        <v>22521</v>
      </c>
      <c r="C117" s="43">
        <f t="shared" si="1"/>
        <v>0.86890764408005783</v>
      </c>
    </row>
    <row r="118" spans="1:3" hidden="1" x14ac:dyDescent="0.35">
      <c r="A118" t="s">
        <v>606</v>
      </c>
      <c r="B118" s="42">
        <v>3196</v>
      </c>
      <c r="C118" s="43">
        <f t="shared" si="1"/>
        <v>0.12330841572220881</v>
      </c>
    </row>
    <row r="119" spans="1:3" hidden="1" x14ac:dyDescent="0.35">
      <c r="A119" t="s">
        <v>607</v>
      </c>
      <c r="B119">
        <v>673</v>
      </c>
      <c r="C119" s="43">
        <f t="shared" si="1"/>
        <v>2.5965758379551479E-2</v>
      </c>
    </row>
    <row r="120" spans="1:3" hidden="1" x14ac:dyDescent="0.35">
      <c r="A120" t="s">
        <v>608</v>
      </c>
      <c r="B120">
        <v>327</v>
      </c>
      <c r="C120" s="43">
        <f t="shared" si="1"/>
        <v>1.2616349168073306E-2</v>
      </c>
    </row>
    <row r="121" spans="1:3" hidden="1" x14ac:dyDescent="0.35">
      <c r="A121" t="s">
        <v>609</v>
      </c>
      <c r="B121" s="42">
        <v>18362</v>
      </c>
      <c r="C121" s="43">
        <f t="shared" si="1"/>
        <v>0.70844465878948637</v>
      </c>
    </row>
    <row r="122" spans="1:3" hidden="1" x14ac:dyDescent="0.35">
      <c r="A122" t="s">
        <v>610</v>
      </c>
      <c r="B122">
        <v>688</v>
      </c>
      <c r="C122" s="43">
        <f t="shared" si="1"/>
        <v>2.6544489992765853E-2</v>
      </c>
    </row>
    <row r="123" spans="1:3" hidden="1" x14ac:dyDescent="0.35">
      <c r="A123" t="s">
        <v>611</v>
      </c>
      <c r="B123" s="42">
        <v>4777</v>
      </c>
      <c r="C123" s="43">
        <f t="shared" si="1"/>
        <v>0.18430672775500362</v>
      </c>
    </row>
    <row r="124" spans="1:3" hidden="1" x14ac:dyDescent="0.35">
      <c r="A124" t="s">
        <v>612</v>
      </c>
      <c r="B124">
        <v>902</v>
      </c>
      <c r="C124" s="43">
        <f t="shared" si="1"/>
        <v>3.4801061007957559E-2</v>
      </c>
    </row>
    <row r="125" spans="1:3" hidden="1" x14ac:dyDescent="0.35">
      <c r="A125" t="s">
        <v>613</v>
      </c>
      <c r="B125" s="42">
        <v>1441</v>
      </c>
      <c r="C125" s="43">
        <f t="shared" si="1"/>
        <v>5.5596816976127318E-2</v>
      </c>
    </row>
    <row r="126" spans="1:3" hidden="1" x14ac:dyDescent="0.35">
      <c r="A126" t="s">
        <v>614</v>
      </c>
      <c r="B126">
        <v>125</v>
      </c>
      <c r="C126" s="43">
        <f t="shared" si="1"/>
        <v>4.8227634434530988E-3</v>
      </c>
    </row>
    <row r="127" spans="1:3" hidden="1" x14ac:dyDescent="0.35">
      <c r="A127" t="s">
        <v>615</v>
      </c>
      <c r="B127" s="42">
        <v>3553</v>
      </c>
      <c r="C127" s="43">
        <f t="shared" si="1"/>
        <v>0.13708222811671086</v>
      </c>
    </row>
    <row r="128" spans="1:3" hidden="1" x14ac:dyDescent="0.35">
      <c r="A128" t="s">
        <v>616</v>
      </c>
      <c r="B128" s="42">
        <v>2504</v>
      </c>
      <c r="C128" s="43">
        <f t="shared" si="1"/>
        <v>9.6609597299252475E-2</v>
      </c>
    </row>
    <row r="129" spans="1:3" hidden="1" x14ac:dyDescent="0.35">
      <c r="A129" t="s">
        <v>617</v>
      </c>
      <c r="B129" s="42">
        <v>7452</v>
      </c>
      <c r="C129" s="43">
        <f t="shared" si="1"/>
        <v>0.28751386544489993</v>
      </c>
    </row>
    <row r="130" spans="1:3" hidden="1" x14ac:dyDescent="0.35">
      <c r="A130" t="s">
        <v>618</v>
      </c>
      <c r="B130" s="42">
        <v>2027</v>
      </c>
      <c r="C130" s="43">
        <f t="shared" si="1"/>
        <v>7.8205931999035458E-2</v>
      </c>
    </row>
    <row r="131" spans="1:3" hidden="1" x14ac:dyDescent="0.35">
      <c r="A131" t="s">
        <v>619</v>
      </c>
      <c r="B131" s="42">
        <v>3778</v>
      </c>
      <c r="C131" s="43">
        <f t="shared" si="1"/>
        <v>0.14576320231492645</v>
      </c>
    </row>
    <row r="132" spans="1:3" hidden="1" x14ac:dyDescent="0.35">
      <c r="A132" t="s">
        <v>620</v>
      </c>
      <c r="B132">
        <v>959</v>
      </c>
      <c r="C132" s="43">
        <f t="shared" si="1"/>
        <v>3.7000241138172171E-2</v>
      </c>
    </row>
    <row r="133" spans="1:3" hidden="1" x14ac:dyDescent="0.35">
      <c r="A133" t="s">
        <v>621</v>
      </c>
      <c r="B133" s="42">
        <v>1020</v>
      </c>
      <c r="C133" s="43">
        <f t="shared" si="1"/>
        <v>3.9353749698577287E-2</v>
      </c>
    </row>
    <row r="134" spans="1:3" hidden="1" x14ac:dyDescent="0.35">
      <c r="A134" t="s">
        <v>622</v>
      </c>
      <c r="B134">
        <v>694</v>
      </c>
      <c r="C134" s="43">
        <f t="shared" si="1"/>
        <v>2.6775982638051605E-2</v>
      </c>
    </row>
    <row r="135" spans="1:3" x14ac:dyDescent="0.35">
      <c r="A135" t="s">
        <v>623</v>
      </c>
      <c r="B135" s="42">
        <v>75798</v>
      </c>
      <c r="C135" s="43">
        <f t="shared" si="1"/>
        <v>2.9244465878948636</v>
      </c>
    </row>
    <row r="136" spans="1:3" hidden="1" x14ac:dyDescent="0.35">
      <c r="A136" t="s">
        <v>624</v>
      </c>
      <c r="B136">
        <v>405</v>
      </c>
      <c r="C136" s="43">
        <f t="shared" si="1"/>
        <v>1.5625753556788038E-2</v>
      </c>
    </row>
    <row r="137" spans="1:3" hidden="1" x14ac:dyDescent="0.35">
      <c r="A137" t="s">
        <v>625</v>
      </c>
      <c r="B137" s="42">
        <v>1042</v>
      </c>
      <c r="C137" s="43">
        <f t="shared" si="1"/>
        <v>4.0202556064625035E-2</v>
      </c>
    </row>
    <row r="138" spans="1:3" hidden="1" x14ac:dyDescent="0.35">
      <c r="A138" t="s">
        <v>626</v>
      </c>
      <c r="B138" s="42">
        <v>2778</v>
      </c>
      <c r="C138" s="43">
        <f t="shared" ref="C138:C201" si="2">B138/$B$9*100</f>
        <v>0.10718109476730167</v>
      </c>
    </row>
    <row r="139" spans="1:3" hidden="1" x14ac:dyDescent="0.35">
      <c r="A139" t="s">
        <v>627</v>
      </c>
      <c r="B139">
        <v>548</v>
      </c>
      <c r="C139" s="43">
        <f t="shared" si="2"/>
        <v>2.1142994936098385E-2</v>
      </c>
    </row>
    <row r="140" spans="1:3" hidden="1" x14ac:dyDescent="0.35">
      <c r="A140" t="s">
        <v>628</v>
      </c>
      <c r="B140" s="42">
        <v>3404</v>
      </c>
      <c r="C140" s="43">
        <f t="shared" si="2"/>
        <v>0.13133349409211478</v>
      </c>
    </row>
    <row r="141" spans="1:3" hidden="1" x14ac:dyDescent="0.35">
      <c r="A141" t="s">
        <v>629</v>
      </c>
      <c r="B141" s="42">
        <v>13131</v>
      </c>
      <c r="C141" s="43">
        <f t="shared" si="2"/>
        <v>0.50662165420786109</v>
      </c>
    </row>
    <row r="142" spans="1:3" hidden="1" x14ac:dyDescent="0.35">
      <c r="A142" t="s">
        <v>630</v>
      </c>
      <c r="B142" s="42">
        <v>3584</v>
      </c>
      <c r="C142" s="43">
        <f t="shared" si="2"/>
        <v>0.13827827345068724</v>
      </c>
    </row>
    <row r="143" spans="1:3" hidden="1" x14ac:dyDescent="0.35">
      <c r="A143" t="s">
        <v>631</v>
      </c>
      <c r="B143">
        <v>295</v>
      </c>
      <c r="C143" s="43">
        <f t="shared" si="2"/>
        <v>1.1381721726549313E-2</v>
      </c>
    </row>
    <row r="144" spans="1:3" hidden="1" x14ac:dyDescent="0.35">
      <c r="A144" t="s">
        <v>632</v>
      </c>
      <c r="B144">
        <v>456</v>
      </c>
      <c r="C144" s="43">
        <f t="shared" si="2"/>
        <v>1.7593441041716906E-2</v>
      </c>
    </row>
    <row r="145" spans="1:3" hidden="1" x14ac:dyDescent="0.35">
      <c r="A145" t="s">
        <v>633</v>
      </c>
      <c r="B145" s="42">
        <v>5902</v>
      </c>
      <c r="C145" s="43">
        <f t="shared" si="2"/>
        <v>0.22771159874608152</v>
      </c>
    </row>
    <row r="146" spans="1:3" hidden="1" x14ac:dyDescent="0.35">
      <c r="A146" t="s">
        <v>634</v>
      </c>
      <c r="B146">
        <v>531</v>
      </c>
      <c r="C146" s="43">
        <f t="shared" si="2"/>
        <v>2.0487099107788762E-2</v>
      </c>
    </row>
    <row r="147" spans="1:3" hidden="1" x14ac:dyDescent="0.35">
      <c r="A147" t="s">
        <v>635</v>
      </c>
      <c r="B147">
        <v>501</v>
      </c>
      <c r="C147" s="43">
        <f t="shared" si="2"/>
        <v>1.9329635881360021E-2</v>
      </c>
    </row>
    <row r="148" spans="1:3" hidden="1" x14ac:dyDescent="0.35">
      <c r="A148" t="s">
        <v>636</v>
      </c>
      <c r="B148">
        <v>834</v>
      </c>
      <c r="C148" s="43">
        <f t="shared" si="2"/>
        <v>3.2177477694719077E-2</v>
      </c>
    </row>
    <row r="149" spans="1:3" hidden="1" x14ac:dyDescent="0.35">
      <c r="A149" t="s">
        <v>637</v>
      </c>
      <c r="B149">
        <v>769</v>
      </c>
      <c r="C149" s="43">
        <f t="shared" si="2"/>
        <v>2.9669640704123465E-2</v>
      </c>
    </row>
    <row r="150" spans="1:3" hidden="1" x14ac:dyDescent="0.35">
      <c r="A150" t="s">
        <v>638</v>
      </c>
      <c r="B150" s="42">
        <v>1047</v>
      </c>
      <c r="C150" s="43">
        <f t="shared" si="2"/>
        <v>4.039546660236315E-2</v>
      </c>
    </row>
    <row r="151" spans="1:3" hidden="1" x14ac:dyDescent="0.35">
      <c r="A151" t="s">
        <v>639</v>
      </c>
      <c r="B151" s="42">
        <v>1130</v>
      </c>
      <c r="C151" s="43">
        <f t="shared" si="2"/>
        <v>4.3597781528816014E-2</v>
      </c>
    </row>
    <row r="152" spans="1:3" hidden="1" x14ac:dyDescent="0.35">
      <c r="A152" t="s">
        <v>640</v>
      </c>
      <c r="B152" s="42">
        <v>23482</v>
      </c>
      <c r="C152" s="43">
        <f t="shared" si="2"/>
        <v>0.90598504943332525</v>
      </c>
    </row>
    <row r="153" spans="1:3" hidden="1" x14ac:dyDescent="0.35">
      <c r="A153" t="s">
        <v>641</v>
      </c>
      <c r="B153">
        <v>124</v>
      </c>
      <c r="C153" s="43">
        <f t="shared" si="2"/>
        <v>4.7841813359054738E-3</v>
      </c>
    </row>
    <row r="154" spans="1:3" hidden="1" x14ac:dyDescent="0.35">
      <c r="A154" t="s">
        <v>642</v>
      </c>
      <c r="B154">
        <v>554</v>
      </c>
      <c r="C154" s="43">
        <f t="shared" si="2"/>
        <v>2.1374487581384133E-2</v>
      </c>
    </row>
    <row r="155" spans="1:3" hidden="1" x14ac:dyDescent="0.35">
      <c r="A155" t="s">
        <v>643</v>
      </c>
      <c r="B155">
        <v>916</v>
      </c>
      <c r="C155" s="43">
        <f t="shared" si="2"/>
        <v>3.5341210513624308E-2</v>
      </c>
    </row>
    <row r="156" spans="1:3" hidden="1" x14ac:dyDescent="0.35">
      <c r="A156" t="s">
        <v>644</v>
      </c>
      <c r="B156" s="42">
        <v>2653</v>
      </c>
      <c r="C156" s="43">
        <f t="shared" si="2"/>
        <v>0.10235833132384857</v>
      </c>
    </row>
    <row r="157" spans="1:3" hidden="1" x14ac:dyDescent="0.35">
      <c r="A157" t="s">
        <v>645</v>
      </c>
      <c r="B157" s="42">
        <v>3642</v>
      </c>
      <c r="C157" s="43">
        <f t="shared" si="2"/>
        <v>0.14051603568844948</v>
      </c>
    </row>
    <row r="158" spans="1:3" hidden="1" x14ac:dyDescent="0.35">
      <c r="A158" t="s">
        <v>646</v>
      </c>
      <c r="B158" s="42">
        <v>2326</v>
      </c>
      <c r="C158" s="43">
        <f t="shared" si="2"/>
        <v>8.9741982155775266E-2</v>
      </c>
    </row>
    <row r="159" spans="1:3" hidden="1" x14ac:dyDescent="0.35">
      <c r="A159" t="s">
        <v>647</v>
      </c>
      <c r="B159" s="42">
        <v>2035</v>
      </c>
      <c r="C159" s="43">
        <f t="shared" si="2"/>
        <v>7.8514588859416451E-2</v>
      </c>
    </row>
    <row r="160" spans="1:3" hidden="1" x14ac:dyDescent="0.35">
      <c r="A160" t="s">
        <v>648</v>
      </c>
      <c r="B160">
        <v>505</v>
      </c>
      <c r="C160" s="43">
        <f t="shared" si="2"/>
        <v>1.9483964311550521E-2</v>
      </c>
    </row>
    <row r="161" spans="1:3" hidden="1" x14ac:dyDescent="0.35">
      <c r="A161" t="s">
        <v>649</v>
      </c>
      <c r="B161" s="42">
        <v>1300</v>
      </c>
      <c r="C161" s="43">
        <f t="shared" si="2"/>
        <v>5.0156739811912224E-2</v>
      </c>
    </row>
    <row r="162" spans="1:3" hidden="1" x14ac:dyDescent="0.35">
      <c r="A162" t="s">
        <v>650</v>
      </c>
      <c r="B162" s="42">
        <v>31240</v>
      </c>
      <c r="C162" s="43">
        <f t="shared" si="2"/>
        <v>1.2053050397877985</v>
      </c>
    </row>
    <row r="163" spans="1:3" hidden="1" x14ac:dyDescent="0.35">
      <c r="A163" t="s">
        <v>651</v>
      </c>
      <c r="B163" s="42">
        <v>2436</v>
      </c>
      <c r="C163" s="43">
        <f t="shared" si="2"/>
        <v>9.3986013986013986E-2</v>
      </c>
    </row>
    <row r="164" spans="1:3" hidden="1" x14ac:dyDescent="0.35">
      <c r="A164" t="s">
        <v>652</v>
      </c>
      <c r="B164" s="42">
        <v>1848</v>
      </c>
      <c r="C164" s="43">
        <f t="shared" si="2"/>
        <v>7.1299734748010615E-2</v>
      </c>
    </row>
    <row r="165" spans="1:3" hidden="1" x14ac:dyDescent="0.35">
      <c r="A165" t="s">
        <v>653</v>
      </c>
      <c r="B165" s="42">
        <v>1610</v>
      </c>
      <c r="C165" s="43">
        <f t="shared" si="2"/>
        <v>6.2117193151675916E-2</v>
      </c>
    </row>
    <row r="166" spans="1:3" hidden="1" x14ac:dyDescent="0.35">
      <c r="A166" t="s">
        <v>654</v>
      </c>
      <c r="B166" s="42">
        <v>2555</v>
      </c>
      <c r="C166" s="43">
        <f t="shared" si="2"/>
        <v>9.8577284784181346E-2</v>
      </c>
    </row>
    <row r="167" spans="1:3" hidden="1" x14ac:dyDescent="0.35">
      <c r="A167" t="s">
        <v>655</v>
      </c>
      <c r="B167" s="42">
        <v>16163</v>
      </c>
      <c r="C167" s="43">
        <f t="shared" si="2"/>
        <v>0.62360260429225944</v>
      </c>
    </row>
    <row r="168" spans="1:3" hidden="1" x14ac:dyDescent="0.35">
      <c r="A168" t="s">
        <v>656</v>
      </c>
      <c r="B168" s="42">
        <v>9782</v>
      </c>
      <c r="C168" s="43">
        <f t="shared" si="2"/>
        <v>0.37741017603086568</v>
      </c>
    </row>
    <row r="169" spans="1:3" hidden="1" x14ac:dyDescent="0.35">
      <c r="A169" t="s">
        <v>657</v>
      </c>
      <c r="B169" s="42">
        <v>10970</v>
      </c>
      <c r="C169" s="43">
        <f t="shared" si="2"/>
        <v>0.42324571979744391</v>
      </c>
    </row>
    <row r="170" spans="1:3" hidden="1" x14ac:dyDescent="0.35">
      <c r="A170" t="s">
        <v>658</v>
      </c>
      <c r="B170">
        <v>331</v>
      </c>
      <c r="C170" s="43">
        <f t="shared" si="2"/>
        <v>1.2770677598263806E-2</v>
      </c>
    </row>
    <row r="171" spans="1:3" hidden="1" x14ac:dyDescent="0.35">
      <c r="A171" t="s">
        <v>659</v>
      </c>
      <c r="B171" s="42">
        <v>2685</v>
      </c>
      <c r="C171" s="43">
        <f t="shared" si="2"/>
        <v>0.10359295876537254</v>
      </c>
    </row>
    <row r="172" spans="1:3" hidden="1" x14ac:dyDescent="0.35">
      <c r="A172" t="s">
        <v>660</v>
      </c>
      <c r="B172" s="42">
        <v>44320</v>
      </c>
      <c r="C172" s="43">
        <f t="shared" si="2"/>
        <v>1.7099590065107306</v>
      </c>
    </row>
    <row r="173" spans="1:3" hidden="1" x14ac:dyDescent="0.35">
      <c r="A173" t="s">
        <v>661</v>
      </c>
      <c r="B173" s="42">
        <v>4307</v>
      </c>
      <c r="C173" s="43">
        <f t="shared" si="2"/>
        <v>0.16617313720761998</v>
      </c>
    </row>
    <row r="174" spans="1:3" hidden="1" x14ac:dyDescent="0.35">
      <c r="A174" t="s">
        <v>662</v>
      </c>
      <c r="B174" s="42">
        <v>22021</v>
      </c>
      <c r="C174" s="43">
        <f t="shared" si="2"/>
        <v>0.84961659030624548</v>
      </c>
    </row>
    <row r="175" spans="1:3" hidden="1" x14ac:dyDescent="0.35">
      <c r="A175" t="s">
        <v>663</v>
      </c>
      <c r="B175" s="42">
        <v>1635</v>
      </c>
      <c r="C175" s="43">
        <f t="shared" si="2"/>
        <v>6.3081745840366521E-2</v>
      </c>
    </row>
    <row r="176" spans="1:3" hidden="1" x14ac:dyDescent="0.35">
      <c r="A176" t="s">
        <v>664</v>
      </c>
      <c r="B176" s="42">
        <v>1155</v>
      </c>
      <c r="C176" s="43">
        <f t="shared" si="2"/>
        <v>4.4562334217506633E-2</v>
      </c>
    </row>
    <row r="177" spans="1:3" hidden="1" x14ac:dyDescent="0.35">
      <c r="A177" t="s">
        <v>665</v>
      </c>
      <c r="B177">
        <v>585</v>
      </c>
      <c r="C177" s="43">
        <f t="shared" si="2"/>
        <v>2.25705329153605E-2</v>
      </c>
    </row>
    <row r="178" spans="1:3" hidden="1" x14ac:dyDescent="0.35">
      <c r="A178" t="s">
        <v>666</v>
      </c>
      <c r="B178" s="42">
        <v>2956</v>
      </c>
      <c r="C178" s="43">
        <f t="shared" si="2"/>
        <v>0.11404870991077887</v>
      </c>
    </row>
    <row r="179" spans="1:3" hidden="1" x14ac:dyDescent="0.35">
      <c r="A179" t="s">
        <v>667</v>
      </c>
      <c r="B179" s="42">
        <v>8188</v>
      </c>
      <c r="C179" s="43">
        <f t="shared" si="2"/>
        <v>0.31591029659995179</v>
      </c>
    </row>
    <row r="180" spans="1:3" hidden="1" x14ac:dyDescent="0.35">
      <c r="A180" t="s">
        <v>668</v>
      </c>
      <c r="B180" s="42">
        <v>6596</v>
      </c>
      <c r="C180" s="43">
        <f t="shared" si="2"/>
        <v>0.25448758138413308</v>
      </c>
    </row>
    <row r="181" spans="1:3" hidden="1" x14ac:dyDescent="0.35">
      <c r="A181" t="s">
        <v>669</v>
      </c>
      <c r="B181" s="42">
        <v>6897</v>
      </c>
      <c r="C181" s="43">
        <f t="shared" si="2"/>
        <v>0.26610079575596818</v>
      </c>
    </row>
    <row r="182" spans="1:3" hidden="1" x14ac:dyDescent="0.35">
      <c r="A182" t="s">
        <v>670</v>
      </c>
      <c r="B182" s="42">
        <v>3004</v>
      </c>
      <c r="C182" s="43">
        <f t="shared" si="2"/>
        <v>0.11590065107306487</v>
      </c>
    </row>
    <row r="183" spans="1:3" hidden="1" x14ac:dyDescent="0.35">
      <c r="A183" t="s">
        <v>671</v>
      </c>
      <c r="B183">
        <v>857</v>
      </c>
      <c r="C183" s="43">
        <f t="shared" si="2"/>
        <v>3.3064866168314444E-2</v>
      </c>
    </row>
    <row r="184" spans="1:3" hidden="1" x14ac:dyDescent="0.35">
      <c r="A184" t="s">
        <v>672</v>
      </c>
      <c r="B184" s="42">
        <v>25224</v>
      </c>
      <c r="C184" s="43">
        <f t="shared" si="2"/>
        <v>0.97319508078128769</v>
      </c>
    </row>
    <row r="185" spans="1:3" hidden="1" x14ac:dyDescent="0.35">
      <c r="A185" t="s">
        <v>673</v>
      </c>
      <c r="B185" s="42">
        <v>8320</v>
      </c>
      <c r="C185" s="43">
        <f t="shared" si="2"/>
        <v>0.32100313479623821</v>
      </c>
    </row>
    <row r="186" spans="1:3" hidden="1" x14ac:dyDescent="0.35">
      <c r="A186" t="s">
        <v>674</v>
      </c>
      <c r="B186" s="42">
        <v>1828</v>
      </c>
      <c r="C186" s="43">
        <f t="shared" si="2"/>
        <v>7.0528092597058112E-2</v>
      </c>
    </row>
    <row r="187" spans="1:3" hidden="1" x14ac:dyDescent="0.35">
      <c r="A187" t="s">
        <v>675</v>
      </c>
      <c r="B187" s="42">
        <v>35761</v>
      </c>
      <c r="C187" s="43">
        <f t="shared" si="2"/>
        <v>1.3797347480106101</v>
      </c>
    </row>
    <row r="188" spans="1:3" hidden="1" x14ac:dyDescent="0.35">
      <c r="A188" t="s">
        <v>676</v>
      </c>
      <c r="B188">
        <v>422</v>
      </c>
      <c r="C188" s="43">
        <f t="shared" si="2"/>
        <v>1.6281649385097661E-2</v>
      </c>
    </row>
    <row r="189" spans="1:3" hidden="1" x14ac:dyDescent="0.35">
      <c r="A189" t="s">
        <v>677</v>
      </c>
      <c r="B189" s="42">
        <v>26514</v>
      </c>
      <c r="C189" s="43">
        <f t="shared" si="2"/>
        <v>1.0229659995177236</v>
      </c>
    </row>
    <row r="190" spans="1:3" hidden="1" x14ac:dyDescent="0.35">
      <c r="A190" t="s">
        <v>678</v>
      </c>
      <c r="B190" s="42">
        <v>1709</v>
      </c>
      <c r="C190" s="43">
        <f t="shared" si="2"/>
        <v>6.5936821798890766E-2</v>
      </c>
    </row>
    <row r="191" spans="1:3" hidden="1" x14ac:dyDescent="0.35">
      <c r="A191" t="s">
        <v>679</v>
      </c>
      <c r="B191" s="42">
        <v>1018</v>
      </c>
      <c r="C191" s="43">
        <f t="shared" si="2"/>
        <v>3.9276585483482035E-2</v>
      </c>
    </row>
    <row r="192" spans="1:3" hidden="1" x14ac:dyDescent="0.35">
      <c r="A192" t="s">
        <v>680</v>
      </c>
      <c r="B192">
        <v>567</v>
      </c>
      <c r="C192" s="43">
        <f t="shared" si="2"/>
        <v>2.1876054979503255E-2</v>
      </c>
    </row>
    <row r="193" spans="1:3" x14ac:dyDescent="0.35">
      <c r="A193" t="s">
        <v>681</v>
      </c>
      <c r="B193" s="42">
        <v>71035</v>
      </c>
      <c r="C193" s="43">
        <f t="shared" si="2"/>
        <v>2.7406800096455268</v>
      </c>
    </row>
    <row r="194" spans="1:3" hidden="1" x14ac:dyDescent="0.35">
      <c r="A194" t="s">
        <v>682</v>
      </c>
      <c r="B194" s="42">
        <v>2814</v>
      </c>
      <c r="C194" s="43">
        <f t="shared" si="2"/>
        <v>0.10857005063901616</v>
      </c>
    </row>
    <row r="195" spans="1:3" hidden="1" x14ac:dyDescent="0.35">
      <c r="A195" t="s">
        <v>683</v>
      </c>
      <c r="B195">
        <v>999</v>
      </c>
      <c r="C195" s="43">
        <f t="shared" si="2"/>
        <v>3.8543525440077164E-2</v>
      </c>
    </row>
    <row r="196" spans="1:3" hidden="1" x14ac:dyDescent="0.35">
      <c r="A196" t="s">
        <v>684</v>
      </c>
      <c r="B196" s="42">
        <v>11606</v>
      </c>
      <c r="C196" s="43">
        <f t="shared" si="2"/>
        <v>0.44778394019773332</v>
      </c>
    </row>
    <row r="197" spans="1:3" hidden="1" x14ac:dyDescent="0.35">
      <c r="A197" t="s">
        <v>685</v>
      </c>
      <c r="B197" s="42">
        <v>21263</v>
      </c>
      <c r="C197" s="43">
        <f t="shared" si="2"/>
        <v>0.82037135278514584</v>
      </c>
    </row>
    <row r="198" spans="1:3" hidden="1" x14ac:dyDescent="0.35">
      <c r="A198" t="s">
        <v>686</v>
      </c>
      <c r="B198" s="42">
        <v>2740</v>
      </c>
      <c r="C198" s="43">
        <f t="shared" si="2"/>
        <v>0.10571497468049192</v>
      </c>
    </row>
    <row r="199" spans="1:3" hidden="1" x14ac:dyDescent="0.35">
      <c r="A199" t="s">
        <v>687</v>
      </c>
      <c r="B199">
        <v>157</v>
      </c>
      <c r="C199" s="43">
        <f t="shared" si="2"/>
        <v>6.0573908849770918E-3</v>
      </c>
    </row>
    <row r="200" spans="1:3" hidden="1" x14ac:dyDescent="0.35">
      <c r="A200" t="s">
        <v>688</v>
      </c>
      <c r="B200" s="42">
        <v>8128</v>
      </c>
      <c r="C200" s="43">
        <f t="shared" si="2"/>
        <v>0.31359537014709427</v>
      </c>
    </row>
    <row r="201" spans="1:3" hidden="1" x14ac:dyDescent="0.35">
      <c r="A201" t="s">
        <v>689</v>
      </c>
      <c r="B201" s="42">
        <v>24858</v>
      </c>
      <c r="C201" s="43">
        <f t="shared" si="2"/>
        <v>0.959074029418857</v>
      </c>
    </row>
    <row r="202" spans="1:3" hidden="1" x14ac:dyDescent="0.35">
      <c r="A202" t="s">
        <v>690</v>
      </c>
      <c r="B202" s="42">
        <v>2515</v>
      </c>
      <c r="C202" s="43">
        <f t="shared" ref="C202:C265" si="3">B202/$B$9*100</f>
        <v>9.7034000482276353E-2</v>
      </c>
    </row>
    <row r="203" spans="1:3" hidden="1" x14ac:dyDescent="0.35">
      <c r="A203" t="s">
        <v>691</v>
      </c>
      <c r="B203" s="42">
        <v>4452</v>
      </c>
      <c r="C203" s="43">
        <f t="shared" si="3"/>
        <v>0.17176754280202555</v>
      </c>
    </row>
    <row r="204" spans="1:3" hidden="1" x14ac:dyDescent="0.35">
      <c r="A204" t="s">
        <v>692</v>
      </c>
      <c r="B204" s="42">
        <v>2503</v>
      </c>
      <c r="C204" s="43">
        <f t="shared" si="3"/>
        <v>9.6571015191704843E-2</v>
      </c>
    </row>
    <row r="205" spans="1:3" hidden="1" x14ac:dyDescent="0.35">
      <c r="A205" t="s">
        <v>693</v>
      </c>
      <c r="B205" s="42">
        <v>1060</v>
      </c>
      <c r="C205" s="43">
        <f t="shared" si="3"/>
        <v>4.089703400048228E-2</v>
      </c>
    </row>
    <row r="206" spans="1:3" hidden="1" x14ac:dyDescent="0.35">
      <c r="A206" t="s">
        <v>694</v>
      </c>
      <c r="B206" s="42">
        <v>19737</v>
      </c>
      <c r="C206" s="43">
        <f t="shared" si="3"/>
        <v>0.76149505666747042</v>
      </c>
    </row>
    <row r="207" spans="1:3" hidden="1" x14ac:dyDescent="0.35">
      <c r="A207" t="s">
        <v>695</v>
      </c>
      <c r="B207">
        <v>61</v>
      </c>
      <c r="C207" s="43">
        <f t="shared" si="3"/>
        <v>2.3535085604051119E-3</v>
      </c>
    </row>
    <row r="208" spans="1:3" hidden="1" x14ac:dyDescent="0.35">
      <c r="A208" t="s">
        <v>696</v>
      </c>
      <c r="B208" s="42">
        <v>8718</v>
      </c>
      <c r="C208" s="43">
        <f t="shared" si="3"/>
        <v>0.33635881360019293</v>
      </c>
    </row>
    <row r="209" spans="1:3" hidden="1" x14ac:dyDescent="0.35">
      <c r="A209" t="s">
        <v>697</v>
      </c>
      <c r="B209" s="42">
        <v>1024</v>
      </c>
      <c r="C209" s="43">
        <f t="shared" si="3"/>
        <v>3.9508078128767783E-2</v>
      </c>
    </row>
    <row r="210" spans="1:3" hidden="1" x14ac:dyDescent="0.35">
      <c r="A210" t="s">
        <v>698</v>
      </c>
      <c r="B210" s="42">
        <v>25062</v>
      </c>
      <c r="C210" s="43">
        <f t="shared" si="3"/>
        <v>0.96694477935857248</v>
      </c>
    </row>
    <row r="211" spans="1:3" hidden="1" x14ac:dyDescent="0.35">
      <c r="A211" t="s">
        <v>699</v>
      </c>
      <c r="B211" s="42">
        <v>1655</v>
      </c>
      <c r="C211" s="43">
        <f t="shared" si="3"/>
        <v>6.3853387991319024E-2</v>
      </c>
    </row>
    <row r="212" spans="1:3" hidden="1" x14ac:dyDescent="0.35">
      <c r="A212" t="s">
        <v>700</v>
      </c>
      <c r="B212" s="42">
        <v>2202</v>
      </c>
      <c r="C212" s="43">
        <f t="shared" si="3"/>
        <v>8.4957800819869783E-2</v>
      </c>
    </row>
    <row r="213" spans="1:3" hidden="1" x14ac:dyDescent="0.35">
      <c r="A213" t="s">
        <v>701</v>
      </c>
      <c r="B213">
        <v>663</v>
      </c>
      <c r="C213" s="43">
        <f t="shared" si="3"/>
        <v>2.5579937304075234E-2</v>
      </c>
    </row>
    <row r="214" spans="1:3" hidden="1" x14ac:dyDescent="0.35">
      <c r="A214" t="s">
        <v>702</v>
      </c>
      <c r="B214" s="42">
        <v>9149</v>
      </c>
      <c r="C214" s="43">
        <f t="shared" si="3"/>
        <v>0.35298770195321921</v>
      </c>
    </row>
    <row r="215" spans="1:3" hidden="1" x14ac:dyDescent="0.35">
      <c r="A215" t="s">
        <v>703</v>
      </c>
      <c r="B215" s="42">
        <v>1355</v>
      </c>
      <c r="C215" s="43">
        <f t="shared" si="3"/>
        <v>5.2278755727031584E-2</v>
      </c>
    </row>
    <row r="216" spans="1:3" hidden="1" x14ac:dyDescent="0.35">
      <c r="A216" t="s">
        <v>704</v>
      </c>
      <c r="B216" s="42">
        <v>2355</v>
      </c>
      <c r="C216" s="43">
        <f t="shared" si="3"/>
        <v>9.0860863274656381E-2</v>
      </c>
    </row>
    <row r="217" spans="1:3" hidden="1" x14ac:dyDescent="0.35">
      <c r="A217" t="s">
        <v>705</v>
      </c>
      <c r="B217">
        <v>442</v>
      </c>
      <c r="C217" s="43">
        <f t="shared" si="3"/>
        <v>1.7053291536050157E-2</v>
      </c>
    </row>
    <row r="218" spans="1:3" hidden="1" x14ac:dyDescent="0.35">
      <c r="A218" t="s">
        <v>706</v>
      </c>
      <c r="B218" s="42">
        <v>2207</v>
      </c>
      <c r="C218" s="43">
        <f t="shared" si="3"/>
        <v>8.5150711357607919E-2</v>
      </c>
    </row>
    <row r="219" spans="1:3" hidden="1" x14ac:dyDescent="0.35">
      <c r="A219" t="s">
        <v>707</v>
      </c>
      <c r="B219" s="42">
        <v>2531</v>
      </c>
      <c r="C219" s="43">
        <f t="shared" si="3"/>
        <v>9.7651314203038339E-2</v>
      </c>
    </row>
    <row r="220" spans="1:3" hidden="1" x14ac:dyDescent="0.35">
      <c r="A220" t="s">
        <v>708</v>
      </c>
      <c r="B220" s="42">
        <v>20405</v>
      </c>
      <c r="C220" s="43">
        <f t="shared" si="3"/>
        <v>0.78726790450928374</v>
      </c>
    </row>
    <row r="221" spans="1:3" hidden="1" x14ac:dyDescent="0.35">
      <c r="A221" t="s">
        <v>709</v>
      </c>
      <c r="B221" s="42">
        <v>22761</v>
      </c>
      <c r="C221" s="43">
        <f t="shared" si="3"/>
        <v>0.87816734989148781</v>
      </c>
    </row>
    <row r="222" spans="1:3" hidden="1" x14ac:dyDescent="0.35">
      <c r="A222" t="s">
        <v>710</v>
      </c>
      <c r="B222" s="42">
        <v>1790</v>
      </c>
      <c r="C222" s="43">
        <f t="shared" si="3"/>
        <v>6.9061972510248371E-2</v>
      </c>
    </row>
    <row r="223" spans="1:3" hidden="1" x14ac:dyDescent="0.35">
      <c r="A223" t="s">
        <v>711</v>
      </c>
      <c r="B223" s="42">
        <v>7314</v>
      </c>
      <c r="C223" s="43">
        <f t="shared" si="3"/>
        <v>0.28218953460332774</v>
      </c>
    </row>
    <row r="224" spans="1:3" hidden="1" x14ac:dyDescent="0.35">
      <c r="A224" t="s">
        <v>712</v>
      </c>
      <c r="B224" s="42">
        <v>1117</v>
      </c>
      <c r="C224" s="43">
        <f t="shared" si="3"/>
        <v>4.3096214130696892E-2</v>
      </c>
    </row>
    <row r="225" spans="1:3" hidden="1" x14ac:dyDescent="0.35">
      <c r="A225" t="s">
        <v>713</v>
      </c>
      <c r="B225" s="42">
        <v>1293</v>
      </c>
      <c r="C225" s="43">
        <f t="shared" si="3"/>
        <v>4.9886665059078857E-2</v>
      </c>
    </row>
    <row r="226" spans="1:3" hidden="1" x14ac:dyDescent="0.35">
      <c r="A226" t="s">
        <v>714</v>
      </c>
      <c r="B226">
        <v>174</v>
      </c>
      <c r="C226" s="43">
        <f t="shared" si="3"/>
        <v>6.7132867132867133E-3</v>
      </c>
    </row>
    <row r="227" spans="1:3" x14ac:dyDescent="0.35">
      <c r="A227" t="s">
        <v>715</v>
      </c>
      <c r="B227" s="42">
        <v>67173</v>
      </c>
      <c r="C227" s="43">
        <f t="shared" si="3"/>
        <v>2.5916759102965998</v>
      </c>
    </row>
    <row r="228" spans="1:3" hidden="1" x14ac:dyDescent="0.35">
      <c r="A228" t="s">
        <v>716</v>
      </c>
      <c r="B228">
        <v>418</v>
      </c>
      <c r="C228" s="43">
        <f t="shared" si="3"/>
        <v>1.6127320954907161E-2</v>
      </c>
    </row>
    <row r="229" spans="1:3" hidden="1" x14ac:dyDescent="0.35">
      <c r="A229" t="s">
        <v>717</v>
      </c>
      <c r="B229" s="42">
        <v>9286</v>
      </c>
      <c r="C229" s="43">
        <f t="shared" si="3"/>
        <v>0.35827345068724381</v>
      </c>
    </row>
    <row r="230" spans="1:3" hidden="1" x14ac:dyDescent="0.35">
      <c r="A230" t="s">
        <v>718</v>
      </c>
      <c r="B230">
        <v>507</v>
      </c>
      <c r="C230" s="43">
        <f t="shared" si="3"/>
        <v>1.9561128526645766E-2</v>
      </c>
    </row>
    <row r="231" spans="1:3" hidden="1" x14ac:dyDescent="0.35">
      <c r="A231" t="s">
        <v>719</v>
      </c>
      <c r="B231" s="42">
        <v>10391</v>
      </c>
      <c r="C231" s="43">
        <f t="shared" si="3"/>
        <v>0.40090667952736919</v>
      </c>
    </row>
    <row r="232" spans="1:3" hidden="1" x14ac:dyDescent="0.35">
      <c r="A232" t="s">
        <v>720</v>
      </c>
      <c r="B232">
        <v>164</v>
      </c>
      <c r="C232" s="43">
        <f t="shared" si="3"/>
        <v>6.327465637810465E-3</v>
      </c>
    </row>
    <row r="233" spans="1:3" hidden="1" x14ac:dyDescent="0.35">
      <c r="A233" t="s">
        <v>721</v>
      </c>
      <c r="B233">
        <v>384</v>
      </c>
      <c r="C233" s="43">
        <f t="shared" si="3"/>
        <v>1.481552929828792E-2</v>
      </c>
    </row>
    <row r="234" spans="1:3" hidden="1" x14ac:dyDescent="0.35">
      <c r="A234" t="s">
        <v>722</v>
      </c>
      <c r="B234">
        <v>30</v>
      </c>
      <c r="C234" s="43">
        <f t="shared" si="3"/>
        <v>1.1574632264287437E-3</v>
      </c>
    </row>
    <row r="235" spans="1:3" hidden="1" x14ac:dyDescent="0.35">
      <c r="A235" t="s">
        <v>723</v>
      </c>
      <c r="B235" s="42">
        <v>1134</v>
      </c>
      <c r="C235" s="43">
        <f t="shared" si="3"/>
        <v>4.375210995900651E-2</v>
      </c>
    </row>
    <row r="236" spans="1:3" hidden="1" x14ac:dyDescent="0.35">
      <c r="A236" t="s">
        <v>724</v>
      </c>
      <c r="B236" s="42">
        <v>3187</v>
      </c>
      <c r="C236" s="43">
        <f t="shared" si="3"/>
        <v>0.12296117675428021</v>
      </c>
    </row>
    <row r="237" spans="1:3" hidden="1" x14ac:dyDescent="0.35">
      <c r="A237" t="s">
        <v>725</v>
      </c>
      <c r="B237" s="42">
        <v>1159</v>
      </c>
      <c r="C237" s="43">
        <f t="shared" si="3"/>
        <v>4.4716662647697129E-2</v>
      </c>
    </row>
    <row r="238" spans="1:3" hidden="1" x14ac:dyDescent="0.35">
      <c r="A238" t="s">
        <v>726</v>
      </c>
      <c r="B238" s="42">
        <v>19078</v>
      </c>
      <c r="C238" s="43">
        <f t="shared" si="3"/>
        <v>0.73606944779358574</v>
      </c>
    </row>
    <row r="239" spans="1:3" hidden="1" x14ac:dyDescent="0.35">
      <c r="A239" t="s">
        <v>727</v>
      </c>
      <c r="B239" s="42">
        <v>3297</v>
      </c>
      <c r="C239" s="43">
        <f t="shared" si="3"/>
        <v>0.12720520858451892</v>
      </c>
    </row>
    <row r="240" spans="1:3" hidden="1" x14ac:dyDescent="0.35">
      <c r="A240" t="s">
        <v>728</v>
      </c>
      <c r="B240" s="42">
        <v>1105</v>
      </c>
      <c r="C240" s="43">
        <f t="shared" si="3"/>
        <v>4.2633228840125388E-2</v>
      </c>
    </row>
    <row r="241" spans="1:3" hidden="1" x14ac:dyDescent="0.35">
      <c r="A241" t="s">
        <v>729</v>
      </c>
      <c r="B241" s="42">
        <v>4881</v>
      </c>
      <c r="C241" s="43">
        <f t="shared" si="3"/>
        <v>0.1883192669399566</v>
      </c>
    </row>
    <row r="242" spans="1:3" hidden="1" x14ac:dyDescent="0.35">
      <c r="A242" t="s">
        <v>730</v>
      </c>
      <c r="B242">
        <v>362</v>
      </c>
      <c r="C242" s="43">
        <f t="shared" si="3"/>
        <v>1.3966722932240173E-2</v>
      </c>
    </row>
    <row r="243" spans="1:3" hidden="1" x14ac:dyDescent="0.35">
      <c r="A243" t="s">
        <v>731</v>
      </c>
      <c r="B243" s="42">
        <v>27566</v>
      </c>
      <c r="C243" s="43">
        <f t="shared" si="3"/>
        <v>1.063554376657825</v>
      </c>
    </row>
    <row r="244" spans="1:3" hidden="1" x14ac:dyDescent="0.35">
      <c r="A244" t="s">
        <v>732</v>
      </c>
      <c r="B244" s="42">
        <v>1097</v>
      </c>
      <c r="C244" s="43">
        <f t="shared" si="3"/>
        <v>4.2324571979744388E-2</v>
      </c>
    </row>
    <row r="245" spans="1:3" hidden="1" x14ac:dyDescent="0.35">
      <c r="A245" t="s">
        <v>733</v>
      </c>
      <c r="B245" s="42">
        <v>9224</v>
      </c>
      <c r="C245" s="43">
        <f t="shared" si="3"/>
        <v>0.35588136001929105</v>
      </c>
    </row>
    <row r="246" spans="1:3" hidden="1" x14ac:dyDescent="0.35">
      <c r="A246" t="s">
        <v>734</v>
      </c>
      <c r="B246" s="42">
        <v>17254</v>
      </c>
      <c r="C246" s="43">
        <f t="shared" si="3"/>
        <v>0.66569568362671805</v>
      </c>
    </row>
    <row r="247" spans="1:3" hidden="1" x14ac:dyDescent="0.35">
      <c r="A247" t="s">
        <v>735</v>
      </c>
      <c r="B247">
        <v>619</v>
      </c>
      <c r="C247" s="43">
        <f t="shared" si="3"/>
        <v>2.3882324571979745E-2</v>
      </c>
    </row>
    <row r="248" spans="1:3" hidden="1" x14ac:dyDescent="0.35">
      <c r="A248" t="s">
        <v>736</v>
      </c>
      <c r="B248">
        <v>256</v>
      </c>
      <c r="C248" s="43">
        <f t="shared" si="3"/>
        <v>9.8770195321919458E-3</v>
      </c>
    </row>
    <row r="249" spans="1:3" hidden="1" x14ac:dyDescent="0.35">
      <c r="A249" t="s">
        <v>737</v>
      </c>
      <c r="B249">
        <v>454</v>
      </c>
      <c r="C249" s="43">
        <f t="shared" si="3"/>
        <v>1.7516276826621654E-2</v>
      </c>
    </row>
    <row r="250" spans="1:3" hidden="1" x14ac:dyDescent="0.35">
      <c r="A250" t="s">
        <v>738</v>
      </c>
      <c r="B250">
        <v>402</v>
      </c>
      <c r="C250" s="43">
        <f t="shared" si="3"/>
        <v>1.5510007234145164E-2</v>
      </c>
    </row>
    <row r="251" spans="1:3" hidden="1" x14ac:dyDescent="0.35">
      <c r="A251" t="s">
        <v>739</v>
      </c>
      <c r="B251">
        <v>145</v>
      </c>
      <c r="C251" s="43">
        <f t="shared" si="3"/>
        <v>5.5944055944055944E-3</v>
      </c>
    </row>
    <row r="252" spans="1:3" x14ac:dyDescent="0.35">
      <c r="A252" t="s">
        <v>740</v>
      </c>
      <c r="B252" s="42">
        <v>83962</v>
      </c>
      <c r="C252" s="43">
        <f t="shared" si="3"/>
        <v>3.2394309139136728</v>
      </c>
    </row>
    <row r="253" spans="1:3" hidden="1" x14ac:dyDescent="0.35">
      <c r="A253" t="s">
        <v>741</v>
      </c>
      <c r="B253">
        <v>669</v>
      </c>
      <c r="C253" s="43">
        <f t="shared" si="3"/>
        <v>2.5811429949360986E-2</v>
      </c>
    </row>
    <row r="254" spans="1:3" hidden="1" x14ac:dyDescent="0.35">
      <c r="A254" t="s">
        <v>742</v>
      </c>
      <c r="B254" s="42">
        <v>1287</v>
      </c>
      <c r="C254" s="43">
        <f t="shared" si="3"/>
        <v>4.9655172413793108E-2</v>
      </c>
    </row>
    <row r="255" spans="1:3" hidden="1" x14ac:dyDescent="0.35">
      <c r="A255" t="s">
        <v>743</v>
      </c>
      <c r="B255" s="42">
        <v>1137</v>
      </c>
      <c r="C255" s="43">
        <f t="shared" si="3"/>
        <v>4.3867856281649381E-2</v>
      </c>
    </row>
    <row r="256" spans="1:3" hidden="1" x14ac:dyDescent="0.35">
      <c r="A256" t="s">
        <v>744</v>
      </c>
      <c r="B256" s="42">
        <v>6722</v>
      </c>
      <c r="C256" s="43">
        <f t="shared" si="3"/>
        <v>0.25934892693513384</v>
      </c>
    </row>
    <row r="257" spans="1:3" hidden="1" x14ac:dyDescent="0.35">
      <c r="A257" t="s">
        <v>745</v>
      </c>
      <c r="B257" s="42">
        <v>11458</v>
      </c>
      <c r="C257" s="43">
        <f t="shared" si="3"/>
        <v>0.44207378828068483</v>
      </c>
    </row>
    <row r="258" spans="1:3" x14ac:dyDescent="0.35">
      <c r="A258" t="s">
        <v>746</v>
      </c>
      <c r="B258" s="42">
        <v>800215</v>
      </c>
      <c r="C258" s="43">
        <f t="shared" si="3"/>
        <v>30.873981191222573</v>
      </c>
    </row>
    <row r="259" spans="1:3" hidden="1" x14ac:dyDescent="0.35">
      <c r="A259" t="s">
        <v>747</v>
      </c>
      <c r="B259" s="42">
        <v>3096</v>
      </c>
      <c r="C259" s="43">
        <f t="shared" si="3"/>
        <v>0.11945020496744634</v>
      </c>
    </row>
    <row r="260" spans="1:3" hidden="1" x14ac:dyDescent="0.35">
      <c r="A260" t="s">
        <v>748</v>
      </c>
      <c r="B260">
        <v>133</v>
      </c>
      <c r="C260" s="43">
        <f t="shared" si="3"/>
        <v>5.131420303834097E-3</v>
      </c>
    </row>
    <row r="261" spans="1:3" hidden="1" x14ac:dyDescent="0.35">
      <c r="A261" t="s">
        <v>749</v>
      </c>
      <c r="B261">
        <v>154</v>
      </c>
      <c r="C261" s="43">
        <f t="shared" si="3"/>
        <v>5.9416445623342177E-3</v>
      </c>
    </row>
    <row r="262" spans="1:3" hidden="1" x14ac:dyDescent="0.35">
      <c r="A262" t="s">
        <v>750</v>
      </c>
      <c r="B262" s="42">
        <v>1198</v>
      </c>
      <c r="C262" s="43">
        <f t="shared" si="3"/>
        <v>4.6221364842054496E-2</v>
      </c>
    </row>
    <row r="263" spans="1:3" hidden="1" x14ac:dyDescent="0.35">
      <c r="A263" t="s">
        <v>751</v>
      </c>
      <c r="B263" s="42">
        <v>4370</v>
      </c>
      <c r="C263" s="43">
        <f t="shared" si="3"/>
        <v>0.16860380998312033</v>
      </c>
    </row>
    <row r="264" spans="1:3" hidden="1" x14ac:dyDescent="0.35">
      <c r="A264" t="s">
        <v>752</v>
      </c>
      <c r="B264" s="42">
        <v>9891</v>
      </c>
      <c r="C264" s="43">
        <f t="shared" si="3"/>
        <v>0.38161562575355679</v>
      </c>
    </row>
    <row r="265" spans="1:3" hidden="1" x14ac:dyDescent="0.35">
      <c r="A265" t="s">
        <v>753</v>
      </c>
      <c r="B265" s="42">
        <v>7054</v>
      </c>
      <c r="C265" s="43">
        <f t="shared" si="3"/>
        <v>0.27215818664094527</v>
      </c>
    </row>
    <row r="266" spans="1:3" hidden="1" x14ac:dyDescent="0.35">
      <c r="A266" t="s">
        <v>754</v>
      </c>
      <c r="B266" s="42">
        <v>3536</v>
      </c>
      <c r="C266" s="43">
        <f t="shared" ref="C266:C275" si="4">B266/$B$9*100</f>
        <v>0.13642633228840126</v>
      </c>
    </row>
    <row r="267" spans="1:3" hidden="1" x14ac:dyDescent="0.35">
      <c r="A267" t="s">
        <v>755</v>
      </c>
      <c r="B267">
        <v>582</v>
      </c>
      <c r="C267" s="43">
        <f t="shared" si="4"/>
        <v>2.2454786592717629E-2</v>
      </c>
    </row>
    <row r="268" spans="1:3" hidden="1" x14ac:dyDescent="0.35">
      <c r="A268" t="s">
        <v>756</v>
      </c>
      <c r="B268" s="42">
        <v>3412</v>
      </c>
      <c r="C268" s="43">
        <f t="shared" si="4"/>
        <v>0.13164215095249576</v>
      </c>
    </row>
    <row r="269" spans="1:3" hidden="1" x14ac:dyDescent="0.35">
      <c r="A269" t="s">
        <v>757</v>
      </c>
      <c r="B269" s="42">
        <v>29623</v>
      </c>
      <c r="C269" s="43">
        <f t="shared" si="4"/>
        <v>1.142917771883289</v>
      </c>
    </row>
    <row r="270" spans="1:3" hidden="1" x14ac:dyDescent="0.35">
      <c r="A270" t="s">
        <v>758</v>
      </c>
      <c r="B270" s="42">
        <v>5720</v>
      </c>
      <c r="C270" s="43">
        <f t="shared" si="4"/>
        <v>0.22068965517241379</v>
      </c>
    </row>
    <row r="271" spans="1:3" hidden="1" x14ac:dyDescent="0.35">
      <c r="A271" t="s">
        <v>759</v>
      </c>
      <c r="B271" s="42">
        <v>2197</v>
      </c>
      <c r="C271" s="43">
        <f t="shared" si="4"/>
        <v>8.4764890282131661E-2</v>
      </c>
    </row>
    <row r="272" spans="1:3" hidden="1" x14ac:dyDescent="0.35">
      <c r="A272" t="s">
        <v>760</v>
      </c>
      <c r="B272" s="42">
        <v>30197</v>
      </c>
      <c r="C272" s="43">
        <f t="shared" si="4"/>
        <v>1.1650639016156257</v>
      </c>
    </row>
    <row r="273" spans="1:3" hidden="1" x14ac:dyDescent="0.35">
      <c r="A273" t="s">
        <v>761</v>
      </c>
      <c r="B273" s="42">
        <v>2079</v>
      </c>
      <c r="C273" s="43">
        <f t="shared" si="4"/>
        <v>8.0212201591511934E-2</v>
      </c>
    </row>
    <row r="274" spans="1:3" hidden="1" x14ac:dyDescent="0.35">
      <c r="A274" t="s">
        <v>762</v>
      </c>
      <c r="B274">
        <v>221</v>
      </c>
      <c r="C274" s="43">
        <f t="shared" si="4"/>
        <v>8.5266457680250787E-3</v>
      </c>
    </row>
    <row r="275" spans="1:3" hidden="1" x14ac:dyDescent="0.35">
      <c r="A275" t="s">
        <v>763</v>
      </c>
      <c r="B275">
        <v>346</v>
      </c>
      <c r="C275" s="43">
        <f t="shared" si="4"/>
        <v>1.3349409211478177E-2</v>
      </c>
    </row>
  </sheetData>
  <autoFilter ref="A9:C275">
    <filterColumn colId="1">
      <customFilters>
        <customFilter operator="greaterThan" val="50000"/>
      </customFilters>
    </filterColumn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D150"/>
  <sheetViews>
    <sheetView workbookViewId="0">
      <selection activeCell="C17" sqref="C17:C142"/>
    </sheetView>
  </sheetViews>
  <sheetFormatPr baseColWidth="10" defaultRowHeight="14.5" x14ac:dyDescent="0.35"/>
  <cols>
    <col min="1" max="1" width="41.453125" customWidth="1"/>
  </cols>
  <sheetData>
    <row r="1" spans="1:4" x14ac:dyDescent="0.35">
      <c r="A1" t="s">
        <v>354</v>
      </c>
    </row>
    <row r="2" spans="1:4" x14ac:dyDescent="0.35">
      <c r="A2" t="s">
        <v>355</v>
      </c>
    </row>
    <row r="4" spans="1:4" x14ac:dyDescent="0.35">
      <c r="A4" t="s">
        <v>764</v>
      </c>
    </row>
    <row r="5" spans="1:4" x14ac:dyDescent="0.35">
      <c r="A5" t="s">
        <v>357</v>
      </c>
    </row>
    <row r="7" spans="1:4" x14ac:dyDescent="0.35">
      <c r="A7" t="s">
        <v>358</v>
      </c>
      <c r="B7" t="s">
        <v>359</v>
      </c>
    </row>
    <row r="8" spans="1:4" x14ac:dyDescent="0.35">
      <c r="A8" t="s">
        <v>358</v>
      </c>
      <c r="B8">
        <v>2020</v>
      </c>
    </row>
    <row r="9" spans="1:4" x14ac:dyDescent="0.35">
      <c r="A9" t="s">
        <v>765</v>
      </c>
      <c r="B9" s="42">
        <v>1879888</v>
      </c>
      <c r="C9">
        <f>B9/$B$9*100</f>
        <v>100</v>
      </c>
      <c r="D9" s="42">
        <f>B9+'Población Valencia'!B9+'Población Castellón'!B9</f>
        <v>5057353</v>
      </c>
    </row>
    <row r="10" spans="1:4" ht="15" hidden="1" customHeight="1" x14ac:dyDescent="0.35">
      <c r="A10" t="s">
        <v>766</v>
      </c>
      <c r="B10" s="42">
        <v>4794</v>
      </c>
      <c r="C10">
        <f>B10/$B$9*100</f>
        <v>0.25501519239444048</v>
      </c>
    </row>
    <row r="11" spans="1:4" ht="15" hidden="1" customHeight="1" x14ac:dyDescent="0.35">
      <c r="A11" t="s">
        <v>767</v>
      </c>
      <c r="B11">
        <v>564</v>
      </c>
      <c r="C11">
        <f t="shared" ref="C11:C73" si="0">B11/$B$9*100</f>
        <v>3.0001787340522414E-2</v>
      </c>
    </row>
    <row r="12" spans="1:4" ht="15" hidden="1" customHeight="1" x14ac:dyDescent="0.35">
      <c r="A12" t="s">
        <v>768</v>
      </c>
      <c r="B12">
        <v>986</v>
      </c>
      <c r="C12">
        <f t="shared" si="0"/>
        <v>5.2449933187509047E-2</v>
      </c>
    </row>
    <row r="13" spans="1:4" ht="15" hidden="1" customHeight="1" x14ac:dyDescent="0.35">
      <c r="A13" t="s">
        <v>769</v>
      </c>
      <c r="B13" s="42">
        <v>12474</v>
      </c>
      <c r="C13">
        <f t="shared" si="0"/>
        <v>0.66355016894623509</v>
      </c>
    </row>
    <row r="14" spans="1:4" ht="15" hidden="1" customHeight="1" x14ac:dyDescent="0.35">
      <c r="A14" t="s">
        <v>770</v>
      </c>
      <c r="B14" s="42">
        <v>1302</v>
      </c>
      <c r="C14">
        <f t="shared" si="0"/>
        <v>6.9259445243546422E-2</v>
      </c>
    </row>
    <row r="15" spans="1:4" ht="15" hidden="1" customHeight="1" x14ac:dyDescent="0.35">
      <c r="A15" t="s">
        <v>771</v>
      </c>
      <c r="B15">
        <v>226</v>
      </c>
      <c r="C15">
        <f t="shared" si="0"/>
        <v>1.2021992799571038E-2</v>
      </c>
    </row>
    <row r="16" spans="1:4" ht="15" hidden="1" customHeight="1" x14ac:dyDescent="0.35">
      <c r="A16" t="s">
        <v>772</v>
      </c>
      <c r="B16">
        <v>177</v>
      </c>
      <c r="C16">
        <f t="shared" si="0"/>
        <v>9.4154545377171401E-3</v>
      </c>
    </row>
    <row r="17" spans="1:3" x14ac:dyDescent="0.35">
      <c r="A17" t="s">
        <v>773</v>
      </c>
      <c r="B17" s="42">
        <v>59354</v>
      </c>
      <c r="C17">
        <f t="shared" si="0"/>
        <v>3.1573157549811479</v>
      </c>
    </row>
    <row r="18" spans="1:3" ht="15" hidden="1" customHeight="1" x14ac:dyDescent="0.35">
      <c r="A18" t="s">
        <v>774</v>
      </c>
      <c r="B18">
        <v>406</v>
      </c>
      <c r="C18">
        <f t="shared" si="0"/>
        <v>2.1597031312503723E-2</v>
      </c>
    </row>
    <row r="19" spans="1:3" ht="15" hidden="1" customHeight="1" x14ac:dyDescent="0.35">
      <c r="A19" t="s">
        <v>775</v>
      </c>
      <c r="B19" s="42">
        <v>20042</v>
      </c>
      <c r="C19">
        <f t="shared" si="0"/>
        <v>1.0661273437566494</v>
      </c>
    </row>
    <row r="20" spans="1:3" ht="15" hidden="1" customHeight="1" x14ac:dyDescent="0.35">
      <c r="A20" t="s">
        <v>776</v>
      </c>
      <c r="B20" s="42">
        <v>3125</v>
      </c>
      <c r="C20">
        <f t="shared" si="0"/>
        <v>0.16623330751619247</v>
      </c>
    </row>
    <row r="21" spans="1:3" ht="15" hidden="1" customHeight="1" x14ac:dyDescent="0.35">
      <c r="A21" t="s">
        <v>777</v>
      </c>
      <c r="B21" s="42">
        <v>1326</v>
      </c>
      <c r="C21">
        <f t="shared" si="0"/>
        <v>7.0536117045270783E-2</v>
      </c>
    </row>
    <row r="22" spans="1:3" ht="15" customHeight="1" x14ac:dyDescent="0.35">
      <c r="A22" t="s">
        <v>778</v>
      </c>
      <c r="B22" s="42">
        <v>337482</v>
      </c>
      <c r="C22">
        <f t="shared" si="0"/>
        <v>17.95223970789749</v>
      </c>
    </row>
    <row r="23" spans="1:3" ht="15" hidden="1" customHeight="1" x14ac:dyDescent="0.35">
      <c r="A23" t="s">
        <v>779</v>
      </c>
      <c r="B23" s="42">
        <v>21208</v>
      </c>
      <c r="C23">
        <f t="shared" si="0"/>
        <v>1.1281523154570909</v>
      </c>
    </row>
    <row r="24" spans="1:3" ht="15" hidden="1" customHeight="1" x14ac:dyDescent="0.35">
      <c r="A24" t="s">
        <v>780</v>
      </c>
      <c r="B24">
        <v>109</v>
      </c>
      <c r="C24">
        <f t="shared" si="0"/>
        <v>5.7982177661647927E-3</v>
      </c>
    </row>
    <row r="25" spans="1:3" ht="15" hidden="1" customHeight="1" x14ac:dyDescent="0.35">
      <c r="A25" t="s">
        <v>781</v>
      </c>
      <c r="B25">
        <v>493</v>
      </c>
      <c r="C25">
        <f t="shared" si="0"/>
        <v>2.6224966593754524E-2</v>
      </c>
    </row>
    <row r="26" spans="1:3" ht="15" hidden="1" customHeight="1" x14ac:dyDescent="0.35">
      <c r="A26" t="s">
        <v>782</v>
      </c>
      <c r="B26" s="42">
        <v>22558</v>
      </c>
      <c r="C26">
        <f t="shared" si="0"/>
        <v>1.1999651043040862</v>
      </c>
    </row>
    <row r="27" spans="1:3" ht="15" hidden="1" customHeight="1" x14ac:dyDescent="0.35">
      <c r="A27" t="s">
        <v>783</v>
      </c>
      <c r="B27" s="42">
        <v>20804</v>
      </c>
      <c r="C27">
        <f t="shared" si="0"/>
        <v>1.1066616734613977</v>
      </c>
    </row>
    <row r="28" spans="1:3" ht="15" hidden="1" customHeight="1" x14ac:dyDescent="0.35">
      <c r="A28" t="s">
        <v>784</v>
      </c>
      <c r="B28">
        <v>611</v>
      </c>
      <c r="C28">
        <f t="shared" si="0"/>
        <v>3.2501936285565948E-2</v>
      </c>
    </row>
    <row r="29" spans="1:3" ht="15" hidden="1" customHeight="1" x14ac:dyDescent="0.35">
      <c r="A29" t="s">
        <v>785</v>
      </c>
      <c r="B29">
        <v>128</v>
      </c>
      <c r="C29">
        <f t="shared" si="0"/>
        <v>6.8089162758632419E-3</v>
      </c>
    </row>
    <row r="30" spans="1:3" ht="15" hidden="1" customHeight="1" x14ac:dyDescent="0.35">
      <c r="A30" t="s">
        <v>786</v>
      </c>
      <c r="B30" s="42">
        <v>7090</v>
      </c>
      <c r="C30">
        <f t="shared" si="0"/>
        <v>0.3771501280927374</v>
      </c>
    </row>
    <row r="31" spans="1:3" ht="15" hidden="1" customHeight="1" x14ac:dyDescent="0.35">
      <c r="A31" t="s">
        <v>787</v>
      </c>
      <c r="B31">
        <v>156</v>
      </c>
      <c r="C31">
        <f t="shared" si="0"/>
        <v>8.2983667112083263E-3</v>
      </c>
    </row>
    <row r="32" spans="1:3" ht="15" hidden="1" customHeight="1" x14ac:dyDescent="0.35">
      <c r="A32" t="s">
        <v>788</v>
      </c>
      <c r="B32" s="42">
        <v>1690</v>
      </c>
      <c r="C32">
        <f t="shared" si="0"/>
        <v>8.9898972704756885E-2</v>
      </c>
    </row>
    <row r="33" spans="1:3" ht="15" hidden="1" customHeight="1" x14ac:dyDescent="0.35">
      <c r="A33" t="s">
        <v>789</v>
      </c>
      <c r="B33" s="42">
        <v>5435</v>
      </c>
      <c r="C33">
        <f t="shared" si="0"/>
        <v>0.28911296843216189</v>
      </c>
    </row>
    <row r="34" spans="1:3" ht="15" hidden="1" customHeight="1" x14ac:dyDescent="0.35">
      <c r="A34" t="s">
        <v>790</v>
      </c>
      <c r="B34" s="42">
        <v>1965</v>
      </c>
      <c r="C34">
        <f t="shared" si="0"/>
        <v>0.10452750376618181</v>
      </c>
    </row>
    <row r="35" spans="1:3" ht="15" hidden="1" customHeight="1" x14ac:dyDescent="0.35">
      <c r="A35" t="s">
        <v>791</v>
      </c>
      <c r="B35" s="42">
        <v>2159</v>
      </c>
      <c r="C35">
        <f t="shared" si="0"/>
        <v>0.11484726749678704</v>
      </c>
    </row>
    <row r="36" spans="1:3" ht="15" hidden="1" customHeight="1" x14ac:dyDescent="0.35">
      <c r="A36" t="s">
        <v>792</v>
      </c>
      <c r="B36">
        <v>200</v>
      </c>
      <c r="C36">
        <f t="shared" si="0"/>
        <v>1.0638931681036317E-2</v>
      </c>
    </row>
    <row r="37" spans="1:3" ht="15" hidden="1" customHeight="1" x14ac:dyDescent="0.35">
      <c r="A37" t="s">
        <v>793</v>
      </c>
      <c r="B37" s="42">
        <v>1099</v>
      </c>
      <c r="C37">
        <f t="shared" si="0"/>
        <v>5.8460929587294562E-2</v>
      </c>
    </row>
    <row r="38" spans="1:3" ht="15" hidden="1" customHeight="1" x14ac:dyDescent="0.35">
      <c r="A38" t="s">
        <v>794</v>
      </c>
      <c r="B38" s="42">
        <v>1078</v>
      </c>
      <c r="C38">
        <f t="shared" si="0"/>
        <v>5.7343841760785746E-2</v>
      </c>
    </row>
    <row r="39" spans="1:3" ht="15" customHeight="1" x14ac:dyDescent="0.35">
      <c r="A39" t="s">
        <v>795</v>
      </c>
      <c r="B39" s="42">
        <v>70450</v>
      </c>
      <c r="C39">
        <f t="shared" si="0"/>
        <v>3.7475636846450429</v>
      </c>
    </row>
    <row r="40" spans="1:3" ht="15" hidden="1" customHeight="1" x14ac:dyDescent="0.35">
      <c r="A40" t="s">
        <v>796</v>
      </c>
      <c r="B40">
        <v>104</v>
      </c>
      <c r="C40">
        <f t="shared" si="0"/>
        <v>5.5322444741388848E-3</v>
      </c>
    </row>
    <row r="41" spans="1:3" ht="15" hidden="1" customHeight="1" x14ac:dyDescent="0.35">
      <c r="A41" t="s">
        <v>797</v>
      </c>
      <c r="B41">
        <v>136</v>
      </c>
      <c r="C41">
        <f t="shared" si="0"/>
        <v>7.2344735431046948E-3</v>
      </c>
    </row>
    <row r="42" spans="1:3" ht="15" hidden="1" customHeight="1" x14ac:dyDescent="0.35">
      <c r="A42" t="s">
        <v>798</v>
      </c>
      <c r="B42">
        <v>443</v>
      </c>
      <c r="C42">
        <f t="shared" si="0"/>
        <v>2.3565233673495441E-2</v>
      </c>
    </row>
    <row r="43" spans="1:3" ht="15" hidden="1" customHeight="1" x14ac:dyDescent="0.35">
      <c r="A43" t="s">
        <v>799</v>
      </c>
      <c r="B43" s="42">
        <v>3293</v>
      </c>
      <c r="C43">
        <f t="shared" si="0"/>
        <v>0.17517001012826294</v>
      </c>
    </row>
    <row r="44" spans="1:3" ht="15" hidden="1" customHeight="1" x14ac:dyDescent="0.35">
      <c r="A44" t="s">
        <v>800</v>
      </c>
      <c r="B44">
        <v>726</v>
      </c>
      <c r="C44">
        <f t="shared" si="0"/>
        <v>3.8619322002161831E-2</v>
      </c>
    </row>
    <row r="45" spans="1:3" ht="15" hidden="1" customHeight="1" x14ac:dyDescent="0.35">
      <c r="A45" t="s">
        <v>801</v>
      </c>
      <c r="B45">
        <v>100</v>
      </c>
      <c r="C45">
        <f t="shared" si="0"/>
        <v>5.3194658405181583E-3</v>
      </c>
    </row>
    <row r="46" spans="1:3" ht="15" hidden="1" customHeight="1" x14ac:dyDescent="0.35">
      <c r="A46" t="s">
        <v>802</v>
      </c>
      <c r="B46">
        <v>497</v>
      </c>
      <c r="C46">
        <f t="shared" si="0"/>
        <v>2.6437745227375246E-2</v>
      </c>
    </row>
    <row r="47" spans="1:3" ht="15" hidden="1" customHeight="1" x14ac:dyDescent="0.35">
      <c r="A47" t="s">
        <v>803</v>
      </c>
      <c r="B47">
        <v>396</v>
      </c>
      <c r="C47">
        <f t="shared" si="0"/>
        <v>2.1065084728451908E-2</v>
      </c>
    </row>
    <row r="48" spans="1:3" ht="15" hidden="1" customHeight="1" x14ac:dyDescent="0.35">
      <c r="A48" t="s">
        <v>804</v>
      </c>
      <c r="B48">
        <v>103</v>
      </c>
      <c r="C48">
        <f t="shared" si="0"/>
        <v>5.4790498157337034E-3</v>
      </c>
    </row>
    <row r="49" spans="1:3" ht="15" hidden="1" customHeight="1" x14ac:dyDescent="0.35">
      <c r="A49" t="s">
        <v>805</v>
      </c>
      <c r="B49">
        <v>429</v>
      </c>
      <c r="C49">
        <f t="shared" si="0"/>
        <v>2.28205084558229E-2</v>
      </c>
    </row>
    <row r="50" spans="1:3" ht="15" hidden="1" customHeight="1" x14ac:dyDescent="0.35">
      <c r="A50" t="s">
        <v>806</v>
      </c>
      <c r="B50" s="42">
        <v>11288</v>
      </c>
      <c r="C50">
        <f t="shared" si="0"/>
        <v>0.60046130407768972</v>
      </c>
    </row>
    <row r="51" spans="1:3" ht="15" hidden="1" customHeight="1" x14ac:dyDescent="0.35">
      <c r="A51" t="s">
        <v>807</v>
      </c>
      <c r="B51" s="42">
        <v>4452</v>
      </c>
      <c r="C51">
        <f t="shared" si="0"/>
        <v>0.23682261921986841</v>
      </c>
    </row>
    <row r="52" spans="1:3" ht="15" hidden="1" customHeight="1" x14ac:dyDescent="0.35">
      <c r="A52" t="s">
        <v>808</v>
      </c>
      <c r="B52" s="42">
        <v>3655</v>
      </c>
      <c r="C52">
        <f t="shared" si="0"/>
        <v>0.19442647647093869</v>
      </c>
    </row>
    <row r="53" spans="1:3" ht="15" hidden="1" customHeight="1" x14ac:dyDescent="0.35">
      <c r="A53" t="s">
        <v>809</v>
      </c>
      <c r="B53" s="42">
        <v>6909</v>
      </c>
      <c r="C53">
        <f t="shared" si="0"/>
        <v>0.36752189492139958</v>
      </c>
    </row>
    <row r="54" spans="1:3" ht="15" hidden="1" customHeight="1" x14ac:dyDescent="0.35">
      <c r="A54" t="s">
        <v>810</v>
      </c>
      <c r="B54">
        <v>417</v>
      </c>
      <c r="C54">
        <f t="shared" si="0"/>
        <v>2.218217255496072E-2</v>
      </c>
    </row>
    <row r="55" spans="1:3" ht="15" hidden="1" customHeight="1" x14ac:dyDescent="0.35">
      <c r="A55" t="s">
        <v>811</v>
      </c>
      <c r="B55" s="42">
        <v>3075</v>
      </c>
      <c r="C55">
        <f t="shared" si="0"/>
        <v>0.16357357459593339</v>
      </c>
    </row>
    <row r="56" spans="1:3" ht="15" hidden="1" customHeight="1" x14ac:dyDescent="0.35">
      <c r="A56" t="s">
        <v>812</v>
      </c>
      <c r="B56" s="42">
        <v>19127</v>
      </c>
      <c r="C56">
        <f t="shared" si="0"/>
        <v>1.0174542313159083</v>
      </c>
    </row>
    <row r="57" spans="1:3" ht="15" hidden="1" customHeight="1" x14ac:dyDescent="0.35">
      <c r="A57" t="s">
        <v>813</v>
      </c>
      <c r="B57" s="42">
        <v>7522</v>
      </c>
      <c r="C57">
        <f t="shared" si="0"/>
        <v>0.40013022052377589</v>
      </c>
    </row>
    <row r="58" spans="1:3" ht="15" hidden="1" customHeight="1" x14ac:dyDescent="0.35">
      <c r="A58" t="s">
        <v>814</v>
      </c>
      <c r="B58" s="42">
        <v>23326</v>
      </c>
      <c r="C58">
        <f t="shared" si="0"/>
        <v>1.2408186019592657</v>
      </c>
    </row>
    <row r="59" spans="1:3" ht="15" hidden="1" customHeight="1" x14ac:dyDescent="0.35">
      <c r="A59" t="s">
        <v>815</v>
      </c>
      <c r="B59" s="42">
        <v>28930</v>
      </c>
      <c r="C59">
        <f t="shared" si="0"/>
        <v>1.5389214676619034</v>
      </c>
    </row>
    <row r="60" spans="1:3" ht="15" hidden="1" customHeight="1" x14ac:dyDescent="0.35">
      <c r="A60" t="s">
        <v>816</v>
      </c>
      <c r="B60">
        <v>417</v>
      </c>
      <c r="C60">
        <f t="shared" si="0"/>
        <v>2.218217255496072E-2</v>
      </c>
    </row>
    <row r="61" spans="1:3" ht="15" hidden="1" customHeight="1" x14ac:dyDescent="0.35">
      <c r="A61" t="s">
        <v>817</v>
      </c>
      <c r="B61" s="42">
        <v>1208</v>
      </c>
      <c r="C61">
        <f t="shared" si="0"/>
        <v>6.4259147353459362E-2</v>
      </c>
    </row>
    <row r="62" spans="1:3" hidden="1" x14ac:dyDescent="0.35">
      <c r="A62" t="s">
        <v>818</v>
      </c>
      <c r="B62" s="42">
        <v>10461</v>
      </c>
      <c r="C62">
        <f t="shared" si="0"/>
        <v>0.55646932157660456</v>
      </c>
    </row>
    <row r="63" spans="1:3" ht="15" hidden="1" customHeight="1" x14ac:dyDescent="0.35">
      <c r="A63" t="s">
        <v>819</v>
      </c>
      <c r="B63">
        <v>437</v>
      </c>
      <c r="C63">
        <f t="shared" si="0"/>
        <v>2.3246065723064355E-2</v>
      </c>
    </row>
    <row r="64" spans="1:3" ht="15" hidden="1" customHeight="1" x14ac:dyDescent="0.35">
      <c r="A64" t="s">
        <v>820</v>
      </c>
      <c r="B64">
        <v>224</v>
      </c>
      <c r="C64">
        <f t="shared" si="0"/>
        <v>1.1915603482760675E-2</v>
      </c>
    </row>
    <row r="65" spans="1:3" ht="15" hidden="1" customHeight="1" x14ac:dyDescent="0.35">
      <c r="A65" t="s">
        <v>821</v>
      </c>
      <c r="B65" s="42">
        <v>8898</v>
      </c>
      <c r="C65">
        <f t="shared" si="0"/>
        <v>0.47332607048930575</v>
      </c>
    </row>
    <row r="66" spans="1:3" ht="15" hidden="1" customHeight="1" x14ac:dyDescent="0.35">
      <c r="A66" t="s">
        <v>822</v>
      </c>
      <c r="B66" s="42">
        <v>11520</v>
      </c>
      <c r="C66">
        <f t="shared" si="0"/>
        <v>0.61280246482769185</v>
      </c>
    </row>
    <row r="67" spans="1:3" ht="15" hidden="1" customHeight="1" x14ac:dyDescent="0.35">
      <c r="A67" t="s">
        <v>823</v>
      </c>
      <c r="B67">
        <v>261</v>
      </c>
      <c r="C67">
        <f t="shared" si="0"/>
        <v>1.3883805843752393E-2</v>
      </c>
    </row>
    <row r="68" spans="1:3" ht="15" hidden="1" customHeight="1" x14ac:dyDescent="0.35">
      <c r="A68" t="s">
        <v>824</v>
      </c>
      <c r="B68" s="42">
        <v>7386</v>
      </c>
      <c r="C68">
        <f t="shared" si="0"/>
        <v>0.3928957469806712</v>
      </c>
    </row>
    <row r="69" spans="1:3" ht="15" hidden="1" customHeight="1" x14ac:dyDescent="0.35">
      <c r="A69" t="s">
        <v>825</v>
      </c>
      <c r="B69" s="42">
        <v>29536</v>
      </c>
      <c r="C69">
        <f t="shared" si="0"/>
        <v>1.5711574306554434</v>
      </c>
    </row>
    <row r="70" spans="1:3" ht="15" hidden="1" customHeight="1" x14ac:dyDescent="0.35">
      <c r="A70" t="s">
        <v>826</v>
      </c>
      <c r="B70" s="42">
        <v>1733</v>
      </c>
      <c r="C70">
        <f t="shared" si="0"/>
        <v>9.2186343016179687E-2</v>
      </c>
    </row>
    <row r="71" spans="1:3" ht="15" hidden="1" customHeight="1" x14ac:dyDescent="0.35">
      <c r="A71" t="s">
        <v>827</v>
      </c>
      <c r="B71">
        <v>731</v>
      </c>
      <c r="C71">
        <f t="shared" si="0"/>
        <v>3.8885295294187737E-2</v>
      </c>
    </row>
    <row r="72" spans="1:3" ht="15" hidden="1" customHeight="1" x14ac:dyDescent="0.35">
      <c r="A72" t="s">
        <v>828</v>
      </c>
      <c r="B72" s="42">
        <v>42827</v>
      </c>
      <c r="C72">
        <f t="shared" si="0"/>
        <v>2.2781676355187117</v>
      </c>
    </row>
    <row r="73" spans="1:3" ht="15" hidden="1" customHeight="1" x14ac:dyDescent="0.35">
      <c r="A73" t="s">
        <v>829</v>
      </c>
      <c r="B73" s="42">
        <v>7531</v>
      </c>
      <c r="C73">
        <f t="shared" si="0"/>
        <v>0.40060897244942251</v>
      </c>
    </row>
    <row r="74" spans="1:3" ht="15" customHeight="1" x14ac:dyDescent="0.35">
      <c r="A74" t="s">
        <v>830</v>
      </c>
      <c r="B74" s="42">
        <v>234765</v>
      </c>
      <c r="C74">
        <f t="shared" ref="C74:C137" si="1">B74/$B$9*100</f>
        <v>12.488243980492456</v>
      </c>
    </row>
    <row r="75" spans="1:3" ht="15" customHeight="1" x14ac:dyDescent="0.35">
      <c r="A75" t="s">
        <v>831</v>
      </c>
      <c r="B75" s="42">
        <v>52813</v>
      </c>
      <c r="C75">
        <f t="shared" si="1"/>
        <v>2.8093694943528549</v>
      </c>
    </row>
    <row r="76" spans="1:3" ht="15" hidden="1" customHeight="1" x14ac:dyDescent="0.35">
      <c r="A76" t="s">
        <v>832</v>
      </c>
      <c r="B76">
        <v>107</v>
      </c>
      <c r="C76">
        <f t="shared" si="1"/>
        <v>5.6918284493544299E-3</v>
      </c>
    </row>
    <row r="77" spans="1:3" ht="15" hidden="1" customHeight="1" x14ac:dyDescent="0.35">
      <c r="A77" t="s">
        <v>833</v>
      </c>
      <c r="B77">
        <v>45</v>
      </c>
      <c r="C77">
        <f t="shared" si="1"/>
        <v>2.3937596282331713E-3</v>
      </c>
    </row>
    <row r="78" spans="1:3" ht="15" hidden="1" customHeight="1" x14ac:dyDescent="0.35">
      <c r="A78" t="s">
        <v>834</v>
      </c>
      <c r="B78" s="42">
        <v>7103</v>
      </c>
      <c r="C78">
        <f t="shared" si="1"/>
        <v>0.37784165865200481</v>
      </c>
    </row>
    <row r="79" spans="1:3" ht="15" hidden="1" customHeight="1" x14ac:dyDescent="0.35">
      <c r="A79" t="s">
        <v>835</v>
      </c>
      <c r="B79" s="42">
        <v>2606</v>
      </c>
      <c r="C79">
        <f t="shared" si="1"/>
        <v>0.13862527980390321</v>
      </c>
    </row>
    <row r="80" spans="1:3" ht="15" hidden="1" customHeight="1" x14ac:dyDescent="0.35">
      <c r="A80" t="s">
        <v>836</v>
      </c>
      <c r="B80" s="42">
        <v>4268</v>
      </c>
      <c r="C80">
        <f t="shared" si="1"/>
        <v>0.22703480207331503</v>
      </c>
    </row>
    <row r="81" spans="1:3" ht="15" hidden="1" customHeight="1" x14ac:dyDescent="0.35">
      <c r="A81" t="s">
        <v>837</v>
      </c>
      <c r="B81">
        <v>479</v>
      </c>
      <c r="C81">
        <f t="shared" si="1"/>
        <v>2.5480241376081982E-2</v>
      </c>
    </row>
    <row r="82" spans="1:3" ht="15" hidden="1" customHeight="1" x14ac:dyDescent="0.35">
      <c r="A82" t="s">
        <v>838</v>
      </c>
      <c r="B82" s="42">
        <v>6243</v>
      </c>
      <c r="C82">
        <f t="shared" si="1"/>
        <v>0.33209425242354867</v>
      </c>
    </row>
    <row r="83" spans="1:3" ht="15" hidden="1" customHeight="1" x14ac:dyDescent="0.35">
      <c r="A83" t="s">
        <v>839</v>
      </c>
      <c r="B83">
        <v>241</v>
      </c>
      <c r="C83">
        <f t="shared" si="1"/>
        <v>1.2819912675648762E-2</v>
      </c>
    </row>
    <row r="84" spans="1:3" ht="15" hidden="1" customHeight="1" x14ac:dyDescent="0.35">
      <c r="A84" t="s">
        <v>840</v>
      </c>
      <c r="B84" s="42">
        <v>2591</v>
      </c>
      <c r="C84">
        <f t="shared" si="1"/>
        <v>0.13782735992782547</v>
      </c>
    </row>
    <row r="85" spans="1:3" ht="15" hidden="1" customHeight="1" x14ac:dyDescent="0.35">
      <c r="A85" t="s">
        <v>841</v>
      </c>
      <c r="B85" s="42">
        <v>15849</v>
      </c>
      <c r="C85">
        <f t="shared" si="1"/>
        <v>0.84308214106372292</v>
      </c>
    </row>
    <row r="86" spans="1:3" ht="15" hidden="1" customHeight="1" x14ac:dyDescent="0.35">
      <c r="A86" t="s">
        <v>842</v>
      </c>
      <c r="B86" s="42">
        <v>1242</v>
      </c>
      <c r="C86">
        <f t="shared" si="1"/>
        <v>6.6067765739235534E-2</v>
      </c>
    </row>
    <row r="87" spans="1:3" ht="15" hidden="1" customHeight="1" x14ac:dyDescent="0.35">
      <c r="A87" t="s">
        <v>843</v>
      </c>
      <c r="B87" s="42">
        <v>23564</v>
      </c>
      <c r="C87">
        <f t="shared" si="1"/>
        <v>1.253478930659699</v>
      </c>
    </row>
    <row r="88" spans="1:3" ht="15" hidden="1" customHeight="1" x14ac:dyDescent="0.35">
      <c r="A88" t="s">
        <v>844</v>
      </c>
      <c r="B88" s="42">
        <v>1998</v>
      </c>
      <c r="C88">
        <f t="shared" si="1"/>
        <v>0.10628292749355281</v>
      </c>
    </row>
    <row r="89" spans="1:3" ht="15" hidden="1" customHeight="1" x14ac:dyDescent="0.35">
      <c r="A89" t="s">
        <v>845</v>
      </c>
      <c r="B89" s="42">
        <v>28016</v>
      </c>
      <c r="C89">
        <f t="shared" si="1"/>
        <v>1.4903015498795673</v>
      </c>
    </row>
    <row r="90" spans="1:3" ht="15" hidden="1" customHeight="1" x14ac:dyDescent="0.35">
      <c r="A90" t="s">
        <v>846</v>
      </c>
      <c r="B90" s="42">
        <v>6879</v>
      </c>
      <c r="C90">
        <f t="shared" si="1"/>
        <v>0.36592605516924415</v>
      </c>
    </row>
    <row r="91" spans="1:3" ht="15" hidden="1" customHeight="1" x14ac:dyDescent="0.35">
      <c r="A91" t="s">
        <v>847</v>
      </c>
      <c r="B91">
        <v>830</v>
      </c>
      <c r="C91">
        <f t="shared" si="1"/>
        <v>4.415156647630071E-2</v>
      </c>
    </row>
    <row r="92" spans="1:3" ht="15" hidden="1" customHeight="1" x14ac:dyDescent="0.35">
      <c r="A92" t="s">
        <v>848</v>
      </c>
      <c r="B92">
        <v>582</v>
      </c>
      <c r="C92">
        <f t="shared" si="1"/>
        <v>3.0959291191815685E-2</v>
      </c>
    </row>
    <row r="93" spans="1:3" ht="15" hidden="1" customHeight="1" x14ac:dyDescent="0.35">
      <c r="A93" t="s">
        <v>849</v>
      </c>
      <c r="B93">
        <v>240</v>
      </c>
      <c r="C93">
        <f t="shared" si="1"/>
        <v>1.2766718017243581E-2</v>
      </c>
    </row>
    <row r="94" spans="1:3" ht="15" hidden="1" customHeight="1" x14ac:dyDescent="0.35">
      <c r="A94" t="s">
        <v>850</v>
      </c>
      <c r="B94" s="42">
        <v>8346</v>
      </c>
      <c r="C94">
        <f t="shared" si="1"/>
        <v>0.44396261904964551</v>
      </c>
    </row>
    <row r="95" spans="1:3" ht="15" hidden="1" customHeight="1" x14ac:dyDescent="0.35">
      <c r="A95" t="s">
        <v>851</v>
      </c>
      <c r="B95" s="42">
        <v>12212</v>
      </c>
      <c r="C95">
        <f t="shared" si="1"/>
        <v>0.64961316844407757</v>
      </c>
    </row>
    <row r="96" spans="1:3" ht="15" hidden="1" customHeight="1" x14ac:dyDescent="0.35">
      <c r="A96" t="s">
        <v>852</v>
      </c>
      <c r="B96" s="42">
        <v>5061</v>
      </c>
      <c r="C96">
        <f t="shared" si="1"/>
        <v>0.26921816618862399</v>
      </c>
    </row>
    <row r="97" spans="1:3" ht="15" hidden="1" customHeight="1" x14ac:dyDescent="0.35">
      <c r="A97" t="s">
        <v>853</v>
      </c>
      <c r="B97">
        <v>507</v>
      </c>
      <c r="C97">
        <f t="shared" si="1"/>
        <v>2.6969691811427061E-2</v>
      </c>
    </row>
    <row r="98" spans="1:3" ht="15" hidden="1" customHeight="1" x14ac:dyDescent="0.35">
      <c r="A98" t="s">
        <v>854</v>
      </c>
      <c r="B98" s="42">
        <v>9315</v>
      </c>
      <c r="C98">
        <f t="shared" si="1"/>
        <v>0.49550824304426644</v>
      </c>
    </row>
    <row r="99" spans="1:3" ht="15" hidden="1" customHeight="1" x14ac:dyDescent="0.35">
      <c r="A99" t="s">
        <v>855</v>
      </c>
      <c r="B99" s="42">
        <v>25645</v>
      </c>
      <c r="C99">
        <f t="shared" si="1"/>
        <v>1.3641770148008818</v>
      </c>
    </row>
    <row r="100" spans="1:3" ht="15" hidden="1" customHeight="1" x14ac:dyDescent="0.35">
      <c r="A100" t="s">
        <v>856</v>
      </c>
      <c r="B100" s="42">
        <v>25741</v>
      </c>
      <c r="C100">
        <f t="shared" si="1"/>
        <v>1.369283702007779</v>
      </c>
    </row>
    <row r="101" spans="1:3" ht="15" hidden="1" customHeight="1" x14ac:dyDescent="0.35">
      <c r="A101" t="s">
        <v>857</v>
      </c>
      <c r="B101" s="42">
        <v>18163</v>
      </c>
      <c r="C101">
        <f t="shared" si="1"/>
        <v>0.96617458061331318</v>
      </c>
    </row>
    <row r="102" spans="1:3" ht="15" hidden="1" customHeight="1" x14ac:dyDescent="0.35">
      <c r="A102" t="s">
        <v>858</v>
      </c>
      <c r="B102" s="42">
        <v>7076</v>
      </c>
      <c r="C102">
        <f t="shared" si="1"/>
        <v>0.37640540287506491</v>
      </c>
    </row>
    <row r="103" spans="1:3" ht="15" hidden="1" customHeight="1" x14ac:dyDescent="0.35">
      <c r="A103" t="s">
        <v>859</v>
      </c>
      <c r="B103" s="42">
        <v>7600</v>
      </c>
      <c r="C103">
        <f t="shared" si="1"/>
        <v>0.40427940387938005</v>
      </c>
    </row>
    <row r="104" spans="1:3" ht="15" hidden="1" customHeight="1" x14ac:dyDescent="0.35">
      <c r="A104" t="s">
        <v>860</v>
      </c>
      <c r="B104" s="42">
        <v>2232</v>
      </c>
      <c r="C104">
        <f t="shared" si="1"/>
        <v>0.11873047756036531</v>
      </c>
    </row>
    <row r="105" spans="1:3" ht="15" customHeight="1" x14ac:dyDescent="0.35">
      <c r="A105" t="s">
        <v>861</v>
      </c>
      <c r="B105" s="42">
        <v>78505</v>
      </c>
      <c r="C105">
        <f t="shared" si="1"/>
        <v>4.1760466580987803</v>
      </c>
    </row>
    <row r="106" spans="1:3" ht="15" hidden="1" customHeight="1" x14ac:dyDescent="0.35">
      <c r="A106" t="s">
        <v>862</v>
      </c>
      <c r="B106">
        <v>784</v>
      </c>
      <c r="C106">
        <f t="shared" si="1"/>
        <v>4.1704612189662364E-2</v>
      </c>
    </row>
    <row r="107" spans="1:3" ht="15" hidden="1" customHeight="1" x14ac:dyDescent="0.35">
      <c r="A107" t="s">
        <v>863</v>
      </c>
      <c r="B107">
        <v>967</v>
      </c>
      <c r="C107">
        <f t="shared" si="1"/>
        <v>5.1439234677810593E-2</v>
      </c>
    </row>
    <row r="108" spans="1:3" ht="15" hidden="1" customHeight="1" x14ac:dyDescent="0.35">
      <c r="A108" t="s">
        <v>864</v>
      </c>
      <c r="B108" s="42">
        <v>7881</v>
      </c>
      <c r="C108">
        <f t="shared" si="1"/>
        <v>0.41922710289123605</v>
      </c>
    </row>
    <row r="109" spans="1:3" ht="15" hidden="1" customHeight="1" x14ac:dyDescent="0.35">
      <c r="A109" t="s">
        <v>865</v>
      </c>
      <c r="B109" s="42">
        <v>10133</v>
      </c>
      <c r="C109">
        <f t="shared" si="1"/>
        <v>0.53902147361970498</v>
      </c>
    </row>
    <row r="110" spans="1:3" ht="15" hidden="1" customHeight="1" x14ac:dyDescent="0.35">
      <c r="A110" t="s">
        <v>866</v>
      </c>
      <c r="B110">
        <v>269</v>
      </c>
      <c r="C110">
        <f t="shared" si="1"/>
        <v>1.4309363110993846E-2</v>
      </c>
    </row>
    <row r="111" spans="1:3" ht="15" hidden="1" customHeight="1" x14ac:dyDescent="0.35">
      <c r="A111" t="s">
        <v>867</v>
      </c>
      <c r="B111" s="42">
        <v>34241</v>
      </c>
      <c r="C111">
        <f t="shared" si="1"/>
        <v>1.8214382984518225</v>
      </c>
    </row>
    <row r="112" spans="1:3" ht="15" hidden="1" customHeight="1" x14ac:dyDescent="0.35">
      <c r="A112" t="s">
        <v>868</v>
      </c>
      <c r="B112" s="42">
        <v>22347</v>
      </c>
      <c r="C112">
        <f t="shared" si="1"/>
        <v>1.1887410313805928</v>
      </c>
    </row>
    <row r="113" spans="1:3" ht="15" hidden="1" customHeight="1" x14ac:dyDescent="0.35">
      <c r="A113" t="s">
        <v>869</v>
      </c>
      <c r="B113" s="42">
        <v>8025</v>
      </c>
      <c r="C113">
        <f t="shared" si="1"/>
        <v>0.42688713370158221</v>
      </c>
    </row>
    <row r="114" spans="1:3" ht="15" hidden="1" customHeight="1" x14ac:dyDescent="0.35">
      <c r="A114" t="s">
        <v>870</v>
      </c>
      <c r="B114">
        <v>682</v>
      </c>
      <c r="C114">
        <f t="shared" si="1"/>
        <v>3.6278757032333839E-2</v>
      </c>
    </row>
    <row r="115" spans="1:3" ht="15" hidden="1" customHeight="1" x14ac:dyDescent="0.35">
      <c r="A115" t="s">
        <v>871</v>
      </c>
      <c r="B115" s="42">
        <v>2714</v>
      </c>
      <c r="C115">
        <f t="shared" si="1"/>
        <v>0.14437030291166281</v>
      </c>
    </row>
    <row r="116" spans="1:3" hidden="1" x14ac:dyDescent="0.35">
      <c r="A116" t="s">
        <v>872</v>
      </c>
      <c r="B116" s="42">
        <v>5064</v>
      </c>
      <c r="C116">
        <f t="shared" si="1"/>
        <v>0.26937775016383952</v>
      </c>
    </row>
    <row r="117" spans="1:3" ht="15" hidden="1" customHeight="1" x14ac:dyDescent="0.35">
      <c r="A117" t="s">
        <v>873</v>
      </c>
      <c r="B117">
        <v>118</v>
      </c>
      <c r="C117">
        <f t="shared" si="1"/>
        <v>6.2769696918114279E-3</v>
      </c>
    </row>
    <row r="118" spans="1:3" ht="15" hidden="1" customHeight="1" x14ac:dyDescent="0.35">
      <c r="A118" t="s">
        <v>874</v>
      </c>
      <c r="B118" s="42">
        <v>4553</v>
      </c>
      <c r="C118">
        <f t="shared" si="1"/>
        <v>0.24219527971879173</v>
      </c>
    </row>
    <row r="119" spans="1:3" ht="15" hidden="1" customHeight="1" x14ac:dyDescent="0.35">
      <c r="A119" t="s">
        <v>875</v>
      </c>
      <c r="B119">
        <v>648</v>
      </c>
      <c r="C119">
        <f t="shared" si="1"/>
        <v>3.4470138646557666E-2</v>
      </c>
    </row>
    <row r="120" spans="1:3" ht="15" hidden="1" customHeight="1" x14ac:dyDescent="0.35">
      <c r="A120" t="s">
        <v>876</v>
      </c>
      <c r="B120" s="42">
        <v>7926</v>
      </c>
      <c r="C120">
        <f t="shared" si="1"/>
        <v>0.42162086251946929</v>
      </c>
    </row>
    <row r="121" spans="1:3" ht="15" hidden="1" customHeight="1" x14ac:dyDescent="0.35">
      <c r="A121" t="s">
        <v>877</v>
      </c>
      <c r="B121" s="42">
        <v>1148</v>
      </c>
      <c r="C121">
        <f t="shared" si="1"/>
        <v>6.106746784914846E-2</v>
      </c>
    </row>
    <row r="122" spans="1:3" ht="15" hidden="1" customHeight="1" x14ac:dyDescent="0.35">
      <c r="A122" t="s">
        <v>878</v>
      </c>
      <c r="B122" s="42">
        <v>16671</v>
      </c>
      <c r="C122">
        <f t="shared" si="1"/>
        <v>0.88680815027278226</v>
      </c>
    </row>
    <row r="123" spans="1:3" ht="15" hidden="1" customHeight="1" x14ac:dyDescent="0.35">
      <c r="A123" t="s">
        <v>879</v>
      </c>
      <c r="B123" s="42">
        <v>2492</v>
      </c>
      <c r="C123">
        <f t="shared" si="1"/>
        <v>0.13256108874571251</v>
      </c>
    </row>
    <row r="124" spans="1:3" ht="15" hidden="1" customHeight="1" x14ac:dyDescent="0.35">
      <c r="A124" t="s">
        <v>880</v>
      </c>
      <c r="B124">
        <v>426</v>
      </c>
      <c r="C124">
        <f t="shared" si="1"/>
        <v>2.2660924480607355E-2</v>
      </c>
    </row>
    <row r="125" spans="1:3" ht="15" hidden="1" customHeight="1" x14ac:dyDescent="0.35">
      <c r="A125" t="s">
        <v>881</v>
      </c>
      <c r="B125" s="42">
        <v>1620</v>
      </c>
      <c r="C125">
        <f t="shared" si="1"/>
        <v>8.6175346616394172E-2</v>
      </c>
    </row>
    <row r="126" spans="1:3" ht="15" hidden="1" customHeight="1" x14ac:dyDescent="0.35">
      <c r="A126" t="s">
        <v>882</v>
      </c>
      <c r="B126" s="42">
        <v>8071</v>
      </c>
      <c r="C126">
        <f t="shared" si="1"/>
        <v>0.42933408798822059</v>
      </c>
    </row>
    <row r="127" spans="1:3" ht="15" hidden="1" customHeight="1" x14ac:dyDescent="0.35">
      <c r="A127" t="s">
        <v>883</v>
      </c>
      <c r="B127" s="42">
        <v>2103</v>
      </c>
      <c r="C127">
        <f t="shared" si="1"/>
        <v>0.11186836662609688</v>
      </c>
    </row>
    <row r="128" spans="1:3" ht="15" hidden="1" customHeight="1" x14ac:dyDescent="0.35">
      <c r="A128" t="s">
        <v>884</v>
      </c>
      <c r="B128" s="42">
        <v>6313</v>
      </c>
      <c r="C128">
        <f t="shared" si="1"/>
        <v>0.33581787851191136</v>
      </c>
    </row>
    <row r="129" spans="1:3" ht="15" customHeight="1" x14ac:dyDescent="0.35">
      <c r="A129" t="s">
        <v>885</v>
      </c>
      <c r="B129" s="42">
        <v>58978</v>
      </c>
      <c r="C129">
        <f t="shared" si="1"/>
        <v>3.1373145634207997</v>
      </c>
    </row>
    <row r="130" spans="1:3" ht="15" hidden="1" customHeight="1" x14ac:dyDescent="0.35">
      <c r="A130" t="s">
        <v>886</v>
      </c>
      <c r="B130">
        <v>690</v>
      </c>
      <c r="C130">
        <f t="shared" si="1"/>
        <v>3.6704314299575297E-2</v>
      </c>
    </row>
    <row r="131" spans="1:3" ht="15" hidden="1" customHeight="1" x14ac:dyDescent="0.35">
      <c r="A131" t="s">
        <v>887</v>
      </c>
      <c r="B131" s="42">
        <v>24367</v>
      </c>
      <c r="C131">
        <f t="shared" si="1"/>
        <v>1.2961942413590597</v>
      </c>
    </row>
    <row r="132" spans="1:3" ht="15" hidden="1" customHeight="1" x14ac:dyDescent="0.35">
      <c r="A132" t="s">
        <v>888</v>
      </c>
      <c r="B132" s="42">
        <v>33303</v>
      </c>
      <c r="C132">
        <f t="shared" si="1"/>
        <v>1.7715417088677625</v>
      </c>
    </row>
    <row r="133" spans="1:3" ht="15" hidden="1" customHeight="1" x14ac:dyDescent="0.35">
      <c r="A133" t="s">
        <v>889</v>
      </c>
      <c r="B133" s="42">
        <v>9859</v>
      </c>
      <c r="C133">
        <f t="shared" si="1"/>
        <v>0.52444613721668532</v>
      </c>
    </row>
    <row r="134" spans="1:3" ht="15" hidden="1" customHeight="1" x14ac:dyDescent="0.35">
      <c r="A134" t="s">
        <v>890</v>
      </c>
      <c r="B134">
        <v>577</v>
      </c>
      <c r="C134">
        <f t="shared" si="1"/>
        <v>3.0693317899789772E-2</v>
      </c>
    </row>
    <row r="135" spans="1:3" ht="15" hidden="1" customHeight="1" x14ac:dyDescent="0.35">
      <c r="A135" t="s">
        <v>891</v>
      </c>
      <c r="B135">
        <v>583</v>
      </c>
      <c r="C135">
        <f t="shared" si="1"/>
        <v>3.1012485850220865E-2</v>
      </c>
    </row>
    <row r="136" spans="1:3" ht="15" hidden="1" customHeight="1" x14ac:dyDescent="0.35">
      <c r="A136" t="s">
        <v>892</v>
      </c>
      <c r="B136">
        <v>623</v>
      </c>
      <c r="C136">
        <f t="shared" si="1"/>
        <v>3.3140272186428128E-2</v>
      </c>
    </row>
    <row r="137" spans="1:3" ht="15" hidden="1" customHeight="1" x14ac:dyDescent="0.35">
      <c r="A137" t="s">
        <v>893</v>
      </c>
      <c r="B137" s="42">
        <v>11278</v>
      </c>
      <c r="C137">
        <f t="shared" si="1"/>
        <v>0.59992935749363796</v>
      </c>
    </row>
    <row r="138" spans="1:3" ht="15" hidden="1" customHeight="1" x14ac:dyDescent="0.35">
      <c r="A138" t="s">
        <v>894</v>
      </c>
      <c r="B138" s="42">
        <v>1662</v>
      </c>
      <c r="C138">
        <f t="shared" ref="C138:C150" si="2">B138/$B$9*100</f>
        <v>8.8409522269411789E-2</v>
      </c>
    </row>
    <row r="139" spans="1:3" ht="15" hidden="1" customHeight="1" x14ac:dyDescent="0.35">
      <c r="A139" t="s">
        <v>895</v>
      </c>
      <c r="B139">
        <v>35</v>
      </c>
      <c r="C139">
        <f t="shared" si="2"/>
        <v>1.8618130441813553E-3</v>
      </c>
    </row>
    <row r="140" spans="1:3" ht="15" hidden="1" customHeight="1" x14ac:dyDescent="0.35">
      <c r="A140" t="s">
        <v>896</v>
      </c>
      <c r="B140">
        <v>318</v>
      </c>
      <c r="C140">
        <f t="shared" si="2"/>
        <v>1.6915901372847743E-2</v>
      </c>
    </row>
    <row r="141" spans="1:3" ht="15" hidden="1" customHeight="1" x14ac:dyDescent="0.35">
      <c r="A141" t="s">
        <v>897</v>
      </c>
      <c r="B141">
        <v>636</v>
      </c>
      <c r="C141">
        <f t="shared" si="2"/>
        <v>3.3831802745695486E-2</v>
      </c>
    </row>
    <row r="142" spans="1:3" ht="15" customHeight="1" x14ac:dyDescent="0.35">
      <c r="A142" t="s">
        <v>898</v>
      </c>
      <c r="B142" s="42">
        <v>84667</v>
      </c>
      <c r="C142">
        <f t="shared" si="2"/>
        <v>4.5038321431915094</v>
      </c>
    </row>
    <row r="143" spans="1:3" ht="15" hidden="1" customHeight="1" x14ac:dyDescent="0.35">
      <c r="A143" t="s">
        <v>899</v>
      </c>
      <c r="B143">
        <v>160</v>
      </c>
      <c r="C143">
        <f t="shared" si="2"/>
        <v>8.5111453448290537E-3</v>
      </c>
    </row>
    <row r="144" spans="1:3" ht="15" hidden="1" customHeight="1" x14ac:dyDescent="0.35">
      <c r="A144" t="s">
        <v>900</v>
      </c>
      <c r="B144">
        <v>527</v>
      </c>
      <c r="C144">
        <f t="shared" si="2"/>
        <v>2.8033584979530696E-2</v>
      </c>
    </row>
    <row r="145" spans="1:3" ht="15" hidden="1" customHeight="1" x14ac:dyDescent="0.35">
      <c r="A145" t="s">
        <v>901</v>
      </c>
      <c r="B145">
        <v>827</v>
      </c>
      <c r="C145">
        <f t="shared" si="2"/>
        <v>4.3991982501085172E-2</v>
      </c>
    </row>
    <row r="146" spans="1:3" ht="15" hidden="1" customHeight="1" x14ac:dyDescent="0.35">
      <c r="A146" t="s">
        <v>902</v>
      </c>
      <c r="B146">
        <v>218</v>
      </c>
      <c r="C146">
        <f t="shared" si="2"/>
        <v>1.1596435532329585E-2</v>
      </c>
    </row>
    <row r="147" spans="1:3" ht="15" hidden="1" customHeight="1" x14ac:dyDescent="0.35">
      <c r="A147" t="s">
        <v>903</v>
      </c>
      <c r="B147" s="42">
        <v>4709</v>
      </c>
      <c r="C147">
        <f t="shared" si="2"/>
        <v>0.25049364643000011</v>
      </c>
    </row>
    <row r="148" spans="1:3" ht="15" hidden="1" customHeight="1" x14ac:dyDescent="0.35">
      <c r="A148" t="s">
        <v>904</v>
      </c>
      <c r="B148" s="42">
        <v>35199</v>
      </c>
      <c r="C148">
        <f t="shared" si="2"/>
        <v>1.8723987812039866</v>
      </c>
    </row>
    <row r="149" spans="1:3" ht="15" hidden="1" customHeight="1" x14ac:dyDescent="0.35">
      <c r="A149" t="s">
        <v>905</v>
      </c>
      <c r="B149" s="42">
        <v>34155</v>
      </c>
      <c r="C149">
        <f t="shared" si="2"/>
        <v>1.8168635578289769</v>
      </c>
    </row>
    <row r="150" spans="1:3" ht="15" hidden="1" customHeight="1" x14ac:dyDescent="0.35">
      <c r="A150" t="s">
        <v>906</v>
      </c>
      <c r="B150" s="42">
        <v>2868</v>
      </c>
      <c r="C150">
        <f t="shared" si="2"/>
        <v>0.15256228030606078</v>
      </c>
    </row>
  </sheetData>
  <autoFilter ref="A9:C150">
    <filterColumn colId="1">
      <customFilters>
        <customFilter operator="greaterThan" val="50000"/>
      </customFilters>
    </filterColumn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3:D545"/>
  <sheetViews>
    <sheetView workbookViewId="0">
      <selection activeCell="D40" sqref="D40:D537"/>
    </sheetView>
  </sheetViews>
  <sheetFormatPr baseColWidth="10" defaultRowHeight="14.5" x14ac:dyDescent="0.35"/>
  <sheetData>
    <row r="3" spans="1:4" x14ac:dyDescent="0.35">
      <c r="B3" t="s">
        <v>1451</v>
      </c>
      <c r="C3" s="42">
        <f>SUM(C4:C545)</f>
        <v>5057353</v>
      </c>
    </row>
    <row r="4" spans="1:4" hidden="1" x14ac:dyDescent="0.35">
      <c r="A4">
        <v>12002</v>
      </c>
      <c r="B4" t="s">
        <v>909</v>
      </c>
      <c r="C4">
        <v>123</v>
      </c>
      <c r="D4">
        <f>C4/$C$3</f>
        <v>2.4321023270473703E-5</v>
      </c>
    </row>
    <row r="5" spans="1:4" hidden="1" x14ac:dyDescent="0.35">
      <c r="A5">
        <v>12003</v>
      </c>
      <c r="B5" t="s">
        <v>910</v>
      </c>
      <c r="C5" s="42">
        <v>1227</v>
      </c>
      <c r="D5">
        <f t="shared" ref="D5:D68" si="0">C5/$C$3</f>
        <v>2.4261703701521331E-4</v>
      </c>
    </row>
    <row r="6" spans="1:4" hidden="1" x14ac:dyDescent="0.35">
      <c r="A6">
        <v>12004</v>
      </c>
      <c r="B6" t="s">
        <v>911</v>
      </c>
      <c r="C6" s="42">
        <v>6638</v>
      </c>
      <c r="D6">
        <f t="shared" si="0"/>
        <v>1.3125443290195483E-3</v>
      </c>
    </row>
    <row r="7" spans="1:4" hidden="1" x14ac:dyDescent="0.35">
      <c r="A7">
        <v>12005</v>
      </c>
      <c r="B7" t="s">
        <v>912</v>
      </c>
      <c r="C7" s="42">
        <v>10417</v>
      </c>
      <c r="D7">
        <f t="shared" si="0"/>
        <v>2.0597731659229642E-3</v>
      </c>
    </row>
    <row r="8" spans="1:4" hidden="1" x14ac:dyDescent="0.35">
      <c r="A8">
        <v>12006</v>
      </c>
      <c r="B8" t="s">
        <v>913</v>
      </c>
      <c r="C8">
        <v>188</v>
      </c>
      <c r="D8">
        <f t="shared" si="0"/>
        <v>3.7173596543488264E-5</v>
      </c>
    </row>
    <row r="9" spans="1:4" hidden="1" x14ac:dyDescent="0.35">
      <c r="A9">
        <v>12007</v>
      </c>
      <c r="B9" t="s">
        <v>914</v>
      </c>
      <c r="C9">
        <v>862</v>
      </c>
      <c r="D9">
        <f t="shared" si="0"/>
        <v>1.7044489478982384E-4</v>
      </c>
    </row>
    <row r="10" spans="1:4" hidden="1" x14ac:dyDescent="0.35">
      <c r="A10">
        <v>12008</v>
      </c>
      <c r="B10" t="s">
        <v>915</v>
      </c>
      <c r="C10">
        <v>262</v>
      </c>
      <c r="D10">
        <f t="shared" si="0"/>
        <v>5.1805756885074069E-5</v>
      </c>
    </row>
    <row r="11" spans="1:4" hidden="1" x14ac:dyDescent="0.35">
      <c r="A11">
        <v>12009</v>
      </c>
      <c r="B11" t="s">
        <v>916</v>
      </c>
      <c r="C11" s="42">
        <v>26742</v>
      </c>
      <c r="D11">
        <f t="shared" si="0"/>
        <v>5.2877463764146974E-3</v>
      </c>
    </row>
    <row r="12" spans="1:4" hidden="1" x14ac:dyDescent="0.35">
      <c r="A12">
        <v>12010</v>
      </c>
      <c r="B12" t="s">
        <v>917</v>
      </c>
      <c r="C12">
        <v>244</v>
      </c>
      <c r="D12">
        <f t="shared" si="0"/>
        <v>4.8246582747931574E-5</v>
      </c>
    </row>
    <row r="13" spans="1:4" hidden="1" x14ac:dyDescent="0.35">
      <c r="A13">
        <v>12011</v>
      </c>
      <c r="B13" t="s">
        <v>918</v>
      </c>
      <c r="C13" s="42">
        <v>6090</v>
      </c>
      <c r="D13">
        <f t="shared" si="0"/>
        <v>1.2041872497332102E-3</v>
      </c>
    </row>
    <row r="14" spans="1:4" hidden="1" x14ac:dyDescent="0.35">
      <c r="A14">
        <v>12901</v>
      </c>
      <c r="B14" t="s">
        <v>919</v>
      </c>
      <c r="C14" s="42">
        <v>4464</v>
      </c>
      <c r="D14">
        <f t="shared" si="0"/>
        <v>8.8267518601133836E-4</v>
      </c>
    </row>
    <row r="15" spans="1:4" hidden="1" x14ac:dyDescent="0.35">
      <c r="A15">
        <v>12012</v>
      </c>
      <c r="B15" t="s">
        <v>920</v>
      </c>
      <c r="C15" s="42">
        <v>3601</v>
      </c>
      <c r="D15">
        <f t="shared" si="0"/>
        <v>7.1203255932500659E-4</v>
      </c>
    </row>
    <row r="16" spans="1:4" hidden="1" x14ac:dyDescent="0.35">
      <c r="A16">
        <v>12013</v>
      </c>
      <c r="B16" t="s">
        <v>921</v>
      </c>
      <c r="C16">
        <v>151</v>
      </c>
      <c r="D16">
        <f t="shared" si="0"/>
        <v>2.9857516372695361E-5</v>
      </c>
    </row>
    <row r="17" spans="1:4" hidden="1" x14ac:dyDescent="0.35">
      <c r="A17">
        <v>12014</v>
      </c>
      <c r="B17" t="s">
        <v>922</v>
      </c>
      <c r="C17">
        <v>184</v>
      </c>
      <c r="D17">
        <f t="shared" si="0"/>
        <v>3.63826689574566E-5</v>
      </c>
    </row>
    <row r="18" spans="1:4" hidden="1" x14ac:dyDescent="0.35">
      <c r="A18">
        <v>12015</v>
      </c>
      <c r="B18" t="s">
        <v>923</v>
      </c>
      <c r="C18">
        <v>126</v>
      </c>
      <c r="D18">
        <f t="shared" si="0"/>
        <v>2.4914218959997454E-5</v>
      </c>
    </row>
    <row r="19" spans="1:4" hidden="1" x14ac:dyDescent="0.35">
      <c r="A19">
        <v>12016</v>
      </c>
      <c r="B19" t="s">
        <v>924</v>
      </c>
      <c r="C19" s="42">
        <v>1955</v>
      </c>
      <c r="D19">
        <f t="shared" si="0"/>
        <v>3.8656585767297638E-4</v>
      </c>
    </row>
    <row r="20" spans="1:4" hidden="1" x14ac:dyDescent="0.35">
      <c r="A20">
        <v>12001</v>
      </c>
      <c r="B20" t="s">
        <v>925</v>
      </c>
      <c r="C20" s="42">
        <v>1304</v>
      </c>
      <c r="D20">
        <f t="shared" si="0"/>
        <v>2.5784239304632285E-4</v>
      </c>
    </row>
    <row r="21" spans="1:4" hidden="1" x14ac:dyDescent="0.35">
      <c r="A21">
        <v>12017</v>
      </c>
      <c r="B21" t="s">
        <v>926</v>
      </c>
      <c r="C21">
        <v>153</v>
      </c>
      <c r="D21">
        <f t="shared" si="0"/>
        <v>3.0252980165711193E-5</v>
      </c>
    </row>
    <row r="22" spans="1:4" hidden="1" x14ac:dyDescent="0.35">
      <c r="A22">
        <v>12018</v>
      </c>
      <c r="B22" t="s">
        <v>927</v>
      </c>
      <c r="C22">
        <v>310</v>
      </c>
      <c r="D22">
        <f t="shared" si="0"/>
        <v>6.1296887917454057E-5</v>
      </c>
    </row>
    <row r="23" spans="1:4" hidden="1" x14ac:dyDescent="0.35">
      <c r="A23">
        <v>12020</v>
      </c>
      <c r="B23" t="s">
        <v>928</v>
      </c>
      <c r="C23">
        <v>168</v>
      </c>
      <c r="D23">
        <f t="shared" si="0"/>
        <v>3.3218958613329937E-5</v>
      </c>
    </row>
    <row r="24" spans="1:4" hidden="1" x14ac:dyDescent="0.35">
      <c r="A24">
        <v>12022</v>
      </c>
      <c r="B24" t="s">
        <v>929</v>
      </c>
      <c r="C24">
        <v>371</v>
      </c>
      <c r="D24">
        <f t="shared" si="0"/>
        <v>7.3358533604436947E-5</v>
      </c>
    </row>
    <row r="25" spans="1:4" hidden="1" x14ac:dyDescent="0.35">
      <c r="A25">
        <v>12024</v>
      </c>
      <c r="B25" t="s">
        <v>930</v>
      </c>
      <c r="C25">
        <v>164</v>
      </c>
      <c r="D25">
        <f t="shared" si="0"/>
        <v>3.2428031027298273E-5</v>
      </c>
    </row>
    <row r="26" spans="1:4" hidden="1" x14ac:dyDescent="0.35">
      <c r="A26">
        <v>12025</v>
      </c>
      <c r="B26" t="s">
        <v>931</v>
      </c>
      <c r="C26">
        <v>138</v>
      </c>
      <c r="D26">
        <f t="shared" si="0"/>
        <v>2.728700171809245E-5</v>
      </c>
    </row>
    <row r="27" spans="1:4" hidden="1" x14ac:dyDescent="0.35">
      <c r="A27">
        <v>12026</v>
      </c>
      <c r="B27" t="s">
        <v>932</v>
      </c>
      <c r="C27" s="42">
        <v>1063</v>
      </c>
      <c r="D27">
        <f t="shared" si="0"/>
        <v>2.1018900598791503E-4</v>
      </c>
    </row>
    <row r="28" spans="1:4" hidden="1" x14ac:dyDescent="0.35">
      <c r="A28">
        <v>12027</v>
      </c>
      <c r="B28" t="s">
        <v>933</v>
      </c>
      <c r="C28" s="42">
        <v>27363</v>
      </c>
      <c r="D28">
        <f t="shared" si="0"/>
        <v>5.4105378841461139E-3</v>
      </c>
    </row>
    <row r="29" spans="1:4" hidden="1" x14ac:dyDescent="0.35">
      <c r="A29">
        <v>12028</v>
      </c>
      <c r="B29" t="s">
        <v>934</v>
      </c>
      <c r="C29" s="42">
        <v>18364</v>
      </c>
      <c r="D29">
        <f t="shared" si="0"/>
        <v>3.6311485474713749E-3</v>
      </c>
    </row>
    <row r="30" spans="1:4" hidden="1" x14ac:dyDescent="0.35">
      <c r="A30">
        <v>12029</v>
      </c>
      <c r="B30" t="s">
        <v>935</v>
      </c>
      <c r="C30" s="42">
        <v>1048</v>
      </c>
      <c r="D30">
        <f t="shared" si="0"/>
        <v>2.0722302754029627E-4</v>
      </c>
    </row>
    <row r="31" spans="1:4" hidden="1" x14ac:dyDescent="0.35">
      <c r="A31">
        <v>12021</v>
      </c>
      <c r="B31" t="s">
        <v>936</v>
      </c>
      <c r="C31" s="42">
        <v>5618</v>
      </c>
      <c r="D31">
        <f t="shared" si="0"/>
        <v>1.1108577945814738E-3</v>
      </c>
    </row>
    <row r="32" spans="1:4" hidden="1" x14ac:dyDescent="0.35">
      <c r="A32">
        <v>12032</v>
      </c>
      <c r="B32" t="s">
        <v>937</v>
      </c>
      <c r="C32" s="42">
        <v>35052</v>
      </c>
      <c r="D32">
        <f t="shared" si="0"/>
        <v>6.9308984363954818E-3</v>
      </c>
    </row>
    <row r="33" spans="1:4" hidden="1" x14ac:dyDescent="0.35">
      <c r="A33">
        <v>12031</v>
      </c>
      <c r="B33" t="s">
        <v>938</v>
      </c>
      <c r="C33" s="42">
        <v>5397</v>
      </c>
      <c r="D33">
        <f t="shared" si="0"/>
        <v>1.0671590454532243E-3</v>
      </c>
    </row>
    <row r="34" spans="1:4" hidden="1" x14ac:dyDescent="0.35">
      <c r="A34">
        <v>12033</v>
      </c>
      <c r="B34" t="s">
        <v>939</v>
      </c>
      <c r="C34" s="42">
        <v>2978</v>
      </c>
      <c r="D34">
        <f t="shared" si="0"/>
        <v>5.8884558780057477E-4</v>
      </c>
    </row>
    <row r="35" spans="1:4" hidden="1" x14ac:dyDescent="0.35">
      <c r="A35">
        <v>12034</v>
      </c>
      <c r="B35" t="s">
        <v>940</v>
      </c>
      <c r="C35" s="42">
        <v>1961</v>
      </c>
      <c r="D35">
        <f t="shared" si="0"/>
        <v>3.8775224905202385E-4</v>
      </c>
    </row>
    <row r="36" spans="1:4" hidden="1" x14ac:dyDescent="0.35">
      <c r="A36">
        <v>12036</v>
      </c>
      <c r="B36" t="s">
        <v>941</v>
      </c>
      <c r="C36">
        <v>676</v>
      </c>
      <c r="D36">
        <f t="shared" si="0"/>
        <v>1.3366676203935141E-4</v>
      </c>
    </row>
    <row r="37" spans="1:4" hidden="1" x14ac:dyDescent="0.35">
      <c r="A37">
        <v>12037</v>
      </c>
      <c r="B37" t="s">
        <v>942</v>
      </c>
      <c r="C37">
        <v>22</v>
      </c>
      <c r="D37">
        <f t="shared" si="0"/>
        <v>4.3501017231741581E-6</v>
      </c>
    </row>
    <row r="38" spans="1:4" hidden="1" x14ac:dyDescent="0.35">
      <c r="A38">
        <v>12038</v>
      </c>
      <c r="B38" t="s">
        <v>943</v>
      </c>
      <c r="C38">
        <v>179</v>
      </c>
      <c r="D38">
        <f t="shared" si="0"/>
        <v>3.539400947491702E-5</v>
      </c>
    </row>
    <row r="39" spans="1:4" hidden="1" x14ac:dyDescent="0.35">
      <c r="A39">
        <v>12039</v>
      </c>
      <c r="B39" t="s">
        <v>944</v>
      </c>
      <c r="C39">
        <v>918</v>
      </c>
      <c r="D39">
        <f t="shared" si="0"/>
        <v>1.8151788099426717E-4</v>
      </c>
    </row>
    <row r="40" spans="1:4" x14ac:dyDescent="0.35">
      <c r="A40">
        <v>12040</v>
      </c>
      <c r="B40" t="s">
        <v>945</v>
      </c>
      <c r="C40" s="42">
        <v>174264</v>
      </c>
      <c r="D40">
        <f>C40/$C$3*100</f>
        <v>3.4457551213055528</v>
      </c>
    </row>
    <row r="41" spans="1:4" hidden="1" x14ac:dyDescent="0.35">
      <c r="A41">
        <v>12041</v>
      </c>
      <c r="B41" t="s">
        <v>946</v>
      </c>
      <c r="C41">
        <v>101</v>
      </c>
      <c r="D41">
        <f t="shared" si="0"/>
        <v>1.9970921547299547E-5</v>
      </c>
    </row>
    <row r="42" spans="1:4" hidden="1" x14ac:dyDescent="0.35">
      <c r="A42">
        <v>12042</v>
      </c>
      <c r="B42" t="s">
        <v>947</v>
      </c>
      <c r="C42">
        <v>714</v>
      </c>
      <c r="D42">
        <f t="shared" si="0"/>
        <v>1.4118057410665225E-4</v>
      </c>
    </row>
    <row r="43" spans="1:4" hidden="1" x14ac:dyDescent="0.35">
      <c r="A43">
        <v>12043</v>
      </c>
      <c r="B43" t="s">
        <v>948</v>
      </c>
      <c r="C43">
        <v>659</v>
      </c>
      <c r="D43">
        <f t="shared" si="0"/>
        <v>1.3030531979871683E-4</v>
      </c>
    </row>
    <row r="44" spans="1:4" hidden="1" x14ac:dyDescent="0.35">
      <c r="A44">
        <v>12044</v>
      </c>
      <c r="B44" t="s">
        <v>949</v>
      </c>
      <c r="C44">
        <v>557</v>
      </c>
      <c r="D44">
        <f t="shared" si="0"/>
        <v>1.1013666635490938E-4</v>
      </c>
    </row>
    <row r="45" spans="1:4" hidden="1" x14ac:dyDescent="0.35">
      <c r="A45">
        <v>12053</v>
      </c>
      <c r="B45" t="s">
        <v>950</v>
      </c>
      <c r="C45" s="42">
        <v>2714</v>
      </c>
      <c r="D45">
        <f t="shared" si="0"/>
        <v>5.3664436712248483E-4</v>
      </c>
    </row>
    <row r="46" spans="1:4" hidden="1" x14ac:dyDescent="0.35">
      <c r="A46">
        <v>12055</v>
      </c>
      <c r="B46" t="s">
        <v>951</v>
      </c>
      <c r="C46">
        <v>106</v>
      </c>
      <c r="D46">
        <f t="shared" si="0"/>
        <v>2.0959581029839127E-5</v>
      </c>
    </row>
    <row r="47" spans="1:4" hidden="1" x14ac:dyDescent="0.35">
      <c r="A47">
        <v>12056</v>
      </c>
      <c r="B47" t="s">
        <v>952</v>
      </c>
      <c r="C47">
        <v>288</v>
      </c>
      <c r="D47">
        <f t="shared" si="0"/>
        <v>5.6946786194279892E-5</v>
      </c>
    </row>
    <row r="48" spans="1:4" hidden="1" x14ac:dyDescent="0.35">
      <c r="A48">
        <v>12045</v>
      </c>
      <c r="B48" t="s">
        <v>953</v>
      </c>
      <c r="C48">
        <v>400</v>
      </c>
      <c r="D48">
        <f t="shared" si="0"/>
        <v>7.9092758603166512E-5</v>
      </c>
    </row>
    <row r="49" spans="1:4" hidden="1" x14ac:dyDescent="0.35">
      <c r="A49">
        <v>12046</v>
      </c>
      <c r="B49" t="s">
        <v>954</v>
      </c>
      <c r="C49">
        <v>206</v>
      </c>
      <c r="D49">
        <f t="shared" si="0"/>
        <v>4.0732770680630759E-5</v>
      </c>
    </row>
    <row r="50" spans="1:4" hidden="1" x14ac:dyDescent="0.35">
      <c r="A50">
        <v>12048</v>
      </c>
      <c r="B50" t="s">
        <v>955</v>
      </c>
      <c r="C50">
        <v>300</v>
      </c>
      <c r="D50">
        <f t="shared" si="0"/>
        <v>5.931956895237489E-5</v>
      </c>
    </row>
    <row r="51" spans="1:4" hidden="1" x14ac:dyDescent="0.35">
      <c r="A51">
        <v>12049</v>
      </c>
      <c r="B51" t="s">
        <v>956</v>
      </c>
      <c r="C51">
        <v>518</v>
      </c>
      <c r="D51">
        <f t="shared" si="0"/>
        <v>1.0242512239110064E-4</v>
      </c>
    </row>
    <row r="52" spans="1:4" hidden="1" x14ac:dyDescent="0.35">
      <c r="A52">
        <v>12050</v>
      </c>
      <c r="B52" t="s">
        <v>957</v>
      </c>
      <c r="C52" s="42">
        <v>1806</v>
      </c>
      <c r="D52">
        <f t="shared" si="0"/>
        <v>3.5710380509329682E-4</v>
      </c>
    </row>
    <row r="53" spans="1:4" hidden="1" x14ac:dyDescent="0.35">
      <c r="A53">
        <v>12051</v>
      </c>
      <c r="B53" t="s">
        <v>958</v>
      </c>
      <c r="C53">
        <v>481</v>
      </c>
      <c r="D53">
        <f t="shared" si="0"/>
        <v>9.5109042220307735E-5</v>
      </c>
    </row>
    <row r="54" spans="1:4" hidden="1" x14ac:dyDescent="0.35">
      <c r="A54">
        <v>12057</v>
      </c>
      <c r="B54" t="s">
        <v>959</v>
      </c>
      <c r="C54">
        <v>725</v>
      </c>
      <c r="D54">
        <f t="shared" si="0"/>
        <v>1.4335562496823931E-4</v>
      </c>
    </row>
    <row r="55" spans="1:4" hidden="1" x14ac:dyDescent="0.35">
      <c r="A55">
        <v>12058</v>
      </c>
      <c r="B55" t="s">
        <v>960</v>
      </c>
      <c r="C55">
        <v>69</v>
      </c>
      <c r="D55">
        <f t="shared" si="0"/>
        <v>1.3643500859046225E-5</v>
      </c>
    </row>
    <row r="56" spans="1:4" hidden="1" x14ac:dyDescent="0.35">
      <c r="A56">
        <v>12059</v>
      </c>
      <c r="B56" t="s">
        <v>961</v>
      </c>
      <c r="C56">
        <v>273</v>
      </c>
      <c r="D56">
        <f t="shared" si="0"/>
        <v>5.3980807746661151E-5</v>
      </c>
    </row>
    <row r="57" spans="1:4" hidden="1" x14ac:dyDescent="0.35">
      <c r="A57">
        <v>12060</v>
      </c>
      <c r="B57" t="s">
        <v>962</v>
      </c>
      <c r="C57">
        <v>523</v>
      </c>
      <c r="D57">
        <f t="shared" si="0"/>
        <v>1.0341378187364022E-4</v>
      </c>
    </row>
    <row r="58" spans="1:4" hidden="1" x14ac:dyDescent="0.35">
      <c r="A58">
        <v>12061</v>
      </c>
      <c r="B58" t="s">
        <v>963</v>
      </c>
      <c r="C58">
        <v>456</v>
      </c>
      <c r="D58">
        <f t="shared" si="0"/>
        <v>9.0165744807609835E-5</v>
      </c>
    </row>
    <row r="59" spans="1:4" hidden="1" x14ac:dyDescent="0.35">
      <c r="A59">
        <v>12063</v>
      </c>
      <c r="B59" t="s">
        <v>964</v>
      </c>
      <c r="C59">
        <v>51</v>
      </c>
      <c r="D59">
        <f t="shared" si="0"/>
        <v>1.0084326721903732E-5</v>
      </c>
    </row>
    <row r="60" spans="1:4" hidden="1" x14ac:dyDescent="0.35">
      <c r="A60">
        <v>12064</v>
      </c>
      <c r="B60" t="s">
        <v>965</v>
      </c>
      <c r="C60">
        <v>89</v>
      </c>
      <c r="D60">
        <f t="shared" si="0"/>
        <v>1.7598138789204552E-5</v>
      </c>
    </row>
    <row r="61" spans="1:4" hidden="1" x14ac:dyDescent="0.35">
      <c r="A61">
        <v>12065</v>
      </c>
      <c r="B61" t="s">
        <v>966</v>
      </c>
      <c r="C61">
        <v>181</v>
      </c>
      <c r="D61">
        <f t="shared" si="0"/>
        <v>3.5789473267932852E-5</v>
      </c>
    </row>
    <row r="62" spans="1:4" hidden="1" x14ac:dyDescent="0.35">
      <c r="A62">
        <v>12067</v>
      </c>
      <c r="B62" t="s">
        <v>967</v>
      </c>
      <c r="C62">
        <v>633</v>
      </c>
      <c r="D62">
        <f t="shared" si="0"/>
        <v>1.2516429048951101E-4</v>
      </c>
    </row>
    <row r="63" spans="1:4" hidden="1" x14ac:dyDescent="0.35">
      <c r="A63">
        <v>12068</v>
      </c>
      <c r="B63" t="s">
        <v>968</v>
      </c>
      <c r="C63">
        <v>44</v>
      </c>
      <c r="D63">
        <f t="shared" si="0"/>
        <v>8.7002034463483162E-6</v>
      </c>
    </row>
    <row r="64" spans="1:4" hidden="1" x14ac:dyDescent="0.35">
      <c r="A64">
        <v>12069</v>
      </c>
      <c r="B64" t="s">
        <v>969</v>
      </c>
      <c r="C64">
        <v>48</v>
      </c>
      <c r="D64">
        <f t="shared" si="0"/>
        <v>9.4911310323799819E-6</v>
      </c>
    </row>
    <row r="65" spans="1:4" hidden="1" x14ac:dyDescent="0.35">
      <c r="A65">
        <v>12070</v>
      </c>
      <c r="B65" t="s">
        <v>970</v>
      </c>
      <c r="C65">
        <v>676</v>
      </c>
      <c r="D65">
        <f t="shared" si="0"/>
        <v>1.3366676203935141E-4</v>
      </c>
    </row>
    <row r="66" spans="1:4" hidden="1" x14ac:dyDescent="0.35">
      <c r="A66">
        <v>12071</v>
      </c>
      <c r="B66" t="s">
        <v>971</v>
      </c>
      <c r="C66" s="42">
        <v>1559</v>
      </c>
      <c r="D66">
        <f t="shared" si="0"/>
        <v>3.0826402665584153E-4</v>
      </c>
    </row>
    <row r="67" spans="1:4" hidden="1" x14ac:dyDescent="0.35">
      <c r="A67">
        <v>12074</v>
      </c>
      <c r="B67" t="s">
        <v>972</v>
      </c>
      <c r="C67">
        <v>982</v>
      </c>
      <c r="D67">
        <f t="shared" si="0"/>
        <v>1.9417272237077379E-4</v>
      </c>
    </row>
    <row r="68" spans="1:4" hidden="1" x14ac:dyDescent="0.35">
      <c r="A68">
        <v>12072</v>
      </c>
      <c r="B68" t="s">
        <v>973</v>
      </c>
      <c r="C68" s="42">
        <v>1315</v>
      </c>
      <c r="D68">
        <f t="shared" si="0"/>
        <v>2.6001744390790992E-4</v>
      </c>
    </row>
    <row r="69" spans="1:4" hidden="1" x14ac:dyDescent="0.35">
      <c r="A69">
        <v>12073</v>
      </c>
      <c r="B69" t="s">
        <v>974</v>
      </c>
      <c r="C69">
        <v>149</v>
      </c>
      <c r="D69">
        <f t="shared" ref="D69:D132" si="1">C69/$C$3</f>
        <v>2.9462052579679529E-5</v>
      </c>
    </row>
    <row r="70" spans="1:4" hidden="1" x14ac:dyDescent="0.35">
      <c r="A70">
        <v>12075</v>
      </c>
      <c r="B70" t="s">
        <v>975</v>
      </c>
      <c r="C70">
        <v>160</v>
      </c>
      <c r="D70">
        <f t="shared" si="1"/>
        <v>3.1637103441266609E-5</v>
      </c>
    </row>
    <row r="71" spans="1:4" hidden="1" x14ac:dyDescent="0.35">
      <c r="A71">
        <v>12076</v>
      </c>
      <c r="B71" t="s">
        <v>976</v>
      </c>
      <c r="C71">
        <v>83</v>
      </c>
      <c r="D71">
        <f t="shared" si="1"/>
        <v>1.6411747410157052E-5</v>
      </c>
    </row>
    <row r="72" spans="1:4" hidden="1" x14ac:dyDescent="0.35">
      <c r="A72">
        <v>12077</v>
      </c>
      <c r="B72" t="s">
        <v>977</v>
      </c>
      <c r="C72" s="42">
        <v>6707</v>
      </c>
      <c r="D72">
        <f t="shared" si="1"/>
        <v>1.3261878298785946E-3</v>
      </c>
    </row>
    <row r="73" spans="1:4" hidden="1" x14ac:dyDescent="0.35">
      <c r="A73">
        <v>12078</v>
      </c>
      <c r="B73" t="s">
        <v>978</v>
      </c>
      <c r="C73">
        <v>368</v>
      </c>
      <c r="D73">
        <f t="shared" si="1"/>
        <v>7.2765337914913199E-5</v>
      </c>
    </row>
    <row r="74" spans="1:4" hidden="1" x14ac:dyDescent="0.35">
      <c r="A74">
        <v>12079</v>
      </c>
      <c r="B74" t="s">
        <v>979</v>
      </c>
      <c r="C74">
        <v>564</v>
      </c>
      <c r="D74">
        <f t="shared" si="1"/>
        <v>1.1152078963046479E-4</v>
      </c>
    </row>
    <row r="75" spans="1:4" hidden="1" x14ac:dyDescent="0.35">
      <c r="A75">
        <v>12080</v>
      </c>
      <c r="B75" t="s">
        <v>980</v>
      </c>
      <c r="C75" s="42">
        <v>2416</v>
      </c>
      <c r="D75">
        <f t="shared" si="1"/>
        <v>4.7772026196312578E-4</v>
      </c>
    </row>
    <row r="76" spans="1:4" hidden="1" x14ac:dyDescent="0.35">
      <c r="A76">
        <v>12081</v>
      </c>
      <c r="B76" t="s">
        <v>981</v>
      </c>
      <c r="C76">
        <v>720</v>
      </c>
      <c r="D76">
        <f t="shared" si="1"/>
        <v>1.4236696548569974E-4</v>
      </c>
    </row>
    <row r="77" spans="1:4" hidden="1" x14ac:dyDescent="0.35">
      <c r="A77">
        <v>12082</v>
      </c>
      <c r="B77" t="s">
        <v>982</v>
      </c>
      <c r="C77" s="42">
        <v>13236</v>
      </c>
      <c r="D77">
        <f t="shared" si="1"/>
        <v>2.6171793821787802E-3</v>
      </c>
    </row>
    <row r="78" spans="1:4" hidden="1" x14ac:dyDescent="0.35">
      <c r="A78">
        <v>12083</v>
      </c>
      <c r="B78" t="s">
        <v>983</v>
      </c>
      <c r="C78">
        <v>120</v>
      </c>
      <c r="D78">
        <f t="shared" si="1"/>
        <v>2.3727827580949955E-5</v>
      </c>
    </row>
    <row r="79" spans="1:4" hidden="1" x14ac:dyDescent="0.35">
      <c r="A79">
        <v>12084</v>
      </c>
      <c r="B79" t="s">
        <v>984</v>
      </c>
      <c r="C79" s="42">
        <v>24980</v>
      </c>
      <c r="D79">
        <f t="shared" si="1"/>
        <v>4.9393427747677493E-3</v>
      </c>
    </row>
    <row r="80" spans="1:4" hidden="1" x14ac:dyDescent="0.35">
      <c r="A80">
        <v>12085</v>
      </c>
      <c r="B80" t="s">
        <v>985</v>
      </c>
      <c r="C80" s="42">
        <v>9339</v>
      </c>
      <c r="D80">
        <f t="shared" si="1"/>
        <v>1.8466181814874303E-3</v>
      </c>
    </row>
    <row r="81" spans="1:4" hidden="1" x14ac:dyDescent="0.35">
      <c r="A81">
        <v>12087</v>
      </c>
      <c r="B81" t="s">
        <v>986</v>
      </c>
      <c r="C81">
        <v>34</v>
      </c>
      <c r="D81">
        <f t="shared" si="1"/>
        <v>6.7228844812691544E-6</v>
      </c>
    </row>
    <row r="82" spans="1:4" hidden="1" x14ac:dyDescent="0.35">
      <c r="A82">
        <v>12088</v>
      </c>
      <c r="B82" t="s">
        <v>987</v>
      </c>
      <c r="C82">
        <v>68</v>
      </c>
      <c r="D82">
        <f t="shared" si="1"/>
        <v>1.3445768962538309E-5</v>
      </c>
    </row>
    <row r="83" spans="1:4" hidden="1" x14ac:dyDescent="0.35">
      <c r="A83">
        <v>12089</v>
      </c>
      <c r="B83" t="s">
        <v>988</v>
      </c>
      <c r="C83" s="42">
        <v>7683</v>
      </c>
      <c r="D83">
        <f t="shared" si="1"/>
        <v>1.5191741608703208E-3</v>
      </c>
    </row>
    <row r="84" spans="1:4" hidden="1" x14ac:dyDescent="0.35">
      <c r="A84">
        <v>12090</v>
      </c>
      <c r="B84" t="s">
        <v>989</v>
      </c>
      <c r="C84">
        <v>110</v>
      </c>
      <c r="D84">
        <f t="shared" si="1"/>
        <v>2.1750508615870791E-5</v>
      </c>
    </row>
    <row r="85" spans="1:4" hidden="1" x14ac:dyDescent="0.35">
      <c r="A85">
        <v>12093</v>
      </c>
      <c r="B85" t="s">
        <v>990</v>
      </c>
      <c r="C85">
        <v>199</v>
      </c>
      <c r="D85">
        <f t="shared" si="1"/>
        <v>3.934864740507534E-5</v>
      </c>
    </row>
    <row r="86" spans="1:4" hidden="1" x14ac:dyDescent="0.35">
      <c r="A86">
        <v>12094</v>
      </c>
      <c r="B86" t="s">
        <v>991</v>
      </c>
      <c r="C86" s="42">
        <v>1212</v>
      </c>
      <c r="D86">
        <f t="shared" si="1"/>
        <v>2.3965105856759455E-4</v>
      </c>
    </row>
    <row r="87" spans="1:4" hidden="1" x14ac:dyDescent="0.35">
      <c r="A87">
        <v>12091</v>
      </c>
      <c r="B87" t="s">
        <v>992</v>
      </c>
      <c r="C87">
        <v>188</v>
      </c>
      <c r="D87">
        <f t="shared" si="1"/>
        <v>3.7173596543488264E-5</v>
      </c>
    </row>
    <row r="88" spans="1:4" hidden="1" x14ac:dyDescent="0.35">
      <c r="A88">
        <v>12092</v>
      </c>
      <c r="B88" t="s">
        <v>993</v>
      </c>
      <c r="C88">
        <v>152</v>
      </c>
      <c r="D88">
        <f t="shared" si="1"/>
        <v>3.0055248269203277E-5</v>
      </c>
    </row>
    <row r="89" spans="1:4" hidden="1" x14ac:dyDescent="0.35">
      <c r="A89">
        <v>12095</v>
      </c>
      <c r="B89" t="s">
        <v>994</v>
      </c>
      <c r="C89" s="42">
        <v>1163</v>
      </c>
      <c r="D89">
        <f t="shared" si="1"/>
        <v>2.2996219563870666E-4</v>
      </c>
    </row>
    <row r="90" spans="1:4" hidden="1" x14ac:dyDescent="0.35">
      <c r="A90">
        <v>12096</v>
      </c>
      <c r="B90" t="s">
        <v>995</v>
      </c>
      <c r="C90">
        <v>912</v>
      </c>
      <c r="D90">
        <f t="shared" si="1"/>
        <v>1.8033148961521967E-4</v>
      </c>
    </row>
    <row r="91" spans="1:4" hidden="1" x14ac:dyDescent="0.35">
      <c r="A91">
        <v>12097</v>
      </c>
      <c r="B91" t="s">
        <v>996</v>
      </c>
      <c r="C91">
        <v>62</v>
      </c>
      <c r="D91">
        <f t="shared" si="1"/>
        <v>1.2259377583490811E-5</v>
      </c>
    </row>
    <row r="92" spans="1:4" hidden="1" x14ac:dyDescent="0.35">
      <c r="A92">
        <v>12098</v>
      </c>
      <c r="B92" t="s">
        <v>997</v>
      </c>
      <c r="C92">
        <v>700</v>
      </c>
      <c r="D92">
        <f t="shared" si="1"/>
        <v>1.384123275555414E-4</v>
      </c>
    </row>
    <row r="93" spans="1:4" hidden="1" x14ac:dyDescent="0.35">
      <c r="A93">
        <v>12101</v>
      </c>
      <c r="B93" t="s">
        <v>998</v>
      </c>
      <c r="C93">
        <v>466</v>
      </c>
      <c r="D93">
        <f t="shared" si="1"/>
        <v>9.2143063772688995E-5</v>
      </c>
    </row>
    <row r="94" spans="1:4" hidden="1" x14ac:dyDescent="0.35">
      <c r="A94">
        <v>12902</v>
      </c>
      <c r="B94" t="s">
        <v>999</v>
      </c>
      <c r="C94" s="42">
        <v>3232</v>
      </c>
      <c r="D94">
        <f t="shared" si="1"/>
        <v>6.3906948951358551E-4</v>
      </c>
    </row>
    <row r="95" spans="1:4" hidden="1" x14ac:dyDescent="0.35">
      <c r="A95">
        <v>12099</v>
      </c>
      <c r="B95" t="s">
        <v>1000</v>
      </c>
      <c r="C95">
        <v>990</v>
      </c>
      <c r="D95">
        <f t="shared" si="1"/>
        <v>1.9575457754283715E-4</v>
      </c>
    </row>
    <row r="96" spans="1:4" hidden="1" x14ac:dyDescent="0.35">
      <c r="A96">
        <v>12100</v>
      </c>
      <c r="B96" t="s">
        <v>1001</v>
      </c>
      <c r="C96" s="42">
        <v>1952</v>
      </c>
      <c r="D96">
        <f t="shared" si="1"/>
        <v>3.8597266198345259E-4</v>
      </c>
    </row>
    <row r="97" spans="1:4" hidden="1" x14ac:dyDescent="0.35">
      <c r="A97">
        <v>12102</v>
      </c>
      <c r="B97" t="s">
        <v>1002</v>
      </c>
      <c r="C97">
        <v>754</v>
      </c>
      <c r="D97">
        <f t="shared" si="1"/>
        <v>1.4908984996696889E-4</v>
      </c>
    </row>
    <row r="98" spans="1:4" hidden="1" x14ac:dyDescent="0.35">
      <c r="A98">
        <v>12104</v>
      </c>
      <c r="B98" t="s">
        <v>1003</v>
      </c>
      <c r="C98" s="42">
        <v>9097</v>
      </c>
      <c r="D98">
        <f t="shared" si="1"/>
        <v>1.7987670625325145E-3</v>
      </c>
    </row>
    <row r="99" spans="1:4" hidden="1" x14ac:dyDescent="0.35">
      <c r="A99">
        <v>12103</v>
      </c>
      <c r="B99" t="s">
        <v>1004</v>
      </c>
      <c r="C99">
        <v>95</v>
      </c>
      <c r="D99">
        <f t="shared" si="1"/>
        <v>1.8784530168252048E-5</v>
      </c>
    </row>
    <row r="100" spans="1:4" hidden="1" x14ac:dyDescent="0.35">
      <c r="A100">
        <v>12105</v>
      </c>
      <c r="B100" t="s">
        <v>1005</v>
      </c>
      <c r="C100">
        <v>988</v>
      </c>
      <c r="D100">
        <f t="shared" si="1"/>
        <v>1.9535911374982129E-4</v>
      </c>
    </row>
    <row r="101" spans="1:4" hidden="1" x14ac:dyDescent="0.35">
      <c r="A101">
        <v>12106</v>
      </c>
      <c r="B101" t="s">
        <v>1006</v>
      </c>
      <c r="C101" s="42">
        <v>1456</v>
      </c>
      <c r="D101">
        <f t="shared" si="1"/>
        <v>2.8789764131552614E-4</v>
      </c>
    </row>
    <row r="102" spans="1:4" hidden="1" x14ac:dyDescent="0.35">
      <c r="A102">
        <v>12107</v>
      </c>
      <c r="B102" t="s">
        <v>1007</v>
      </c>
      <c r="C102">
        <v>409</v>
      </c>
      <c r="D102">
        <f t="shared" si="1"/>
        <v>8.0872345671737769E-5</v>
      </c>
    </row>
    <row r="103" spans="1:4" hidden="1" x14ac:dyDescent="0.35">
      <c r="A103">
        <v>12108</v>
      </c>
      <c r="B103" t="s">
        <v>1008</v>
      </c>
      <c r="C103">
        <v>524</v>
      </c>
      <c r="D103">
        <f t="shared" si="1"/>
        <v>1.0361151377014814E-4</v>
      </c>
    </row>
    <row r="104" spans="1:4" hidden="1" x14ac:dyDescent="0.35">
      <c r="A104">
        <v>12109</v>
      </c>
      <c r="B104" t="s">
        <v>1009</v>
      </c>
      <c r="C104">
        <v>801</v>
      </c>
      <c r="D104">
        <f t="shared" si="1"/>
        <v>1.5838324910284095E-4</v>
      </c>
    </row>
    <row r="105" spans="1:4" hidden="1" x14ac:dyDescent="0.35">
      <c r="A105">
        <v>12110</v>
      </c>
      <c r="B105" t="s">
        <v>1010</v>
      </c>
      <c r="C105">
        <v>247</v>
      </c>
      <c r="D105">
        <f t="shared" si="1"/>
        <v>4.8839778437455322E-5</v>
      </c>
    </row>
    <row r="106" spans="1:4" hidden="1" x14ac:dyDescent="0.35">
      <c r="A106">
        <v>12111</v>
      </c>
      <c r="B106" t="s">
        <v>1011</v>
      </c>
      <c r="C106">
        <v>420</v>
      </c>
      <c r="D106">
        <f t="shared" si="1"/>
        <v>8.3047396533324845E-5</v>
      </c>
    </row>
    <row r="107" spans="1:4" hidden="1" x14ac:dyDescent="0.35">
      <c r="A107">
        <v>12112</v>
      </c>
      <c r="B107" t="s">
        <v>1012</v>
      </c>
      <c r="C107">
        <v>141</v>
      </c>
      <c r="D107">
        <f t="shared" si="1"/>
        <v>2.7880197407616198E-5</v>
      </c>
    </row>
    <row r="108" spans="1:4" hidden="1" x14ac:dyDescent="0.35">
      <c r="A108">
        <v>12113</v>
      </c>
      <c r="B108" t="s">
        <v>1013</v>
      </c>
      <c r="C108">
        <v>96</v>
      </c>
      <c r="D108">
        <f t="shared" si="1"/>
        <v>1.8982262064759964E-5</v>
      </c>
    </row>
    <row r="109" spans="1:4" hidden="1" x14ac:dyDescent="0.35">
      <c r="A109">
        <v>12114</v>
      </c>
      <c r="B109" t="s">
        <v>1014</v>
      </c>
      <c r="C109">
        <v>232</v>
      </c>
      <c r="D109">
        <f t="shared" si="1"/>
        <v>4.5873799989836582E-5</v>
      </c>
    </row>
    <row r="110" spans="1:4" hidden="1" x14ac:dyDescent="0.35">
      <c r="A110">
        <v>12115</v>
      </c>
      <c r="B110" t="s">
        <v>1015</v>
      </c>
      <c r="C110">
        <v>241</v>
      </c>
      <c r="D110">
        <f t="shared" si="1"/>
        <v>4.7653387058407826E-5</v>
      </c>
    </row>
    <row r="111" spans="1:4" hidden="1" x14ac:dyDescent="0.35">
      <c r="A111">
        <v>12116</v>
      </c>
      <c r="B111" t="s">
        <v>1016</v>
      </c>
      <c r="C111">
        <v>61</v>
      </c>
      <c r="D111">
        <f t="shared" si="1"/>
        <v>1.2061645686982893E-5</v>
      </c>
    </row>
    <row r="112" spans="1:4" hidden="1" x14ac:dyDescent="0.35">
      <c r="A112">
        <v>12119</v>
      </c>
      <c r="B112" t="s">
        <v>1017</v>
      </c>
      <c r="C112">
        <v>167</v>
      </c>
      <c r="D112">
        <f t="shared" si="1"/>
        <v>3.3021226716822021E-5</v>
      </c>
    </row>
    <row r="113" spans="1:4" hidden="1" x14ac:dyDescent="0.35">
      <c r="A113">
        <v>12120</v>
      </c>
      <c r="B113" t="s">
        <v>1018</v>
      </c>
      <c r="C113">
        <v>162</v>
      </c>
      <c r="D113">
        <f t="shared" si="1"/>
        <v>3.2032567234282441E-5</v>
      </c>
    </row>
    <row r="114" spans="1:4" hidden="1" x14ac:dyDescent="0.35">
      <c r="A114">
        <v>12117</v>
      </c>
      <c r="B114" t="s">
        <v>1019</v>
      </c>
      <c r="C114" s="42">
        <v>5574</v>
      </c>
      <c r="D114">
        <f t="shared" si="1"/>
        <v>1.1021575911351255E-3</v>
      </c>
    </row>
    <row r="115" spans="1:4" hidden="1" x14ac:dyDescent="0.35">
      <c r="A115">
        <v>12118</v>
      </c>
      <c r="B115" t="s">
        <v>1020</v>
      </c>
      <c r="C115">
        <v>89</v>
      </c>
      <c r="D115">
        <f t="shared" si="1"/>
        <v>1.7598138789204552E-5</v>
      </c>
    </row>
    <row r="116" spans="1:4" hidden="1" x14ac:dyDescent="0.35">
      <c r="A116">
        <v>12121</v>
      </c>
      <c r="B116" t="s">
        <v>1021</v>
      </c>
      <c r="C116" s="42">
        <v>1367</v>
      </c>
      <c r="D116">
        <f t="shared" si="1"/>
        <v>2.702995025263216E-4</v>
      </c>
    </row>
    <row r="117" spans="1:4" hidden="1" x14ac:dyDescent="0.35">
      <c r="A117">
        <v>12122</v>
      </c>
      <c r="B117" t="s">
        <v>1022</v>
      </c>
      <c r="C117">
        <v>959</v>
      </c>
      <c r="D117">
        <f t="shared" si="1"/>
        <v>1.8962488875109174E-4</v>
      </c>
    </row>
    <row r="118" spans="1:4" hidden="1" x14ac:dyDescent="0.35">
      <c r="A118">
        <v>12124</v>
      </c>
      <c r="B118" t="s">
        <v>1023</v>
      </c>
      <c r="C118" s="42">
        <v>2856</v>
      </c>
      <c r="D118">
        <f t="shared" si="1"/>
        <v>5.6472229642660899E-4</v>
      </c>
    </row>
    <row r="119" spans="1:4" hidden="1" x14ac:dyDescent="0.35">
      <c r="A119">
        <v>12125</v>
      </c>
      <c r="B119" t="s">
        <v>1024</v>
      </c>
      <c r="C119">
        <v>263</v>
      </c>
      <c r="D119">
        <f t="shared" si="1"/>
        <v>5.2003488781581985E-5</v>
      </c>
    </row>
    <row r="120" spans="1:4" hidden="1" x14ac:dyDescent="0.35">
      <c r="A120">
        <v>12126</v>
      </c>
      <c r="B120" t="s">
        <v>1025</v>
      </c>
      <c r="C120" s="42">
        <v>31681</v>
      </c>
      <c r="D120">
        <f t="shared" si="1"/>
        <v>6.264344213267296E-3</v>
      </c>
    </row>
    <row r="121" spans="1:4" hidden="1" x14ac:dyDescent="0.35">
      <c r="A121">
        <v>12123</v>
      </c>
      <c r="B121" t="s">
        <v>1026</v>
      </c>
      <c r="C121">
        <v>51</v>
      </c>
      <c r="D121">
        <f t="shared" si="1"/>
        <v>1.0084326721903732E-5</v>
      </c>
    </row>
    <row r="122" spans="1:4" hidden="1" x14ac:dyDescent="0.35">
      <c r="A122">
        <v>12127</v>
      </c>
      <c r="B122" t="s">
        <v>1027</v>
      </c>
      <c r="C122">
        <v>66</v>
      </c>
      <c r="D122">
        <f t="shared" si="1"/>
        <v>1.3050305169522475E-5</v>
      </c>
    </row>
    <row r="123" spans="1:4" hidden="1" x14ac:dyDescent="0.35">
      <c r="A123">
        <v>12128</v>
      </c>
      <c r="B123" t="s">
        <v>1028</v>
      </c>
      <c r="C123" s="42">
        <v>1829</v>
      </c>
      <c r="D123">
        <f t="shared" si="1"/>
        <v>3.6165163871297888E-4</v>
      </c>
    </row>
    <row r="124" spans="1:4" hidden="1" x14ac:dyDescent="0.35">
      <c r="A124">
        <v>12129</v>
      </c>
      <c r="B124" t="s">
        <v>1029</v>
      </c>
      <c r="C124" s="42">
        <v>2197</v>
      </c>
      <c r="D124">
        <f t="shared" si="1"/>
        <v>4.3441697662789208E-4</v>
      </c>
    </row>
    <row r="125" spans="1:4" hidden="1" x14ac:dyDescent="0.35">
      <c r="A125">
        <v>12132</v>
      </c>
      <c r="B125" t="s">
        <v>1030</v>
      </c>
      <c r="C125">
        <v>569</v>
      </c>
      <c r="D125">
        <f t="shared" si="1"/>
        <v>1.1250944911300437E-4</v>
      </c>
    </row>
    <row r="126" spans="1:4" hidden="1" x14ac:dyDescent="0.35">
      <c r="A126">
        <v>12134</v>
      </c>
      <c r="B126" t="s">
        <v>1031</v>
      </c>
      <c r="C126">
        <v>169</v>
      </c>
      <c r="D126">
        <f t="shared" si="1"/>
        <v>3.3416690509837853E-5</v>
      </c>
    </row>
    <row r="127" spans="1:4" x14ac:dyDescent="0.35">
      <c r="A127">
        <v>12135</v>
      </c>
      <c r="B127" t="s">
        <v>1032</v>
      </c>
      <c r="C127" s="42">
        <v>51293</v>
      </c>
      <c r="D127">
        <f>C127/$C$3*100</f>
        <v>1.0142262167580551</v>
      </c>
    </row>
    <row r="128" spans="1:4" hidden="1" x14ac:dyDescent="0.35">
      <c r="A128">
        <v>12136</v>
      </c>
      <c r="B128" t="s">
        <v>1033</v>
      </c>
      <c r="C128" s="42">
        <v>3125</v>
      </c>
      <c r="D128">
        <f t="shared" si="1"/>
        <v>6.1791217658723841E-4</v>
      </c>
    </row>
    <row r="129" spans="1:4" hidden="1" x14ac:dyDescent="0.35">
      <c r="A129">
        <v>12130</v>
      </c>
      <c r="B129" t="s">
        <v>1034</v>
      </c>
      <c r="C129">
        <v>484</v>
      </c>
      <c r="D129">
        <f t="shared" si="1"/>
        <v>9.5702237909831483E-5</v>
      </c>
    </row>
    <row r="130" spans="1:4" hidden="1" x14ac:dyDescent="0.35">
      <c r="A130">
        <v>12131</v>
      </c>
      <c r="B130" t="s">
        <v>1035</v>
      </c>
      <c r="C130">
        <v>102</v>
      </c>
      <c r="D130">
        <f t="shared" si="1"/>
        <v>2.0168653443807463E-5</v>
      </c>
    </row>
    <row r="131" spans="1:4" hidden="1" x14ac:dyDescent="0.35">
      <c r="A131">
        <v>12133</v>
      </c>
      <c r="B131" t="s">
        <v>1036</v>
      </c>
      <c r="C131">
        <v>60</v>
      </c>
      <c r="D131">
        <f t="shared" si="1"/>
        <v>1.1863913790474977E-5</v>
      </c>
    </row>
    <row r="132" spans="1:4" hidden="1" x14ac:dyDescent="0.35">
      <c r="A132">
        <v>12137</v>
      </c>
      <c r="B132" t="s">
        <v>1037</v>
      </c>
      <c r="C132">
        <v>42</v>
      </c>
      <c r="D132">
        <f t="shared" si="1"/>
        <v>8.3047396533324842E-6</v>
      </c>
    </row>
    <row r="133" spans="1:4" hidden="1" x14ac:dyDescent="0.35">
      <c r="A133">
        <v>12138</v>
      </c>
      <c r="B133" t="s">
        <v>1038</v>
      </c>
      <c r="C133" s="42">
        <v>28833</v>
      </c>
      <c r="D133">
        <f t="shared" ref="D133:D196" si="2">C133/$C$3</f>
        <v>5.7012037720127508E-3</v>
      </c>
    </row>
    <row r="134" spans="1:4" hidden="1" x14ac:dyDescent="0.35">
      <c r="A134">
        <v>12139</v>
      </c>
      <c r="B134" t="s">
        <v>1039</v>
      </c>
      <c r="C134">
        <v>333</v>
      </c>
      <c r="D134">
        <f t="shared" si="2"/>
        <v>6.5844721537136125E-5</v>
      </c>
    </row>
    <row r="135" spans="1:4" hidden="1" x14ac:dyDescent="0.35">
      <c r="A135">
        <v>12140</v>
      </c>
      <c r="B135" t="s">
        <v>1040</v>
      </c>
      <c r="C135" s="42">
        <v>1572</v>
      </c>
      <c r="D135">
        <f t="shared" si="2"/>
        <v>3.108345413104444E-4</v>
      </c>
    </row>
    <row r="136" spans="1:4" hidden="1" x14ac:dyDescent="0.35">
      <c r="A136">
        <v>12052</v>
      </c>
      <c r="B136" t="s">
        <v>1041</v>
      </c>
      <c r="C136">
        <v>688</v>
      </c>
      <c r="D136">
        <f t="shared" si="2"/>
        <v>1.360395447974464E-4</v>
      </c>
    </row>
    <row r="137" spans="1:4" hidden="1" x14ac:dyDescent="0.35">
      <c r="A137">
        <v>12141</v>
      </c>
      <c r="B137" t="s">
        <v>1042</v>
      </c>
      <c r="C137">
        <v>111</v>
      </c>
      <c r="D137">
        <f t="shared" si="2"/>
        <v>2.1948240512378707E-5</v>
      </c>
    </row>
    <row r="138" spans="1:4" hidden="1" x14ac:dyDescent="0.35">
      <c r="A138">
        <v>12142</v>
      </c>
      <c r="B138" t="s">
        <v>1043</v>
      </c>
      <c r="C138">
        <v>162</v>
      </c>
      <c r="D138">
        <f t="shared" si="2"/>
        <v>3.2032567234282441E-5</v>
      </c>
    </row>
    <row r="139" spans="1:4" hidden="1" x14ac:dyDescent="0.35">
      <c r="A139">
        <v>46001</v>
      </c>
      <c r="B139" t="s">
        <v>1044</v>
      </c>
      <c r="C139" s="42">
        <v>1037</v>
      </c>
      <c r="D139">
        <f t="shared" si="2"/>
        <v>2.0504797667870921E-4</v>
      </c>
    </row>
    <row r="140" spans="1:4" hidden="1" x14ac:dyDescent="0.35">
      <c r="A140">
        <v>46002</v>
      </c>
      <c r="B140" t="s">
        <v>1045</v>
      </c>
      <c r="C140" s="42">
        <v>1730</v>
      </c>
      <c r="D140">
        <f t="shared" si="2"/>
        <v>3.4207618095869521E-4</v>
      </c>
    </row>
    <row r="141" spans="1:4" hidden="1" x14ac:dyDescent="0.35">
      <c r="A141">
        <v>46004</v>
      </c>
      <c r="B141" t="s">
        <v>1046</v>
      </c>
      <c r="C141" s="42">
        <v>2388</v>
      </c>
      <c r="D141">
        <f t="shared" si="2"/>
        <v>4.7218376886090413E-4</v>
      </c>
    </row>
    <row r="142" spans="1:4" hidden="1" x14ac:dyDescent="0.35">
      <c r="A142">
        <v>46042</v>
      </c>
      <c r="B142" t="s">
        <v>1047</v>
      </c>
      <c r="C142" s="42">
        <v>4625</v>
      </c>
      <c r="D142">
        <f t="shared" si="2"/>
        <v>9.145100213491129E-4</v>
      </c>
    </row>
    <row r="143" spans="1:4" hidden="1" x14ac:dyDescent="0.35">
      <c r="A143">
        <v>46043</v>
      </c>
      <c r="B143" t="s">
        <v>1048</v>
      </c>
      <c r="C143">
        <v>160</v>
      </c>
      <c r="D143">
        <f t="shared" si="2"/>
        <v>3.1637103441266609E-5</v>
      </c>
    </row>
    <row r="144" spans="1:4" hidden="1" x14ac:dyDescent="0.35">
      <c r="A144">
        <v>46005</v>
      </c>
      <c r="B144" t="s">
        <v>1049</v>
      </c>
      <c r="C144" s="42">
        <v>29711</v>
      </c>
      <c r="D144">
        <f t="shared" si="2"/>
        <v>5.8748123771467011E-3</v>
      </c>
    </row>
    <row r="145" spans="1:4" hidden="1" x14ac:dyDescent="0.35">
      <c r="A145">
        <v>46006</v>
      </c>
      <c r="B145" t="s">
        <v>1050</v>
      </c>
      <c r="C145" s="42">
        <v>5914</v>
      </c>
      <c r="D145">
        <f t="shared" si="2"/>
        <v>1.169386435947817E-3</v>
      </c>
    </row>
    <row r="146" spans="1:4" hidden="1" x14ac:dyDescent="0.35">
      <c r="A146">
        <v>46007</v>
      </c>
      <c r="B146" t="s">
        <v>1051</v>
      </c>
      <c r="C146" s="42">
        <v>16577</v>
      </c>
      <c r="D146">
        <f t="shared" si="2"/>
        <v>3.2778016484117283E-3</v>
      </c>
    </row>
    <row r="147" spans="1:4" hidden="1" x14ac:dyDescent="0.35">
      <c r="A147">
        <v>46008</v>
      </c>
      <c r="B147" t="s">
        <v>1052</v>
      </c>
      <c r="C147" s="42">
        <v>3326</v>
      </c>
      <c r="D147">
        <f t="shared" si="2"/>
        <v>6.5765628778532959E-4</v>
      </c>
    </row>
    <row r="148" spans="1:4" hidden="1" x14ac:dyDescent="0.35">
      <c r="A148">
        <v>46009</v>
      </c>
      <c r="B148" t="s">
        <v>1053</v>
      </c>
      <c r="C148" s="42">
        <v>4036</v>
      </c>
      <c r="D148">
        <f t="shared" si="2"/>
        <v>7.9804593430595015E-4</v>
      </c>
    </row>
    <row r="149" spans="1:4" hidden="1" x14ac:dyDescent="0.35">
      <c r="A149">
        <v>46010</v>
      </c>
      <c r="B149" t="s">
        <v>1054</v>
      </c>
      <c r="C149" s="42">
        <v>1208</v>
      </c>
      <c r="D149">
        <f t="shared" si="2"/>
        <v>2.3886013098156289E-4</v>
      </c>
    </row>
    <row r="150" spans="1:4" hidden="1" x14ac:dyDescent="0.35">
      <c r="A150">
        <v>46011</v>
      </c>
      <c r="B150" t="s">
        <v>1055</v>
      </c>
      <c r="C150" s="42">
        <v>10519</v>
      </c>
      <c r="D150">
        <f t="shared" si="2"/>
        <v>2.0799418193667716E-3</v>
      </c>
    </row>
    <row r="151" spans="1:4" hidden="1" x14ac:dyDescent="0.35">
      <c r="A151">
        <v>46012</v>
      </c>
      <c r="B151" t="s">
        <v>1056</v>
      </c>
      <c r="C151" s="42">
        <v>1229</v>
      </c>
      <c r="D151">
        <f t="shared" si="2"/>
        <v>2.4301250080822914E-4</v>
      </c>
    </row>
    <row r="152" spans="1:4" hidden="1" x14ac:dyDescent="0.35">
      <c r="A152">
        <v>46013</v>
      </c>
      <c r="B152" t="s">
        <v>1057</v>
      </c>
      <c r="C152" s="42">
        <v>24741</v>
      </c>
      <c r="D152">
        <f t="shared" si="2"/>
        <v>4.892084851502357E-3</v>
      </c>
    </row>
    <row r="153" spans="1:4" hidden="1" x14ac:dyDescent="0.35">
      <c r="A153">
        <v>46014</v>
      </c>
      <c r="B153" t="s">
        <v>1058</v>
      </c>
      <c r="C153" s="42">
        <v>4151</v>
      </c>
      <c r="D153">
        <f t="shared" si="2"/>
        <v>8.2078510240436058E-4</v>
      </c>
    </row>
    <row r="154" spans="1:4" hidden="1" x14ac:dyDescent="0.35">
      <c r="A154">
        <v>46016</v>
      </c>
      <c r="B154" t="s">
        <v>1059</v>
      </c>
      <c r="C154" s="42">
        <v>1341</v>
      </c>
      <c r="D154">
        <f t="shared" si="2"/>
        <v>2.6515847321711576E-4</v>
      </c>
    </row>
    <row r="155" spans="1:4" hidden="1" x14ac:dyDescent="0.35">
      <c r="A155">
        <v>46015</v>
      </c>
      <c r="B155" t="s">
        <v>1060</v>
      </c>
      <c r="C155" s="42">
        <v>10196</v>
      </c>
      <c r="D155">
        <f t="shared" si="2"/>
        <v>2.0160744167947147E-3</v>
      </c>
    </row>
    <row r="156" spans="1:4" hidden="1" x14ac:dyDescent="0.35">
      <c r="A156">
        <v>46018</v>
      </c>
      <c r="B156" t="s">
        <v>1061</v>
      </c>
      <c r="C156">
        <v>611</v>
      </c>
      <c r="D156">
        <f t="shared" si="2"/>
        <v>1.2081418876633686E-4</v>
      </c>
    </row>
    <row r="157" spans="1:4" hidden="1" x14ac:dyDescent="0.35">
      <c r="A157">
        <v>46020</v>
      </c>
      <c r="B157" t="s">
        <v>1062</v>
      </c>
      <c r="C157" s="42">
        <v>5113</v>
      </c>
      <c r="D157">
        <f t="shared" si="2"/>
        <v>1.011003186844976E-3</v>
      </c>
    </row>
    <row r="158" spans="1:4" hidden="1" x14ac:dyDescent="0.35">
      <c r="A158">
        <v>46019</v>
      </c>
      <c r="B158" t="s">
        <v>1063</v>
      </c>
      <c r="C158" s="42">
        <v>12107</v>
      </c>
      <c r="D158">
        <f t="shared" si="2"/>
        <v>2.3939400710213427E-3</v>
      </c>
    </row>
    <row r="159" spans="1:4" hidden="1" x14ac:dyDescent="0.35">
      <c r="A159">
        <v>46021</v>
      </c>
      <c r="B159" t="s">
        <v>1064</v>
      </c>
      <c r="C159" s="42">
        <v>32204</v>
      </c>
      <c r="D159">
        <f t="shared" si="2"/>
        <v>6.3677579951409366E-3</v>
      </c>
    </row>
    <row r="160" spans="1:4" hidden="1" x14ac:dyDescent="0.35">
      <c r="A160">
        <v>46022</v>
      </c>
      <c r="B160" t="s">
        <v>1065</v>
      </c>
      <c r="C160" s="42">
        <v>21395</v>
      </c>
      <c r="D160">
        <f t="shared" si="2"/>
        <v>4.2304739257868693E-3</v>
      </c>
    </row>
    <row r="161" spans="1:4" hidden="1" x14ac:dyDescent="0.35">
      <c r="A161">
        <v>46024</v>
      </c>
      <c r="B161" t="s">
        <v>1066</v>
      </c>
      <c r="C161">
        <v>569</v>
      </c>
      <c r="D161">
        <f t="shared" si="2"/>
        <v>1.1250944911300437E-4</v>
      </c>
    </row>
    <row r="162" spans="1:4" hidden="1" x14ac:dyDescent="0.35">
      <c r="A162">
        <v>46025</v>
      </c>
      <c r="B162" t="s">
        <v>1067</v>
      </c>
      <c r="C162" s="42">
        <v>3282</v>
      </c>
      <c r="D162">
        <f t="shared" si="2"/>
        <v>6.4895608433898123E-4</v>
      </c>
    </row>
    <row r="163" spans="1:4" hidden="1" x14ac:dyDescent="0.35">
      <c r="A163">
        <v>46026</v>
      </c>
      <c r="B163" t="s">
        <v>1068</v>
      </c>
      <c r="C163" s="42">
        <v>1571</v>
      </c>
      <c r="D163">
        <f t="shared" si="2"/>
        <v>3.1063680941393652E-4</v>
      </c>
    </row>
    <row r="164" spans="1:4" hidden="1" x14ac:dyDescent="0.35">
      <c r="A164">
        <v>46027</v>
      </c>
      <c r="B164" t="s">
        <v>1069</v>
      </c>
      <c r="C164" s="42">
        <v>1219</v>
      </c>
      <c r="D164">
        <f t="shared" si="2"/>
        <v>2.4103518184314995E-4</v>
      </c>
    </row>
    <row r="165" spans="1:4" hidden="1" x14ac:dyDescent="0.35">
      <c r="A165">
        <v>46023</v>
      </c>
      <c r="B165" t="s">
        <v>1070</v>
      </c>
      <c r="C165">
        <v>449</v>
      </c>
      <c r="D165">
        <f t="shared" si="2"/>
        <v>8.8781621532054423E-5</v>
      </c>
    </row>
    <row r="166" spans="1:4" hidden="1" x14ac:dyDescent="0.35">
      <c r="A166">
        <v>46028</v>
      </c>
      <c r="B166" t="s">
        <v>1071</v>
      </c>
      <c r="C166">
        <v>491</v>
      </c>
      <c r="D166">
        <f t="shared" si="2"/>
        <v>9.7086361185386895E-5</v>
      </c>
    </row>
    <row r="167" spans="1:4" hidden="1" x14ac:dyDescent="0.35">
      <c r="A167">
        <v>46029</v>
      </c>
      <c r="B167" t="s">
        <v>1072</v>
      </c>
      <c r="C167" s="42">
        <v>27430</v>
      </c>
      <c r="D167">
        <f t="shared" si="2"/>
        <v>5.4237859212121443E-3</v>
      </c>
    </row>
    <row r="168" spans="1:4" hidden="1" x14ac:dyDescent="0.35">
      <c r="A168">
        <v>46030</v>
      </c>
      <c r="B168" t="s">
        <v>1073</v>
      </c>
      <c r="C168" s="42">
        <v>1053</v>
      </c>
      <c r="D168">
        <f t="shared" si="2"/>
        <v>2.0821168702283587E-4</v>
      </c>
    </row>
    <row r="169" spans="1:4" hidden="1" x14ac:dyDescent="0.35">
      <c r="A169">
        <v>46031</v>
      </c>
      <c r="B169" t="s">
        <v>1074</v>
      </c>
      <c r="C169" s="42">
        <v>13827</v>
      </c>
      <c r="D169">
        <f t="shared" si="2"/>
        <v>2.7340389330149585E-3</v>
      </c>
    </row>
    <row r="170" spans="1:4" hidden="1" x14ac:dyDescent="0.35">
      <c r="A170">
        <v>46032</v>
      </c>
      <c r="B170" t="s">
        <v>1075</v>
      </c>
      <c r="C170" s="42">
        <v>7438</v>
      </c>
      <c r="D170">
        <f t="shared" si="2"/>
        <v>1.4707298462258813E-3</v>
      </c>
    </row>
    <row r="171" spans="1:4" hidden="1" x14ac:dyDescent="0.35">
      <c r="A171">
        <v>46033</v>
      </c>
      <c r="B171" t="s">
        <v>1076</v>
      </c>
      <c r="C171">
        <v>265</v>
      </c>
      <c r="D171">
        <f t="shared" si="2"/>
        <v>5.2398952574597817E-5</v>
      </c>
    </row>
    <row r="172" spans="1:4" hidden="1" x14ac:dyDescent="0.35">
      <c r="A172">
        <v>46034</v>
      </c>
      <c r="B172" t="s">
        <v>1077</v>
      </c>
      <c r="C172" s="42">
        <v>2477</v>
      </c>
      <c r="D172">
        <f t="shared" si="2"/>
        <v>4.8978190765010862E-4</v>
      </c>
    </row>
    <row r="173" spans="1:4" hidden="1" x14ac:dyDescent="0.35">
      <c r="A173">
        <v>46035</v>
      </c>
      <c r="B173" t="s">
        <v>1078</v>
      </c>
      <c r="C173" s="42">
        <v>8979</v>
      </c>
      <c r="D173">
        <f t="shared" si="2"/>
        <v>1.7754346987445804E-3</v>
      </c>
    </row>
    <row r="174" spans="1:4" hidden="1" x14ac:dyDescent="0.35">
      <c r="A174">
        <v>46036</v>
      </c>
      <c r="B174" t="s">
        <v>1079</v>
      </c>
      <c r="C174">
        <v>635</v>
      </c>
      <c r="D174">
        <f t="shared" si="2"/>
        <v>1.2555975428252684E-4</v>
      </c>
    </row>
    <row r="175" spans="1:4" hidden="1" x14ac:dyDescent="0.35">
      <c r="A175">
        <v>46037</v>
      </c>
      <c r="B175" t="s">
        <v>1080</v>
      </c>
      <c r="C175" s="42">
        <v>1496</v>
      </c>
      <c r="D175">
        <f t="shared" si="2"/>
        <v>2.9580691717584278E-4</v>
      </c>
    </row>
    <row r="176" spans="1:4" hidden="1" x14ac:dyDescent="0.35">
      <c r="A176">
        <v>46017</v>
      </c>
      <c r="B176" t="s">
        <v>1081</v>
      </c>
      <c r="C176" s="42">
        <v>44938</v>
      </c>
      <c r="D176">
        <f t="shared" si="2"/>
        <v>8.8856759652727428E-3</v>
      </c>
    </row>
    <row r="177" spans="1:4" hidden="1" x14ac:dyDescent="0.35">
      <c r="A177">
        <v>46038</v>
      </c>
      <c r="B177" t="s">
        <v>1082</v>
      </c>
      <c r="C177">
        <v>308</v>
      </c>
      <c r="D177">
        <f t="shared" si="2"/>
        <v>6.0901424124438218E-5</v>
      </c>
    </row>
    <row r="178" spans="1:4" hidden="1" x14ac:dyDescent="0.35">
      <c r="A178">
        <v>46039</v>
      </c>
      <c r="B178" t="s">
        <v>1083</v>
      </c>
      <c r="C178" s="42">
        <v>2615</v>
      </c>
      <c r="D178">
        <f t="shared" si="2"/>
        <v>5.1706890936820116E-4</v>
      </c>
    </row>
    <row r="179" spans="1:4" hidden="1" x14ac:dyDescent="0.35">
      <c r="A179">
        <v>46040</v>
      </c>
      <c r="B179" t="s">
        <v>1084</v>
      </c>
      <c r="C179" s="42">
        <v>1157</v>
      </c>
      <c r="D179">
        <f t="shared" si="2"/>
        <v>2.2877580425965916E-4</v>
      </c>
    </row>
    <row r="180" spans="1:4" hidden="1" x14ac:dyDescent="0.35">
      <c r="A180">
        <v>46041</v>
      </c>
      <c r="B180" t="s">
        <v>1085</v>
      </c>
      <c r="C180">
        <v>359</v>
      </c>
      <c r="D180">
        <f t="shared" si="2"/>
        <v>7.0985750846341955E-5</v>
      </c>
    </row>
    <row r="181" spans="1:4" hidden="1" x14ac:dyDescent="0.35">
      <c r="A181">
        <v>46003</v>
      </c>
      <c r="B181" t="s">
        <v>1086</v>
      </c>
      <c r="C181" s="42">
        <v>1162</v>
      </c>
      <c r="D181">
        <f t="shared" si="2"/>
        <v>2.2976446374219873E-4</v>
      </c>
    </row>
    <row r="182" spans="1:4" hidden="1" x14ac:dyDescent="0.35">
      <c r="A182">
        <v>46044</v>
      </c>
      <c r="B182" t="s">
        <v>1087</v>
      </c>
      <c r="C182" s="42">
        <v>5283</v>
      </c>
      <c r="D182">
        <f t="shared" si="2"/>
        <v>1.0446176092513218E-3</v>
      </c>
    </row>
    <row r="183" spans="1:4" hidden="1" x14ac:dyDescent="0.35">
      <c r="A183">
        <v>46046</v>
      </c>
      <c r="B183" t="s">
        <v>1088</v>
      </c>
      <c r="C183" s="42">
        <v>1303</v>
      </c>
      <c r="D183">
        <f t="shared" si="2"/>
        <v>2.5764466114981492E-4</v>
      </c>
    </row>
    <row r="184" spans="1:4" hidden="1" x14ac:dyDescent="0.35">
      <c r="A184">
        <v>46045</v>
      </c>
      <c r="B184" t="s">
        <v>1089</v>
      </c>
      <c r="C184" s="42">
        <v>1586</v>
      </c>
      <c r="D184">
        <f t="shared" si="2"/>
        <v>3.1360278786155525E-4</v>
      </c>
    </row>
    <row r="185" spans="1:4" hidden="1" x14ac:dyDescent="0.35">
      <c r="A185">
        <v>46047</v>
      </c>
      <c r="B185" t="s">
        <v>1090</v>
      </c>
      <c r="C185">
        <v>679</v>
      </c>
      <c r="D185">
        <f t="shared" si="2"/>
        <v>1.3425995772887517E-4</v>
      </c>
    </row>
    <row r="186" spans="1:4" hidden="1" x14ac:dyDescent="0.35">
      <c r="A186">
        <v>46048</v>
      </c>
      <c r="B186" t="s">
        <v>1091</v>
      </c>
      <c r="C186" s="42">
        <v>4618</v>
      </c>
      <c r="D186">
        <f t="shared" si="2"/>
        <v>9.1312589807355745E-4</v>
      </c>
    </row>
    <row r="187" spans="1:4" hidden="1" x14ac:dyDescent="0.35">
      <c r="A187">
        <v>46049</v>
      </c>
      <c r="B187" t="s">
        <v>1092</v>
      </c>
      <c r="C187">
        <v>299</v>
      </c>
      <c r="D187">
        <f t="shared" si="2"/>
        <v>5.9121837055866974E-5</v>
      </c>
    </row>
    <row r="188" spans="1:4" hidden="1" x14ac:dyDescent="0.35">
      <c r="A188">
        <v>46050</v>
      </c>
      <c r="B188" t="s">
        <v>1093</v>
      </c>
      <c r="C188">
        <v>180</v>
      </c>
      <c r="D188">
        <f t="shared" si="2"/>
        <v>3.5591741371424936E-5</v>
      </c>
    </row>
    <row r="189" spans="1:4" hidden="1" x14ac:dyDescent="0.35">
      <c r="A189">
        <v>46051</v>
      </c>
      <c r="B189" t="s">
        <v>1094</v>
      </c>
      <c r="C189" s="42">
        <v>11256</v>
      </c>
      <c r="D189">
        <f t="shared" si="2"/>
        <v>2.2256702270931059E-3</v>
      </c>
    </row>
    <row r="190" spans="1:4" hidden="1" x14ac:dyDescent="0.35">
      <c r="A190">
        <v>46052</v>
      </c>
      <c r="B190" t="s">
        <v>1095</v>
      </c>
      <c r="C190">
        <v>638</v>
      </c>
      <c r="D190">
        <f t="shared" si="2"/>
        <v>1.261529499720506E-4</v>
      </c>
    </row>
    <row r="191" spans="1:4" hidden="1" x14ac:dyDescent="0.35">
      <c r="A191">
        <v>46053</v>
      </c>
      <c r="B191" t="s">
        <v>1096</v>
      </c>
      <c r="C191">
        <v>627</v>
      </c>
      <c r="D191">
        <f t="shared" si="2"/>
        <v>1.2397789911046351E-4</v>
      </c>
    </row>
    <row r="192" spans="1:4" hidden="1" x14ac:dyDescent="0.35">
      <c r="A192">
        <v>46054</v>
      </c>
      <c r="B192" t="s">
        <v>1097</v>
      </c>
      <c r="C192" s="42">
        <v>15000</v>
      </c>
      <c r="D192">
        <f t="shared" si="2"/>
        <v>2.9659784476187443E-3</v>
      </c>
    </row>
    <row r="193" spans="1:4" hidden="1" x14ac:dyDescent="0.35">
      <c r="A193">
        <v>46055</v>
      </c>
      <c r="B193" t="s">
        <v>1098</v>
      </c>
      <c r="C193" s="42">
        <v>1767</v>
      </c>
      <c r="D193">
        <f t="shared" si="2"/>
        <v>3.4939226112948811E-4</v>
      </c>
    </row>
    <row r="194" spans="1:4" hidden="1" x14ac:dyDescent="0.35">
      <c r="A194">
        <v>46056</v>
      </c>
      <c r="B194" t="s">
        <v>1099</v>
      </c>
      <c r="C194">
        <v>219</v>
      </c>
      <c r="D194">
        <f t="shared" si="2"/>
        <v>4.3303285335233667E-5</v>
      </c>
    </row>
    <row r="195" spans="1:4" hidden="1" x14ac:dyDescent="0.35">
      <c r="A195">
        <v>46057</v>
      </c>
      <c r="B195" t="s">
        <v>1100</v>
      </c>
      <c r="C195">
        <v>574</v>
      </c>
      <c r="D195">
        <f t="shared" si="2"/>
        <v>1.1349810859554395E-4</v>
      </c>
    </row>
    <row r="196" spans="1:4" hidden="1" x14ac:dyDescent="0.35">
      <c r="A196">
        <v>46904</v>
      </c>
      <c r="B196" t="s">
        <v>1101</v>
      </c>
      <c r="C196" s="42">
        <v>1048</v>
      </c>
      <c r="D196">
        <f t="shared" si="2"/>
        <v>2.0722302754029627E-4</v>
      </c>
    </row>
    <row r="197" spans="1:4" hidden="1" x14ac:dyDescent="0.35">
      <c r="A197">
        <v>46060</v>
      </c>
      <c r="B197" t="s">
        <v>1102</v>
      </c>
      <c r="C197" s="42">
        <v>11989</v>
      </c>
      <c r="D197">
        <f t="shared" ref="D197:D260" si="3">C197/$C$3</f>
        <v>2.3706077072334084E-3</v>
      </c>
    </row>
    <row r="198" spans="1:4" hidden="1" x14ac:dyDescent="0.35">
      <c r="A198">
        <v>46059</v>
      </c>
      <c r="B198" t="s">
        <v>1103</v>
      </c>
      <c r="C198" s="42">
        <v>1558</v>
      </c>
      <c r="D198">
        <f t="shared" si="3"/>
        <v>3.080662947593336E-4</v>
      </c>
    </row>
    <row r="199" spans="1:4" hidden="1" x14ac:dyDescent="0.35">
      <c r="A199">
        <v>46058</v>
      </c>
      <c r="B199" t="s">
        <v>1104</v>
      </c>
      <c r="C199" s="42">
        <v>2213</v>
      </c>
      <c r="D199">
        <f t="shared" si="3"/>
        <v>4.3758068697201873E-4</v>
      </c>
    </row>
    <row r="200" spans="1:4" hidden="1" x14ac:dyDescent="0.35">
      <c r="A200">
        <v>46061</v>
      </c>
      <c r="B200" t="s">
        <v>1105</v>
      </c>
      <c r="C200">
        <v>460</v>
      </c>
      <c r="D200">
        <f t="shared" si="3"/>
        <v>9.0956672393641499E-5</v>
      </c>
    </row>
    <row r="201" spans="1:4" hidden="1" x14ac:dyDescent="0.35">
      <c r="A201">
        <v>46062</v>
      </c>
      <c r="B201" t="s">
        <v>1106</v>
      </c>
      <c r="C201" s="42">
        <v>5779</v>
      </c>
      <c r="D201">
        <f t="shared" si="3"/>
        <v>1.1426926299192483E-3</v>
      </c>
    </row>
    <row r="202" spans="1:4" hidden="1" x14ac:dyDescent="0.35">
      <c r="A202">
        <v>46063</v>
      </c>
      <c r="B202" t="s">
        <v>1107</v>
      </c>
      <c r="C202" s="42">
        <v>2272</v>
      </c>
      <c r="D202">
        <f t="shared" si="3"/>
        <v>4.4924686886598582E-4</v>
      </c>
    </row>
    <row r="203" spans="1:4" hidden="1" x14ac:dyDescent="0.35">
      <c r="A203">
        <v>46064</v>
      </c>
      <c r="B203" t="s">
        <v>1108</v>
      </c>
      <c r="C203">
        <v>667</v>
      </c>
      <c r="D203">
        <f t="shared" si="3"/>
        <v>1.3188717497078018E-4</v>
      </c>
    </row>
    <row r="204" spans="1:4" hidden="1" x14ac:dyDescent="0.35">
      <c r="A204">
        <v>46065</v>
      </c>
      <c r="B204" t="s">
        <v>1109</v>
      </c>
      <c r="C204" s="42">
        <v>2015</v>
      </c>
      <c r="D204">
        <f t="shared" si="3"/>
        <v>3.9842977146345134E-4</v>
      </c>
    </row>
    <row r="205" spans="1:4" hidden="1" x14ac:dyDescent="0.35">
      <c r="A205">
        <v>46066</v>
      </c>
      <c r="B205" t="s">
        <v>1110</v>
      </c>
      <c r="C205" s="42">
        <v>1555</v>
      </c>
      <c r="D205">
        <f t="shared" si="3"/>
        <v>3.0747309906980981E-4</v>
      </c>
    </row>
    <row r="206" spans="1:4" hidden="1" x14ac:dyDescent="0.35">
      <c r="A206">
        <v>46067</v>
      </c>
      <c r="B206" t="s">
        <v>1111</v>
      </c>
      <c r="C206" s="42">
        <v>2291</v>
      </c>
      <c r="D206">
        <f t="shared" si="3"/>
        <v>4.5300377489963621E-4</v>
      </c>
    </row>
    <row r="207" spans="1:4" hidden="1" x14ac:dyDescent="0.35">
      <c r="A207">
        <v>46068</v>
      </c>
      <c r="B207" t="s">
        <v>1112</v>
      </c>
      <c r="C207">
        <v>432</v>
      </c>
      <c r="D207">
        <f t="shared" si="3"/>
        <v>8.5420179291419837E-5</v>
      </c>
    </row>
    <row r="208" spans="1:4" hidden="1" x14ac:dyDescent="0.35">
      <c r="A208">
        <v>46069</v>
      </c>
      <c r="B208" t="s">
        <v>1113</v>
      </c>
      <c r="C208">
        <v>185</v>
      </c>
      <c r="D208">
        <f t="shared" si="3"/>
        <v>3.6580400853964516E-5</v>
      </c>
    </row>
    <row r="209" spans="1:4" hidden="1" x14ac:dyDescent="0.35">
      <c r="A209">
        <v>46070</v>
      </c>
      <c r="B209" t="s">
        <v>1114</v>
      </c>
      <c r="C209" s="42">
        <v>24604</v>
      </c>
      <c r="D209">
        <f t="shared" si="3"/>
        <v>4.8649955816807726E-3</v>
      </c>
    </row>
    <row r="210" spans="1:4" hidden="1" x14ac:dyDescent="0.35">
      <c r="A210">
        <v>46071</v>
      </c>
      <c r="B210" t="s">
        <v>1115</v>
      </c>
      <c r="C210">
        <v>529</v>
      </c>
      <c r="D210">
        <f t="shared" si="3"/>
        <v>1.0460017325268772E-4</v>
      </c>
    </row>
    <row r="211" spans="1:4" hidden="1" x14ac:dyDescent="0.35">
      <c r="A211">
        <v>46072</v>
      </c>
      <c r="B211" t="s">
        <v>1116</v>
      </c>
      <c r="C211" s="42">
        <v>4142</v>
      </c>
      <c r="D211">
        <f t="shared" si="3"/>
        <v>8.1900551533578927E-4</v>
      </c>
    </row>
    <row r="212" spans="1:4" hidden="1" x14ac:dyDescent="0.35">
      <c r="A212">
        <v>46073</v>
      </c>
      <c r="B212" t="s">
        <v>1117</v>
      </c>
      <c r="C212" s="42">
        <v>1324</v>
      </c>
      <c r="D212">
        <f t="shared" si="3"/>
        <v>2.6179703097648117E-4</v>
      </c>
    </row>
    <row r="213" spans="1:4" hidden="1" x14ac:dyDescent="0.35">
      <c r="A213">
        <v>46074</v>
      </c>
      <c r="B213" t="s">
        <v>1118</v>
      </c>
      <c r="C213" s="42">
        <v>3738</v>
      </c>
      <c r="D213">
        <f t="shared" si="3"/>
        <v>7.3912182914659115E-4</v>
      </c>
    </row>
    <row r="214" spans="1:4" hidden="1" x14ac:dyDescent="0.35">
      <c r="A214">
        <v>46075</v>
      </c>
      <c r="B214" t="s">
        <v>1119</v>
      </c>
      <c r="C214">
        <v>156</v>
      </c>
      <c r="D214">
        <f t="shared" si="3"/>
        <v>3.0846175855234945E-5</v>
      </c>
    </row>
    <row r="215" spans="1:4" hidden="1" x14ac:dyDescent="0.35">
      <c r="A215">
        <v>46076</v>
      </c>
      <c r="B215" t="s">
        <v>1120</v>
      </c>
      <c r="C215">
        <v>739</v>
      </c>
      <c r="D215">
        <f t="shared" si="3"/>
        <v>1.4612387151935013E-4</v>
      </c>
    </row>
    <row r="216" spans="1:4" hidden="1" x14ac:dyDescent="0.35">
      <c r="A216">
        <v>46077</v>
      </c>
      <c r="B216" t="s">
        <v>1121</v>
      </c>
      <c r="C216" s="42">
        <v>9498</v>
      </c>
      <c r="D216">
        <f t="shared" si="3"/>
        <v>1.8780575530321889E-3</v>
      </c>
    </row>
    <row r="217" spans="1:4" hidden="1" x14ac:dyDescent="0.35">
      <c r="A217">
        <v>46078</v>
      </c>
      <c r="B217" t="s">
        <v>1122</v>
      </c>
      <c r="C217" s="42">
        <v>38632</v>
      </c>
      <c r="D217">
        <f t="shared" si="3"/>
        <v>7.6387786258938226E-3</v>
      </c>
    </row>
    <row r="218" spans="1:4" hidden="1" x14ac:dyDescent="0.35">
      <c r="A218">
        <v>46079</v>
      </c>
      <c r="B218" t="s">
        <v>1123</v>
      </c>
      <c r="C218">
        <v>355</v>
      </c>
      <c r="D218">
        <f t="shared" si="3"/>
        <v>7.0194823260310291E-5</v>
      </c>
    </row>
    <row r="219" spans="1:4" hidden="1" x14ac:dyDescent="0.35">
      <c r="A219">
        <v>46080</v>
      </c>
      <c r="B219" t="s">
        <v>1124</v>
      </c>
      <c r="C219" s="42">
        <v>1198</v>
      </c>
      <c r="D219">
        <f t="shared" si="3"/>
        <v>2.3688281201648373E-4</v>
      </c>
    </row>
    <row r="220" spans="1:4" hidden="1" x14ac:dyDescent="0.35">
      <c r="A220">
        <v>46081</v>
      </c>
      <c r="B220" t="s">
        <v>1125</v>
      </c>
      <c r="C220" s="42">
        <v>13516</v>
      </c>
      <c r="D220">
        <f t="shared" si="3"/>
        <v>2.6725443132009966E-3</v>
      </c>
    </row>
    <row r="221" spans="1:4" hidden="1" x14ac:dyDescent="0.35">
      <c r="A221">
        <v>46082</v>
      </c>
      <c r="B221" t="s">
        <v>1126</v>
      </c>
      <c r="C221" s="42">
        <v>6765</v>
      </c>
      <c r="D221">
        <f t="shared" si="3"/>
        <v>1.3376562798760538E-3</v>
      </c>
    </row>
    <row r="222" spans="1:4" hidden="1" x14ac:dyDescent="0.35">
      <c r="A222">
        <v>46083</v>
      </c>
      <c r="B222" t="s">
        <v>1127</v>
      </c>
      <c r="C222" s="42">
        <v>20436</v>
      </c>
      <c r="D222">
        <f t="shared" si="3"/>
        <v>4.0408490370357772E-3</v>
      </c>
    </row>
    <row r="223" spans="1:4" hidden="1" x14ac:dyDescent="0.35">
      <c r="A223">
        <v>46084</v>
      </c>
      <c r="B223" t="s">
        <v>1128</v>
      </c>
      <c r="C223" s="42">
        <v>1827</v>
      </c>
      <c r="D223">
        <f t="shared" si="3"/>
        <v>3.6125617491996307E-4</v>
      </c>
    </row>
    <row r="224" spans="1:4" hidden="1" x14ac:dyDescent="0.35">
      <c r="A224">
        <v>46085</v>
      </c>
      <c r="B224" t="s">
        <v>1129</v>
      </c>
      <c r="C224" s="42">
        <v>15740</v>
      </c>
      <c r="D224">
        <f t="shared" si="3"/>
        <v>3.1123000510346025E-3</v>
      </c>
    </row>
    <row r="225" spans="1:4" hidden="1" x14ac:dyDescent="0.35">
      <c r="A225">
        <v>46086</v>
      </c>
      <c r="B225" t="s">
        <v>1130</v>
      </c>
      <c r="C225">
        <v>99</v>
      </c>
      <c r="D225">
        <f t="shared" si="3"/>
        <v>1.9575457754283712E-5</v>
      </c>
    </row>
    <row r="226" spans="1:4" hidden="1" x14ac:dyDescent="0.35">
      <c r="A226">
        <v>46087</v>
      </c>
      <c r="B226" t="s">
        <v>1131</v>
      </c>
      <c r="C226">
        <v>131</v>
      </c>
      <c r="D226">
        <f t="shared" si="3"/>
        <v>2.5902878442537034E-5</v>
      </c>
    </row>
    <row r="227" spans="1:4" hidden="1" x14ac:dyDescent="0.35">
      <c r="A227">
        <v>46088</v>
      </c>
      <c r="B227" t="s">
        <v>1132</v>
      </c>
      <c r="C227">
        <v>163</v>
      </c>
      <c r="D227">
        <f t="shared" si="3"/>
        <v>3.2230299130790357E-5</v>
      </c>
    </row>
    <row r="228" spans="1:4" hidden="1" x14ac:dyDescent="0.35">
      <c r="A228">
        <v>46089</v>
      </c>
      <c r="B228" t="s">
        <v>1133</v>
      </c>
      <c r="C228" s="42">
        <v>2780</v>
      </c>
      <c r="D228">
        <f t="shared" si="3"/>
        <v>5.4969467229200731E-4</v>
      </c>
    </row>
    <row r="229" spans="1:4" hidden="1" x14ac:dyDescent="0.35">
      <c r="A229">
        <v>46090</v>
      </c>
      <c r="B229" t="s">
        <v>1134</v>
      </c>
      <c r="C229" s="42">
        <v>2298</v>
      </c>
      <c r="D229">
        <f t="shared" si="3"/>
        <v>4.5438789817519166E-4</v>
      </c>
    </row>
    <row r="230" spans="1:4" hidden="1" x14ac:dyDescent="0.35">
      <c r="A230">
        <v>46091</v>
      </c>
      <c r="B230" t="s">
        <v>1135</v>
      </c>
      <c r="C230">
        <v>141</v>
      </c>
      <c r="D230">
        <f t="shared" si="3"/>
        <v>2.7880197407616198E-5</v>
      </c>
    </row>
    <row r="231" spans="1:4" hidden="1" x14ac:dyDescent="0.35">
      <c r="A231">
        <v>46092</v>
      </c>
      <c r="B231" t="s">
        <v>1136</v>
      </c>
      <c r="C231">
        <v>308</v>
      </c>
      <c r="D231">
        <f t="shared" si="3"/>
        <v>6.0901424124438218E-5</v>
      </c>
    </row>
    <row r="232" spans="1:4" hidden="1" x14ac:dyDescent="0.35">
      <c r="A232">
        <v>46093</v>
      </c>
      <c r="B232" t="s">
        <v>1137</v>
      </c>
      <c r="C232" s="42">
        <v>2804</v>
      </c>
      <c r="D232">
        <f t="shared" si="3"/>
        <v>5.544402378081973E-4</v>
      </c>
    </row>
    <row r="233" spans="1:4" hidden="1" x14ac:dyDescent="0.35">
      <c r="A233">
        <v>46094</v>
      </c>
      <c r="B233" t="s">
        <v>1138</v>
      </c>
      <c r="C233" s="42">
        <v>28608</v>
      </c>
      <c r="D233">
        <f t="shared" si="3"/>
        <v>5.656714095298469E-3</v>
      </c>
    </row>
    <row r="234" spans="1:4" hidden="1" x14ac:dyDescent="0.35">
      <c r="A234">
        <v>46095</v>
      </c>
      <c r="B234" t="s">
        <v>1139</v>
      </c>
      <c r="C234">
        <v>711</v>
      </c>
      <c r="D234">
        <f t="shared" si="3"/>
        <v>1.4058737841712848E-4</v>
      </c>
    </row>
    <row r="235" spans="1:4" hidden="1" x14ac:dyDescent="0.35">
      <c r="A235">
        <v>46096</v>
      </c>
      <c r="B235" t="s">
        <v>1140</v>
      </c>
      <c r="C235">
        <v>331</v>
      </c>
      <c r="D235">
        <f t="shared" si="3"/>
        <v>6.5449257744120293E-5</v>
      </c>
    </row>
    <row r="236" spans="1:4" hidden="1" x14ac:dyDescent="0.35">
      <c r="A236">
        <v>46107</v>
      </c>
      <c r="B236" t="s">
        <v>1141</v>
      </c>
      <c r="C236" s="42">
        <v>2472</v>
      </c>
      <c r="D236">
        <f t="shared" si="3"/>
        <v>4.8879324816756913E-4</v>
      </c>
    </row>
    <row r="237" spans="1:4" hidden="1" x14ac:dyDescent="0.35">
      <c r="A237">
        <v>46106</v>
      </c>
      <c r="B237" t="s">
        <v>1142</v>
      </c>
      <c r="C237" s="42">
        <v>1531</v>
      </c>
      <c r="D237">
        <f t="shared" si="3"/>
        <v>3.0272753355361983E-4</v>
      </c>
    </row>
    <row r="238" spans="1:4" hidden="1" x14ac:dyDescent="0.35">
      <c r="A238">
        <v>46108</v>
      </c>
      <c r="B238" t="s">
        <v>1143</v>
      </c>
      <c r="C238">
        <v>469</v>
      </c>
      <c r="D238">
        <f t="shared" si="3"/>
        <v>9.2736259462212743E-5</v>
      </c>
    </row>
    <row r="239" spans="1:4" hidden="1" x14ac:dyDescent="0.35">
      <c r="A239">
        <v>46109</v>
      </c>
      <c r="B239" t="s">
        <v>1144</v>
      </c>
      <c r="C239" s="42">
        <v>8735</v>
      </c>
      <c r="D239">
        <f t="shared" si="3"/>
        <v>1.7271881159966489E-3</v>
      </c>
    </row>
    <row r="240" spans="1:4" hidden="1" x14ac:dyDescent="0.35">
      <c r="A240">
        <v>46111</v>
      </c>
      <c r="B240" t="s">
        <v>1145</v>
      </c>
      <c r="C240" s="42">
        <v>15414</v>
      </c>
      <c r="D240">
        <f t="shared" si="3"/>
        <v>3.0478394527730219E-3</v>
      </c>
    </row>
    <row r="241" spans="1:4" hidden="1" x14ac:dyDescent="0.35">
      <c r="A241">
        <v>46112</v>
      </c>
      <c r="B241" t="s">
        <v>1146</v>
      </c>
      <c r="C241">
        <v>662</v>
      </c>
      <c r="D241">
        <f t="shared" si="3"/>
        <v>1.3089851548824059E-4</v>
      </c>
    </row>
    <row r="242" spans="1:4" hidden="1" x14ac:dyDescent="0.35">
      <c r="A242">
        <v>46097</v>
      </c>
      <c r="B242" t="s">
        <v>1147</v>
      </c>
      <c r="C242" s="42">
        <v>1123</v>
      </c>
      <c r="D242">
        <f t="shared" si="3"/>
        <v>2.2205291977838999E-4</v>
      </c>
    </row>
    <row r="243" spans="1:4" hidden="1" x14ac:dyDescent="0.35">
      <c r="A243">
        <v>46098</v>
      </c>
      <c r="B243" t="s">
        <v>1148</v>
      </c>
      <c r="C243" s="42">
        <v>3088</v>
      </c>
      <c r="D243">
        <f t="shared" si="3"/>
        <v>6.105960964164455E-4</v>
      </c>
    </row>
    <row r="244" spans="1:4" hidden="1" x14ac:dyDescent="0.35">
      <c r="A244">
        <v>46099</v>
      </c>
      <c r="B244" t="s">
        <v>1149</v>
      </c>
      <c r="C244">
        <v>771</v>
      </c>
      <c r="D244">
        <f t="shared" si="3"/>
        <v>1.5245129220760347E-4</v>
      </c>
    </row>
    <row r="245" spans="1:4" hidden="1" x14ac:dyDescent="0.35">
      <c r="A245">
        <v>46100</v>
      </c>
      <c r="B245" t="s">
        <v>1150</v>
      </c>
      <c r="C245">
        <v>333</v>
      </c>
      <c r="D245">
        <f t="shared" si="3"/>
        <v>6.5844721537136125E-5</v>
      </c>
    </row>
    <row r="246" spans="1:4" hidden="1" x14ac:dyDescent="0.35">
      <c r="A246">
        <v>46105</v>
      </c>
      <c r="B246" t="s">
        <v>1151</v>
      </c>
      <c r="C246" s="42">
        <v>22521</v>
      </c>
      <c r="D246">
        <f t="shared" si="3"/>
        <v>4.4531200412547831E-3</v>
      </c>
    </row>
    <row r="247" spans="1:4" hidden="1" x14ac:dyDescent="0.35">
      <c r="A247">
        <v>46113</v>
      </c>
      <c r="B247" t="s">
        <v>1152</v>
      </c>
      <c r="C247" s="42">
        <v>3196</v>
      </c>
      <c r="D247">
        <f t="shared" si="3"/>
        <v>6.3195114123930048E-4</v>
      </c>
    </row>
    <row r="248" spans="1:4" hidden="1" x14ac:dyDescent="0.35">
      <c r="A248">
        <v>46114</v>
      </c>
      <c r="B248" t="s">
        <v>1153</v>
      </c>
      <c r="C248">
        <v>673</v>
      </c>
      <c r="D248">
        <f t="shared" si="3"/>
        <v>1.3307356634982768E-4</v>
      </c>
    </row>
    <row r="249" spans="1:4" hidden="1" x14ac:dyDescent="0.35">
      <c r="A249">
        <v>46115</v>
      </c>
      <c r="B249" t="s">
        <v>1154</v>
      </c>
      <c r="C249">
        <v>327</v>
      </c>
      <c r="D249">
        <f t="shared" si="3"/>
        <v>6.4658330158088629E-5</v>
      </c>
    </row>
    <row r="250" spans="1:4" hidden="1" x14ac:dyDescent="0.35">
      <c r="A250">
        <v>46116</v>
      </c>
      <c r="B250" t="s">
        <v>1155</v>
      </c>
      <c r="C250" s="42">
        <v>18362</v>
      </c>
      <c r="D250">
        <f t="shared" si="3"/>
        <v>3.630753083678359E-3</v>
      </c>
    </row>
    <row r="251" spans="1:4" hidden="1" x14ac:dyDescent="0.35">
      <c r="A251">
        <v>46117</v>
      </c>
      <c r="B251" t="s">
        <v>1156</v>
      </c>
      <c r="C251">
        <v>688</v>
      </c>
      <c r="D251">
        <f t="shared" si="3"/>
        <v>1.360395447974464E-4</v>
      </c>
    </row>
    <row r="252" spans="1:4" hidden="1" x14ac:dyDescent="0.35">
      <c r="A252">
        <v>46118</v>
      </c>
      <c r="B252" t="s">
        <v>1157</v>
      </c>
      <c r="C252" s="42">
        <v>4777</v>
      </c>
      <c r="D252">
        <f t="shared" si="3"/>
        <v>9.4456526961831614E-4</v>
      </c>
    </row>
    <row r="253" spans="1:4" hidden="1" x14ac:dyDescent="0.35">
      <c r="A253">
        <v>46119</v>
      </c>
      <c r="B253" t="s">
        <v>1158</v>
      </c>
      <c r="C253">
        <v>902</v>
      </c>
      <c r="D253">
        <f t="shared" si="3"/>
        <v>1.7835417065014051E-4</v>
      </c>
    </row>
    <row r="254" spans="1:4" hidden="1" x14ac:dyDescent="0.35">
      <c r="A254">
        <v>46120</v>
      </c>
      <c r="B254" t="s">
        <v>1159</v>
      </c>
      <c r="C254" s="42">
        <v>1441</v>
      </c>
      <c r="D254">
        <f t="shared" si="3"/>
        <v>2.8493166286790736E-4</v>
      </c>
    </row>
    <row r="255" spans="1:4" hidden="1" x14ac:dyDescent="0.35">
      <c r="A255">
        <v>46121</v>
      </c>
      <c r="B255" t="s">
        <v>1160</v>
      </c>
      <c r="C255">
        <v>125</v>
      </c>
      <c r="D255">
        <f t="shared" si="3"/>
        <v>2.4716487063489538E-5</v>
      </c>
    </row>
    <row r="256" spans="1:4" hidden="1" x14ac:dyDescent="0.35">
      <c r="A256">
        <v>46122</v>
      </c>
      <c r="B256" t="s">
        <v>1161</v>
      </c>
      <c r="C256" s="42">
        <v>3553</v>
      </c>
      <c r="D256">
        <f t="shared" si="3"/>
        <v>7.0254142829262662E-4</v>
      </c>
    </row>
    <row r="257" spans="1:4" hidden="1" x14ac:dyDescent="0.35">
      <c r="A257">
        <v>46123</v>
      </c>
      <c r="B257" t="s">
        <v>1162</v>
      </c>
      <c r="C257" s="42">
        <v>2504</v>
      </c>
      <c r="D257">
        <f t="shared" si="3"/>
        <v>4.9512066885582244E-4</v>
      </c>
    </row>
    <row r="258" spans="1:4" hidden="1" x14ac:dyDescent="0.35">
      <c r="A258">
        <v>46126</v>
      </c>
      <c r="B258" t="s">
        <v>1163</v>
      </c>
      <c r="C258" s="42">
        <v>7452</v>
      </c>
      <c r="D258">
        <f t="shared" si="3"/>
        <v>1.4734980927769922E-3</v>
      </c>
    </row>
    <row r="259" spans="1:4" hidden="1" x14ac:dyDescent="0.35">
      <c r="A259">
        <v>46128</v>
      </c>
      <c r="B259" t="s">
        <v>1164</v>
      </c>
      <c r="C259" s="42">
        <v>2027</v>
      </c>
      <c r="D259">
        <f t="shared" si="3"/>
        <v>4.0080255422154633E-4</v>
      </c>
    </row>
    <row r="260" spans="1:4" hidden="1" x14ac:dyDescent="0.35">
      <c r="A260">
        <v>46127</v>
      </c>
      <c r="B260" t="s">
        <v>1165</v>
      </c>
      <c r="C260" s="42">
        <v>3778</v>
      </c>
      <c r="D260">
        <f t="shared" si="3"/>
        <v>7.4703110500690779E-4</v>
      </c>
    </row>
    <row r="261" spans="1:4" hidden="1" x14ac:dyDescent="0.35">
      <c r="A261">
        <v>46124</v>
      </c>
      <c r="B261" t="s">
        <v>1166</v>
      </c>
      <c r="C261">
        <v>959</v>
      </c>
      <c r="D261">
        <f t="shared" ref="D261:D324" si="4">C261/$C$3</f>
        <v>1.8962488875109174E-4</v>
      </c>
    </row>
    <row r="262" spans="1:4" hidden="1" x14ac:dyDescent="0.35">
      <c r="A262">
        <v>46125</v>
      </c>
      <c r="B262" t="s">
        <v>1167</v>
      </c>
      <c r="C262" s="42">
        <v>1020</v>
      </c>
      <c r="D262">
        <f t="shared" si="4"/>
        <v>2.0168653443807463E-4</v>
      </c>
    </row>
    <row r="263" spans="1:4" hidden="1" x14ac:dyDescent="0.35">
      <c r="A263">
        <v>46129</v>
      </c>
      <c r="B263" t="s">
        <v>1168</v>
      </c>
      <c r="C263">
        <v>694</v>
      </c>
      <c r="D263">
        <f t="shared" si="4"/>
        <v>1.372259361764939E-4</v>
      </c>
    </row>
    <row r="264" spans="1:4" x14ac:dyDescent="0.35">
      <c r="A264">
        <v>46131</v>
      </c>
      <c r="B264" t="s">
        <v>1169</v>
      </c>
      <c r="C264" s="42">
        <v>75798</v>
      </c>
      <c r="D264">
        <f>C264/$C$3*100</f>
        <v>1.4987682291507038</v>
      </c>
    </row>
    <row r="265" spans="1:4" hidden="1" x14ac:dyDescent="0.35">
      <c r="A265">
        <v>46902</v>
      </c>
      <c r="B265" t="s">
        <v>1170</v>
      </c>
      <c r="C265">
        <v>405</v>
      </c>
      <c r="D265">
        <f t="shared" si="4"/>
        <v>8.0081418085706105E-5</v>
      </c>
    </row>
    <row r="266" spans="1:4" hidden="1" x14ac:dyDescent="0.35">
      <c r="A266">
        <v>46130</v>
      </c>
      <c r="B266" t="s">
        <v>1171</v>
      </c>
      <c r="C266" s="42">
        <v>1042</v>
      </c>
      <c r="D266">
        <f t="shared" si="4"/>
        <v>2.0603663616124878E-4</v>
      </c>
    </row>
    <row r="267" spans="1:4" hidden="1" x14ac:dyDescent="0.35">
      <c r="A267">
        <v>46132</v>
      </c>
      <c r="B267" t="s">
        <v>1172</v>
      </c>
      <c r="C267" s="42">
        <v>2778</v>
      </c>
      <c r="D267">
        <f t="shared" si="4"/>
        <v>5.4929920849899146E-4</v>
      </c>
    </row>
    <row r="268" spans="1:4" hidden="1" x14ac:dyDescent="0.35">
      <c r="A268">
        <v>46133</v>
      </c>
      <c r="B268" t="s">
        <v>1173</v>
      </c>
      <c r="C268">
        <v>548</v>
      </c>
      <c r="D268">
        <f t="shared" si="4"/>
        <v>1.0835707928633813E-4</v>
      </c>
    </row>
    <row r="269" spans="1:4" hidden="1" x14ac:dyDescent="0.35">
      <c r="A269">
        <v>46134</v>
      </c>
      <c r="B269" t="s">
        <v>1174</v>
      </c>
      <c r="C269" s="42">
        <v>3404</v>
      </c>
      <c r="D269">
        <f t="shared" si="4"/>
        <v>6.7307937571294712E-4</v>
      </c>
    </row>
    <row r="270" spans="1:4" hidden="1" x14ac:dyDescent="0.35">
      <c r="A270">
        <v>46135</v>
      </c>
      <c r="B270" t="s">
        <v>1175</v>
      </c>
      <c r="C270" s="42">
        <v>13131</v>
      </c>
      <c r="D270">
        <f t="shared" si="4"/>
        <v>2.5964175330454487E-3</v>
      </c>
    </row>
    <row r="271" spans="1:4" hidden="1" x14ac:dyDescent="0.35">
      <c r="A271">
        <v>46136</v>
      </c>
      <c r="B271" t="s">
        <v>1176</v>
      </c>
      <c r="C271" s="42">
        <v>3584</v>
      </c>
      <c r="D271">
        <f t="shared" si="4"/>
        <v>7.0867111708437206E-4</v>
      </c>
    </row>
    <row r="272" spans="1:4" hidden="1" x14ac:dyDescent="0.35">
      <c r="A272">
        <v>46137</v>
      </c>
      <c r="B272" t="s">
        <v>1177</v>
      </c>
      <c r="C272">
        <v>295</v>
      </c>
      <c r="D272">
        <f t="shared" si="4"/>
        <v>5.833090946983531E-5</v>
      </c>
    </row>
    <row r="273" spans="1:4" hidden="1" x14ac:dyDescent="0.35">
      <c r="A273">
        <v>46138</v>
      </c>
      <c r="B273" t="s">
        <v>1178</v>
      </c>
      <c r="C273">
        <v>456</v>
      </c>
      <c r="D273">
        <f t="shared" si="4"/>
        <v>9.0165744807609835E-5</v>
      </c>
    </row>
    <row r="274" spans="1:4" hidden="1" x14ac:dyDescent="0.35">
      <c r="A274">
        <v>46139</v>
      </c>
      <c r="B274" t="s">
        <v>1179</v>
      </c>
      <c r="C274" s="42">
        <v>5902</v>
      </c>
      <c r="D274">
        <f t="shared" si="4"/>
        <v>1.1670136531897219E-3</v>
      </c>
    </row>
    <row r="275" spans="1:4" hidden="1" x14ac:dyDescent="0.35">
      <c r="A275">
        <v>46140</v>
      </c>
      <c r="B275" t="s">
        <v>1180</v>
      </c>
      <c r="C275">
        <v>531</v>
      </c>
      <c r="D275">
        <f t="shared" si="4"/>
        <v>1.0499563704570355E-4</v>
      </c>
    </row>
    <row r="276" spans="1:4" hidden="1" x14ac:dyDescent="0.35">
      <c r="A276">
        <v>46141</v>
      </c>
      <c r="B276" t="s">
        <v>1181</v>
      </c>
      <c r="C276">
        <v>501</v>
      </c>
      <c r="D276">
        <f t="shared" si="4"/>
        <v>9.9063680150466069E-5</v>
      </c>
    </row>
    <row r="277" spans="1:4" hidden="1" x14ac:dyDescent="0.35">
      <c r="A277">
        <v>46142</v>
      </c>
      <c r="B277" t="s">
        <v>1182</v>
      </c>
      <c r="C277">
        <v>834</v>
      </c>
      <c r="D277">
        <f t="shared" si="4"/>
        <v>1.6490840168760219E-4</v>
      </c>
    </row>
    <row r="278" spans="1:4" hidden="1" x14ac:dyDescent="0.35">
      <c r="A278">
        <v>46144</v>
      </c>
      <c r="B278" t="s">
        <v>1183</v>
      </c>
      <c r="C278">
        <v>769</v>
      </c>
      <c r="D278">
        <f t="shared" si="4"/>
        <v>1.5205582841458764E-4</v>
      </c>
    </row>
    <row r="279" spans="1:4" hidden="1" x14ac:dyDescent="0.35">
      <c r="A279">
        <v>46154</v>
      </c>
      <c r="B279" t="s">
        <v>1184</v>
      </c>
      <c r="C279" s="42">
        <v>1047</v>
      </c>
      <c r="D279">
        <f t="shared" si="4"/>
        <v>2.0702529564378837E-4</v>
      </c>
    </row>
    <row r="280" spans="1:4" hidden="1" x14ac:dyDescent="0.35">
      <c r="A280">
        <v>46155</v>
      </c>
      <c r="B280" t="s">
        <v>1185</v>
      </c>
      <c r="C280" s="42">
        <v>1130</v>
      </c>
      <c r="D280">
        <f t="shared" si="4"/>
        <v>2.2343704305394541E-4</v>
      </c>
    </row>
    <row r="281" spans="1:4" hidden="1" x14ac:dyDescent="0.35">
      <c r="A281">
        <v>46147</v>
      </c>
      <c r="B281" t="s">
        <v>1186</v>
      </c>
      <c r="C281" s="42">
        <v>23482</v>
      </c>
      <c r="D281">
        <f t="shared" si="4"/>
        <v>4.6431403937988907E-3</v>
      </c>
    </row>
    <row r="282" spans="1:4" hidden="1" x14ac:dyDescent="0.35">
      <c r="A282">
        <v>46152</v>
      </c>
      <c r="B282" t="s">
        <v>1187</v>
      </c>
      <c r="C282">
        <v>124</v>
      </c>
      <c r="D282">
        <f t="shared" si="4"/>
        <v>2.4518755166981622E-5</v>
      </c>
    </row>
    <row r="283" spans="1:4" hidden="1" x14ac:dyDescent="0.35">
      <c r="A283">
        <v>46153</v>
      </c>
      <c r="B283" t="s">
        <v>1188</v>
      </c>
      <c r="C283">
        <v>554</v>
      </c>
      <c r="D283">
        <f t="shared" si="4"/>
        <v>1.0954347066538563E-4</v>
      </c>
    </row>
    <row r="284" spans="1:4" hidden="1" x14ac:dyDescent="0.35">
      <c r="A284">
        <v>46151</v>
      </c>
      <c r="B284" t="s">
        <v>1189</v>
      </c>
      <c r="C284">
        <v>916</v>
      </c>
      <c r="D284">
        <f t="shared" si="4"/>
        <v>1.8112241720125133E-4</v>
      </c>
    </row>
    <row r="285" spans="1:4" hidden="1" x14ac:dyDescent="0.35">
      <c r="A285">
        <v>46156</v>
      </c>
      <c r="B285" t="s">
        <v>1190</v>
      </c>
      <c r="C285" s="42">
        <v>2653</v>
      </c>
      <c r="D285">
        <f t="shared" si="4"/>
        <v>5.2458272143550194E-4</v>
      </c>
    </row>
    <row r="286" spans="1:4" hidden="1" x14ac:dyDescent="0.35">
      <c r="A286">
        <v>46157</v>
      </c>
      <c r="B286" t="s">
        <v>1191</v>
      </c>
      <c r="C286" s="42">
        <v>3642</v>
      </c>
      <c r="D286">
        <f t="shared" si="4"/>
        <v>7.201395670818311E-4</v>
      </c>
    </row>
    <row r="287" spans="1:4" hidden="1" x14ac:dyDescent="0.35">
      <c r="A287">
        <v>46150</v>
      </c>
      <c r="B287" t="s">
        <v>1192</v>
      </c>
      <c r="C287" s="42">
        <v>2326</v>
      </c>
      <c r="D287">
        <f t="shared" si="4"/>
        <v>4.5992439127741331E-4</v>
      </c>
    </row>
    <row r="288" spans="1:4" hidden="1" x14ac:dyDescent="0.35">
      <c r="A288">
        <v>46148</v>
      </c>
      <c r="B288" t="s">
        <v>1193</v>
      </c>
      <c r="C288" s="42">
        <v>2035</v>
      </c>
      <c r="D288">
        <f t="shared" si="4"/>
        <v>4.0238440939360966E-4</v>
      </c>
    </row>
    <row r="289" spans="1:4" hidden="1" x14ac:dyDescent="0.35">
      <c r="A289">
        <v>46149</v>
      </c>
      <c r="B289" t="s">
        <v>1194</v>
      </c>
      <c r="C289">
        <v>505</v>
      </c>
      <c r="D289">
        <f t="shared" si="4"/>
        <v>9.9854607736497733E-5</v>
      </c>
    </row>
    <row r="290" spans="1:4" hidden="1" x14ac:dyDescent="0.35">
      <c r="A290">
        <v>46158</v>
      </c>
      <c r="B290" t="s">
        <v>1195</v>
      </c>
      <c r="C290" s="42">
        <v>1300</v>
      </c>
      <c r="D290">
        <f t="shared" si="4"/>
        <v>2.5705146546029119E-4</v>
      </c>
    </row>
    <row r="291" spans="1:4" hidden="1" x14ac:dyDescent="0.35">
      <c r="A291">
        <v>46159</v>
      </c>
      <c r="B291" t="s">
        <v>1196</v>
      </c>
      <c r="C291" s="42">
        <v>31240</v>
      </c>
      <c r="D291">
        <f t="shared" si="4"/>
        <v>6.1771444469073053E-3</v>
      </c>
    </row>
    <row r="292" spans="1:4" hidden="1" x14ac:dyDescent="0.35">
      <c r="A292">
        <v>46160</v>
      </c>
      <c r="B292" t="s">
        <v>1197</v>
      </c>
      <c r="C292" s="42">
        <v>2436</v>
      </c>
      <c r="D292">
        <f t="shared" si="4"/>
        <v>4.816748998932841E-4</v>
      </c>
    </row>
    <row r="293" spans="1:4" hidden="1" x14ac:dyDescent="0.35">
      <c r="A293">
        <v>46161</v>
      </c>
      <c r="B293" t="s">
        <v>1198</v>
      </c>
      <c r="C293" s="42">
        <v>1848</v>
      </c>
      <c r="D293">
        <f t="shared" si="4"/>
        <v>3.6540854474662932E-4</v>
      </c>
    </row>
    <row r="294" spans="1:4" hidden="1" x14ac:dyDescent="0.35">
      <c r="A294">
        <v>46162</v>
      </c>
      <c r="B294" t="s">
        <v>1199</v>
      </c>
      <c r="C294" s="42">
        <v>1610</v>
      </c>
      <c r="D294">
        <f t="shared" si="4"/>
        <v>3.1834835337774523E-4</v>
      </c>
    </row>
    <row r="295" spans="1:4" hidden="1" x14ac:dyDescent="0.35">
      <c r="A295">
        <v>46163</v>
      </c>
      <c r="B295" t="s">
        <v>1200</v>
      </c>
      <c r="C295" s="42">
        <v>2555</v>
      </c>
      <c r="D295">
        <f t="shared" si="4"/>
        <v>5.0520499557772615E-4</v>
      </c>
    </row>
    <row r="296" spans="1:4" hidden="1" x14ac:dyDescent="0.35">
      <c r="A296">
        <v>46164</v>
      </c>
      <c r="B296" t="s">
        <v>1201</v>
      </c>
      <c r="C296" s="42">
        <v>16163</v>
      </c>
      <c r="D296">
        <f t="shared" si="4"/>
        <v>3.1959406432574512E-3</v>
      </c>
    </row>
    <row r="297" spans="1:4" hidden="1" x14ac:dyDescent="0.35">
      <c r="A297">
        <v>46165</v>
      </c>
      <c r="B297" t="s">
        <v>1202</v>
      </c>
      <c r="C297" s="42">
        <v>9782</v>
      </c>
      <c r="D297">
        <f t="shared" si="4"/>
        <v>1.9342134116404372E-3</v>
      </c>
    </row>
    <row r="298" spans="1:4" hidden="1" x14ac:dyDescent="0.35">
      <c r="A298">
        <v>46166</v>
      </c>
      <c r="B298" t="s">
        <v>1203</v>
      </c>
      <c r="C298" s="42">
        <v>10970</v>
      </c>
      <c r="D298">
        <f t="shared" si="4"/>
        <v>2.1691189046918417E-3</v>
      </c>
    </row>
    <row r="299" spans="1:4" hidden="1" x14ac:dyDescent="0.35">
      <c r="A299">
        <v>46167</v>
      </c>
      <c r="B299" t="s">
        <v>1204</v>
      </c>
      <c r="C299">
        <v>331</v>
      </c>
      <c r="D299">
        <f t="shared" si="4"/>
        <v>6.5449257744120293E-5</v>
      </c>
    </row>
    <row r="300" spans="1:4" hidden="1" x14ac:dyDescent="0.35">
      <c r="A300">
        <v>46168</v>
      </c>
      <c r="B300" t="s">
        <v>1205</v>
      </c>
      <c r="C300" s="42">
        <v>2685</v>
      </c>
      <c r="D300">
        <f t="shared" si="4"/>
        <v>5.3091014212375525E-4</v>
      </c>
    </row>
    <row r="301" spans="1:4" hidden="1" x14ac:dyDescent="0.35">
      <c r="A301">
        <v>46169</v>
      </c>
      <c r="B301" t="s">
        <v>1206</v>
      </c>
      <c r="C301" s="42">
        <v>44320</v>
      </c>
      <c r="D301">
        <f t="shared" si="4"/>
        <v>8.76347765323085E-3</v>
      </c>
    </row>
    <row r="302" spans="1:4" hidden="1" x14ac:dyDescent="0.35">
      <c r="A302">
        <v>46170</v>
      </c>
      <c r="B302" t="s">
        <v>1207</v>
      </c>
      <c r="C302" s="42">
        <v>4307</v>
      </c>
      <c r="D302">
        <f t="shared" si="4"/>
        <v>8.5163127825959553E-4</v>
      </c>
    </row>
    <row r="303" spans="1:4" hidden="1" x14ac:dyDescent="0.35">
      <c r="A303">
        <v>46171</v>
      </c>
      <c r="B303" t="s">
        <v>1208</v>
      </c>
      <c r="C303" s="42">
        <v>22021</v>
      </c>
      <c r="D303">
        <f t="shared" si="4"/>
        <v>4.354254093000825E-3</v>
      </c>
    </row>
    <row r="304" spans="1:4" hidden="1" x14ac:dyDescent="0.35">
      <c r="A304">
        <v>46173</v>
      </c>
      <c r="B304" t="s">
        <v>1209</v>
      </c>
      <c r="C304" s="42">
        <v>1635</v>
      </c>
      <c r="D304">
        <f t="shared" si="4"/>
        <v>3.2329165079044315E-4</v>
      </c>
    </row>
    <row r="305" spans="1:4" hidden="1" x14ac:dyDescent="0.35">
      <c r="A305">
        <v>46174</v>
      </c>
      <c r="B305" t="s">
        <v>1210</v>
      </c>
      <c r="C305" s="42">
        <v>1155</v>
      </c>
      <c r="D305">
        <f t="shared" si="4"/>
        <v>2.2838034046664333E-4</v>
      </c>
    </row>
    <row r="306" spans="1:4" hidden="1" x14ac:dyDescent="0.35">
      <c r="A306">
        <v>46175</v>
      </c>
      <c r="B306" t="s">
        <v>1211</v>
      </c>
      <c r="C306">
        <v>585</v>
      </c>
      <c r="D306">
        <f t="shared" si="4"/>
        <v>1.1567315945713103E-4</v>
      </c>
    </row>
    <row r="307" spans="1:4" hidden="1" x14ac:dyDescent="0.35">
      <c r="A307">
        <v>46176</v>
      </c>
      <c r="B307" t="s">
        <v>1212</v>
      </c>
      <c r="C307" s="42">
        <v>2956</v>
      </c>
      <c r="D307">
        <f t="shared" si="4"/>
        <v>5.8449548607740053E-4</v>
      </c>
    </row>
    <row r="308" spans="1:4" hidden="1" x14ac:dyDescent="0.35">
      <c r="A308">
        <v>46172</v>
      </c>
      <c r="B308" t="s">
        <v>1213</v>
      </c>
      <c r="C308" s="42">
        <v>8188</v>
      </c>
      <c r="D308">
        <f t="shared" si="4"/>
        <v>1.6190287686068186E-3</v>
      </c>
    </row>
    <row r="309" spans="1:4" hidden="1" x14ac:dyDescent="0.35">
      <c r="A309">
        <v>46177</v>
      </c>
      <c r="B309" t="s">
        <v>1214</v>
      </c>
      <c r="C309" s="42">
        <v>6596</v>
      </c>
      <c r="D309">
        <f t="shared" si="4"/>
        <v>1.3042395893662158E-3</v>
      </c>
    </row>
    <row r="310" spans="1:4" hidden="1" x14ac:dyDescent="0.35">
      <c r="A310">
        <v>46178</v>
      </c>
      <c r="B310" t="s">
        <v>1215</v>
      </c>
      <c r="C310" s="42">
        <v>6897</v>
      </c>
      <c r="D310">
        <f t="shared" si="4"/>
        <v>1.3637568902150987E-3</v>
      </c>
    </row>
    <row r="311" spans="1:4" hidden="1" x14ac:dyDescent="0.35">
      <c r="A311">
        <v>46179</v>
      </c>
      <c r="B311" t="s">
        <v>1216</v>
      </c>
      <c r="C311" s="42">
        <v>3004</v>
      </c>
      <c r="D311">
        <f t="shared" si="4"/>
        <v>5.939866171097805E-4</v>
      </c>
    </row>
    <row r="312" spans="1:4" hidden="1" x14ac:dyDescent="0.35">
      <c r="A312">
        <v>46180</v>
      </c>
      <c r="B312" t="s">
        <v>1217</v>
      </c>
      <c r="C312">
        <v>857</v>
      </c>
      <c r="D312">
        <f t="shared" si="4"/>
        <v>1.6945623530728428E-4</v>
      </c>
    </row>
    <row r="313" spans="1:4" hidden="1" x14ac:dyDescent="0.35">
      <c r="A313">
        <v>46181</v>
      </c>
      <c r="B313" t="s">
        <v>1218</v>
      </c>
      <c r="C313" s="42">
        <v>25224</v>
      </c>
      <c r="D313">
        <f t="shared" si="4"/>
        <v>4.9875893575156809E-3</v>
      </c>
    </row>
    <row r="314" spans="1:4" hidden="1" x14ac:dyDescent="0.35">
      <c r="A314">
        <v>46183</v>
      </c>
      <c r="B314" t="s">
        <v>1219</v>
      </c>
      <c r="C314" s="42">
        <v>8320</v>
      </c>
      <c r="D314">
        <f t="shared" si="4"/>
        <v>1.6451293789458636E-3</v>
      </c>
    </row>
    <row r="315" spans="1:4" hidden="1" x14ac:dyDescent="0.35">
      <c r="A315">
        <v>46182</v>
      </c>
      <c r="B315" t="s">
        <v>1220</v>
      </c>
      <c r="C315" s="42">
        <v>1828</v>
      </c>
      <c r="D315">
        <f t="shared" si="4"/>
        <v>3.61453906816471E-4</v>
      </c>
    </row>
    <row r="316" spans="1:4" hidden="1" x14ac:dyDescent="0.35">
      <c r="A316">
        <v>46184</v>
      </c>
      <c r="B316" t="s">
        <v>1221</v>
      </c>
      <c r="C316" s="42">
        <v>35761</v>
      </c>
      <c r="D316">
        <f t="shared" si="4"/>
        <v>7.0710903510195948E-3</v>
      </c>
    </row>
    <row r="317" spans="1:4" hidden="1" x14ac:dyDescent="0.35">
      <c r="A317">
        <v>46185</v>
      </c>
      <c r="B317" t="s">
        <v>1222</v>
      </c>
      <c r="C317">
        <v>422</v>
      </c>
      <c r="D317">
        <f t="shared" si="4"/>
        <v>8.3442860326340677E-5</v>
      </c>
    </row>
    <row r="318" spans="1:4" hidden="1" x14ac:dyDescent="0.35">
      <c r="A318">
        <v>46186</v>
      </c>
      <c r="B318" t="s">
        <v>1223</v>
      </c>
      <c r="C318" s="42">
        <v>26514</v>
      </c>
      <c r="D318">
        <f t="shared" si="4"/>
        <v>5.2426635040108928E-3</v>
      </c>
    </row>
    <row r="319" spans="1:4" hidden="1" x14ac:dyDescent="0.35">
      <c r="A319">
        <v>46187</v>
      </c>
      <c r="B319" t="s">
        <v>1224</v>
      </c>
      <c r="C319" s="42">
        <v>1709</v>
      </c>
      <c r="D319">
        <f t="shared" si="4"/>
        <v>3.3792381113202896E-4</v>
      </c>
    </row>
    <row r="320" spans="1:4" hidden="1" x14ac:dyDescent="0.35">
      <c r="A320">
        <v>46188</v>
      </c>
      <c r="B320" t="s">
        <v>1225</v>
      </c>
      <c r="C320" s="42">
        <v>1018</v>
      </c>
      <c r="D320">
        <f t="shared" si="4"/>
        <v>2.0129107064505879E-4</v>
      </c>
    </row>
    <row r="321" spans="1:4" hidden="1" x14ac:dyDescent="0.35">
      <c r="A321">
        <v>46189</v>
      </c>
      <c r="B321" t="s">
        <v>1226</v>
      </c>
      <c r="C321">
        <v>567</v>
      </c>
      <c r="D321">
        <f t="shared" si="4"/>
        <v>1.1211398531998854E-4</v>
      </c>
    </row>
    <row r="322" spans="1:4" x14ac:dyDescent="0.35">
      <c r="A322">
        <v>46190</v>
      </c>
      <c r="B322" t="s">
        <v>1227</v>
      </c>
      <c r="C322" s="42">
        <v>71035</v>
      </c>
      <c r="D322">
        <f>C322/$C$3*100</f>
        <v>1.4045885268439835</v>
      </c>
    </row>
    <row r="323" spans="1:4" hidden="1" x14ac:dyDescent="0.35">
      <c r="A323">
        <v>46191</v>
      </c>
      <c r="B323" t="s">
        <v>1228</v>
      </c>
      <c r="C323" s="42">
        <v>2814</v>
      </c>
      <c r="D323">
        <f t="shared" si="4"/>
        <v>5.5641755677327649E-4</v>
      </c>
    </row>
    <row r="324" spans="1:4" hidden="1" x14ac:dyDescent="0.35">
      <c r="A324">
        <v>46192</v>
      </c>
      <c r="B324" t="s">
        <v>1229</v>
      </c>
      <c r="C324">
        <v>999</v>
      </c>
      <c r="D324">
        <f t="shared" si="4"/>
        <v>1.9753416461140838E-4</v>
      </c>
    </row>
    <row r="325" spans="1:4" hidden="1" x14ac:dyDescent="0.35">
      <c r="A325">
        <v>46193</v>
      </c>
      <c r="B325" t="s">
        <v>1230</v>
      </c>
      <c r="C325" s="42">
        <v>11606</v>
      </c>
      <c r="D325">
        <f t="shared" ref="D325:D388" si="5">C325/$C$3</f>
        <v>2.2948763908708764E-3</v>
      </c>
    </row>
    <row r="326" spans="1:4" hidden="1" x14ac:dyDescent="0.35">
      <c r="A326">
        <v>46194</v>
      </c>
      <c r="B326" t="s">
        <v>1231</v>
      </c>
      <c r="C326" s="42">
        <v>21263</v>
      </c>
      <c r="D326">
        <f t="shared" si="5"/>
        <v>4.2043733154478241E-3</v>
      </c>
    </row>
    <row r="327" spans="1:4" hidden="1" x14ac:dyDescent="0.35">
      <c r="A327">
        <v>46195</v>
      </c>
      <c r="B327" t="s">
        <v>1232</v>
      </c>
      <c r="C327" s="42">
        <v>2740</v>
      </c>
      <c r="D327">
        <f t="shared" si="5"/>
        <v>5.4178539643169067E-4</v>
      </c>
    </row>
    <row r="328" spans="1:4" hidden="1" x14ac:dyDescent="0.35">
      <c r="A328">
        <v>46196</v>
      </c>
      <c r="B328" t="s">
        <v>1233</v>
      </c>
      <c r="C328">
        <v>157</v>
      </c>
      <c r="D328">
        <f t="shared" si="5"/>
        <v>3.1043907751742861E-5</v>
      </c>
    </row>
    <row r="329" spans="1:4" hidden="1" x14ac:dyDescent="0.35">
      <c r="A329">
        <v>46199</v>
      </c>
      <c r="B329" t="s">
        <v>1234</v>
      </c>
      <c r="C329" s="42">
        <v>8128</v>
      </c>
      <c r="D329">
        <f t="shared" si="5"/>
        <v>1.6071648548163437E-3</v>
      </c>
    </row>
    <row r="330" spans="1:4" hidden="1" x14ac:dyDescent="0.35">
      <c r="A330">
        <v>46202</v>
      </c>
      <c r="B330" t="s">
        <v>1235</v>
      </c>
      <c r="C330" s="42">
        <v>24858</v>
      </c>
      <c r="D330">
        <f t="shared" si="5"/>
        <v>4.9152194833937835E-3</v>
      </c>
    </row>
    <row r="331" spans="1:4" hidden="1" x14ac:dyDescent="0.35">
      <c r="A331">
        <v>46200</v>
      </c>
      <c r="B331" t="s">
        <v>1236</v>
      </c>
      <c r="C331" s="42">
        <v>2515</v>
      </c>
      <c r="D331">
        <f t="shared" si="5"/>
        <v>4.972957197174095E-4</v>
      </c>
    </row>
    <row r="332" spans="1:4" hidden="1" x14ac:dyDescent="0.35">
      <c r="A332">
        <v>46203</v>
      </c>
      <c r="B332" t="s">
        <v>1237</v>
      </c>
      <c r="C332" s="42">
        <v>4452</v>
      </c>
      <c r="D332">
        <f t="shared" si="5"/>
        <v>8.8030240325324331E-4</v>
      </c>
    </row>
    <row r="333" spans="1:4" hidden="1" x14ac:dyDescent="0.35">
      <c r="A333">
        <v>46197</v>
      </c>
      <c r="B333" t="s">
        <v>1238</v>
      </c>
      <c r="C333" s="42">
        <v>2503</v>
      </c>
      <c r="D333">
        <f t="shared" si="5"/>
        <v>4.9492293695931446E-4</v>
      </c>
    </row>
    <row r="334" spans="1:4" hidden="1" x14ac:dyDescent="0.35">
      <c r="A334">
        <v>46198</v>
      </c>
      <c r="B334" t="s">
        <v>1239</v>
      </c>
      <c r="C334" s="42">
        <v>1060</v>
      </c>
      <c r="D334">
        <f t="shared" si="5"/>
        <v>2.0959581029839127E-4</v>
      </c>
    </row>
    <row r="335" spans="1:4" hidden="1" x14ac:dyDescent="0.35">
      <c r="A335">
        <v>46205</v>
      </c>
      <c r="B335" t="s">
        <v>1240</v>
      </c>
      <c r="C335" s="42">
        <v>19737</v>
      </c>
      <c r="D335">
        <f t="shared" si="5"/>
        <v>3.9026344413767441E-3</v>
      </c>
    </row>
    <row r="336" spans="1:4" hidden="1" x14ac:dyDescent="0.35">
      <c r="A336">
        <v>46201</v>
      </c>
      <c r="B336" t="s">
        <v>1241</v>
      </c>
      <c r="C336">
        <v>61</v>
      </c>
      <c r="D336">
        <f t="shared" si="5"/>
        <v>1.2061645686982893E-5</v>
      </c>
    </row>
    <row r="337" spans="1:4" hidden="1" x14ac:dyDescent="0.35">
      <c r="A337">
        <v>46204</v>
      </c>
      <c r="B337" t="s">
        <v>1242</v>
      </c>
      <c r="C337" s="42">
        <v>8718</v>
      </c>
      <c r="D337">
        <f t="shared" si="5"/>
        <v>1.7238266737560142E-3</v>
      </c>
    </row>
    <row r="338" spans="1:4" hidden="1" x14ac:dyDescent="0.35">
      <c r="A338">
        <v>46101</v>
      </c>
      <c r="B338" t="s">
        <v>1243</v>
      </c>
      <c r="C338" s="42">
        <v>1024</v>
      </c>
      <c r="D338">
        <f t="shared" si="5"/>
        <v>2.0247746202410629E-4</v>
      </c>
    </row>
    <row r="339" spans="1:4" hidden="1" x14ac:dyDescent="0.35">
      <c r="A339">
        <v>46102</v>
      </c>
      <c r="B339" t="s">
        <v>1244</v>
      </c>
      <c r="C339" s="42">
        <v>25062</v>
      </c>
      <c r="D339">
        <f t="shared" si="5"/>
        <v>4.9555567902813983E-3</v>
      </c>
    </row>
    <row r="340" spans="1:4" hidden="1" x14ac:dyDescent="0.35">
      <c r="A340">
        <v>46103</v>
      </c>
      <c r="B340" t="s">
        <v>1245</v>
      </c>
      <c r="C340" s="42">
        <v>1655</v>
      </c>
      <c r="D340">
        <f t="shared" si="5"/>
        <v>3.2724628872060147E-4</v>
      </c>
    </row>
    <row r="341" spans="1:4" hidden="1" x14ac:dyDescent="0.35">
      <c r="A341">
        <v>46104</v>
      </c>
      <c r="B341" t="s">
        <v>1246</v>
      </c>
      <c r="C341" s="42">
        <v>2202</v>
      </c>
      <c r="D341">
        <f t="shared" si="5"/>
        <v>4.3540563611043167E-4</v>
      </c>
    </row>
    <row r="342" spans="1:4" hidden="1" x14ac:dyDescent="0.35">
      <c r="A342">
        <v>46206</v>
      </c>
      <c r="B342" t="s">
        <v>1247</v>
      </c>
      <c r="C342">
        <v>663</v>
      </c>
      <c r="D342">
        <f t="shared" si="5"/>
        <v>1.3109624738474852E-4</v>
      </c>
    </row>
    <row r="343" spans="1:4" hidden="1" x14ac:dyDescent="0.35">
      <c r="A343">
        <v>46207</v>
      </c>
      <c r="B343" t="s">
        <v>1248</v>
      </c>
      <c r="C343" s="42">
        <v>9149</v>
      </c>
      <c r="D343">
        <f t="shared" si="5"/>
        <v>1.8090491211509262E-3</v>
      </c>
    </row>
    <row r="344" spans="1:4" hidden="1" x14ac:dyDescent="0.35">
      <c r="A344">
        <v>46208</v>
      </c>
      <c r="B344" t="s">
        <v>1249</v>
      </c>
      <c r="C344" s="42">
        <v>1355</v>
      </c>
      <c r="D344">
        <f t="shared" si="5"/>
        <v>2.6792671976822656E-4</v>
      </c>
    </row>
    <row r="345" spans="1:4" hidden="1" x14ac:dyDescent="0.35">
      <c r="A345">
        <v>46209</v>
      </c>
      <c r="B345" t="s">
        <v>1250</v>
      </c>
      <c r="C345" s="42">
        <v>2355</v>
      </c>
      <c r="D345">
        <f t="shared" si="5"/>
        <v>4.6565861627614289E-4</v>
      </c>
    </row>
    <row r="346" spans="1:4" hidden="1" x14ac:dyDescent="0.35">
      <c r="A346">
        <v>46210</v>
      </c>
      <c r="B346" t="s">
        <v>1251</v>
      </c>
      <c r="C346">
        <v>442</v>
      </c>
      <c r="D346">
        <f t="shared" si="5"/>
        <v>8.7397498256498997E-5</v>
      </c>
    </row>
    <row r="347" spans="1:4" hidden="1" x14ac:dyDescent="0.35">
      <c r="A347">
        <v>46212</v>
      </c>
      <c r="B347" t="s">
        <v>1252</v>
      </c>
      <c r="C347" s="42">
        <v>2207</v>
      </c>
      <c r="D347">
        <f t="shared" si="5"/>
        <v>4.3639429559297127E-4</v>
      </c>
    </row>
    <row r="348" spans="1:4" hidden="1" x14ac:dyDescent="0.35">
      <c r="A348">
        <v>46211</v>
      </c>
      <c r="B348" t="s">
        <v>1253</v>
      </c>
      <c r="C348" s="42">
        <v>2531</v>
      </c>
      <c r="D348">
        <f t="shared" si="5"/>
        <v>5.0045943006153616E-4</v>
      </c>
    </row>
    <row r="349" spans="1:4" hidden="1" x14ac:dyDescent="0.35">
      <c r="A349">
        <v>46213</v>
      </c>
      <c r="B349" t="s">
        <v>1254</v>
      </c>
      <c r="C349" s="42">
        <v>20405</v>
      </c>
      <c r="D349">
        <f t="shared" si="5"/>
        <v>4.0347193482440317E-3</v>
      </c>
    </row>
    <row r="350" spans="1:4" hidden="1" x14ac:dyDescent="0.35">
      <c r="A350">
        <v>46214</v>
      </c>
      <c r="B350" t="s">
        <v>1255</v>
      </c>
      <c r="C350" s="42">
        <v>22761</v>
      </c>
      <c r="D350">
        <f t="shared" si="5"/>
        <v>4.5005756964166827E-3</v>
      </c>
    </row>
    <row r="351" spans="1:4" hidden="1" x14ac:dyDescent="0.35">
      <c r="A351">
        <v>46215</v>
      </c>
      <c r="B351" t="s">
        <v>1256</v>
      </c>
      <c r="C351" s="42">
        <v>1790</v>
      </c>
      <c r="D351">
        <f t="shared" si="5"/>
        <v>3.5394009474917017E-4</v>
      </c>
    </row>
    <row r="352" spans="1:4" hidden="1" x14ac:dyDescent="0.35">
      <c r="A352">
        <v>46216</v>
      </c>
      <c r="B352" t="s">
        <v>1257</v>
      </c>
      <c r="C352" s="42">
        <v>7314</v>
      </c>
      <c r="D352">
        <f t="shared" si="5"/>
        <v>1.4462110910588998E-3</v>
      </c>
    </row>
    <row r="353" spans="1:4" hidden="1" x14ac:dyDescent="0.35">
      <c r="A353">
        <v>46217</v>
      </c>
      <c r="B353" t="s">
        <v>1258</v>
      </c>
      <c r="C353" s="42">
        <v>1117</v>
      </c>
      <c r="D353">
        <f t="shared" si="5"/>
        <v>2.2086652839934249E-4</v>
      </c>
    </row>
    <row r="354" spans="1:4" hidden="1" x14ac:dyDescent="0.35">
      <c r="A354">
        <v>46218</v>
      </c>
      <c r="B354" t="s">
        <v>1259</v>
      </c>
      <c r="C354" s="42">
        <v>1293</v>
      </c>
      <c r="D354">
        <f t="shared" si="5"/>
        <v>2.5566734218473579E-4</v>
      </c>
    </row>
    <row r="355" spans="1:4" hidden="1" x14ac:dyDescent="0.35">
      <c r="A355">
        <v>46219</v>
      </c>
      <c r="B355" t="s">
        <v>1260</v>
      </c>
      <c r="C355">
        <v>174</v>
      </c>
      <c r="D355">
        <f t="shared" si="5"/>
        <v>3.4405349992377433E-5</v>
      </c>
    </row>
    <row r="356" spans="1:4" x14ac:dyDescent="0.35">
      <c r="A356">
        <v>46220</v>
      </c>
      <c r="B356" t="s">
        <v>1261</v>
      </c>
      <c r="C356" s="42">
        <v>67173</v>
      </c>
      <c r="D356">
        <f>C356/$C$3*100</f>
        <v>1.3282244684126261</v>
      </c>
    </row>
    <row r="357" spans="1:4" hidden="1" x14ac:dyDescent="0.35">
      <c r="A357">
        <v>46221</v>
      </c>
      <c r="B357" t="s">
        <v>1262</v>
      </c>
      <c r="C357">
        <v>418</v>
      </c>
      <c r="D357">
        <f t="shared" si="5"/>
        <v>8.2651932740309013E-5</v>
      </c>
    </row>
    <row r="358" spans="1:4" hidden="1" x14ac:dyDescent="0.35">
      <c r="A358">
        <v>46903</v>
      </c>
      <c r="B358" t="s">
        <v>1263</v>
      </c>
      <c r="C358" s="42">
        <v>9286</v>
      </c>
      <c r="D358">
        <f t="shared" si="5"/>
        <v>1.8361383909725106E-3</v>
      </c>
    </row>
    <row r="359" spans="1:4" hidden="1" x14ac:dyDescent="0.35">
      <c r="A359">
        <v>46222</v>
      </c>
      <c r="B359" t="s">
        <v>1264</v>
      </c>
      <c r="C359">
        <v>507</v>
      </c>
      <c r="D359">
        <f t="shared" si="5"/>
        <v>1.0025007152951357E-4</v>
      </c>
    </row>
    <row r="360" spans="1:4" hidden="1" x14ac:dyDescent="0.35">
      <c r="A360">
        <v>46223</v>
      </c>
      <c r="B360" t="s">
        <v>1265</v>
      </c>
      <c r="C360" s="42">
        <v>10391</v>
      </c>
      <c r="D360">
        <f t="shared" si="5"/>
        <v>2.0546321366137583E-3</v>
      </c>
    </row>
    <row r="361" spans="1:4" hidden="1" x14ac:dyDescent="0.35">
      <c r="A361">
        <v>46224</v>
      </c>
      <c r="B361" t="s">
        <v>1266</v>
      </c>
      <c r="C361">
        <v>164</v>
      </c>
      <c r="D361">
        <f t="shared" si="5"/>
        <v>3.2428031027298273E-5</v>
      </c>
    </row>
    <row r="362" spans="1:4" hidden="1" x14ac:dyDescent="0.35">
      <c r="A362">
        <v>46225</v>
      </c>
      <c r="B362" t="s">
        <v>1267</v>
      </c>
      <c r="C362">
        <v>384</v>
      </c>
      <c r="D362">
        <f t="shared" si="5"/>
        <v>7.5929048259039855E-5</v>
      </c>
    </row>
    <row r="363" spans="1:4" hidden="1" x14ac:dyDescent="0.35">
      <c r="A363">
        <v>46226</v>
      </c>
      <c r="B363" t="s">
        <v>1268</v>
      </c>
      <c r="C363">
        <v>30</v>
      </c>
      <c r="D363">
        <f t="shared" si="5"/>
        <v>5.9319568952374887E-6</v>
      </c>
    </row>
    <row r="364" spans="1:4" hidden="1" x14ac:dyDescent="0.35">
      <c r="A364">
        <v>46227</v>
      </c>
      <c r="B364" t="s">
        <v>1269</v>
      </c>
      <c r="C364" s="42">
        <v>1134</v>
      </c>
      <c r="D364">
        <f t="shared" si="5"/>
        <v>2.2422797063997708E-4</v>
      </c>
    </row>
    <row r="365" spans="1:4" hidden="1" x14ac:dyDescent="0.35">
      <c r="A365">
        <v>46228</v>
      </c>
      <c r="B365" t="s">
        <v>1270</v>
      </c>
      <c r="C365" s="42">
        <v>3187</v>
      </c>
      <c r="D365">
        <f t="shared" si="5"/>
        <v>6.3017155417072928E-4</v>
      </c>
    </row>
    <row r="366" spans="1:4" hidden="1" x14ac:dyDescent="0.35">
      <c r="A366">
        <v>46229</v>
      </c>
      <c r="B366" t="s">
        <v>1271</v>
      </c>
      <c r="C366" s="42">
        <v>1159</v>
      </c>
      <c r="D366">
        <f t="shared" si="5"/>
        <v>2.2917126805267499E-4</v>
      </c>
    </row>
    <row r="367" spans="1:4" hidden="1" x14ac:dyDescent="0.35">
      <c r="A367">
        <v>46230</v>
      </c>
      <c r="B367" t="s">
        <v>1272</v>
      </c>
      <c r="C367" s="42">
        <v>19078</v>
      </c>
      <c r="D367">
        <f t="shared" si="5"/>
        <v>3.7723291215780272E-3</v>
      </c>
    </row>
    <row r="368" spans="1:4" hidden="1" x14ac:dyDescent="0.35">
      <c r="A368">
        <v>46231</v>
      </c>
      <c r="B368" t="s">
        <v>1273</v>
      </c>
      <c r="C368" s="42">
        <v>3297</v>
      </c>
      <c r="D368">
        <f t="shared" si="5"/>
        <v>6.5192206278660001E-4</v>
      </c>
    </row>
    <row r="369" spans="1:4" hidden="1" x14ac:dyDescent="0.35">
      <c r="A369">
        <v>46232</v>
      </c>
      <c r="B369" t="s">
        <v>1274</v>
      </c>
      <c r="C369" s="42">
        <v>1105</v>
      </c>
      <c r="D369">
        <f t="shared" si="5"/>
        <v>2.184937456412475E-4</v>
      </c>
    </row>
    <row r="370" spans="1:4" hidden="1" x14ac:dyDescent="0.35">
      <c r="A370">
        <v>46233</v>
      </c>
      <c r="B370" t="s">
        <v>1275</v>
      </c>
      <c r="C370" s="42">
        <v>4881</v>
      </c>
      <c r="D370">
        <f t="shared" si="5"/>
        <v>9.651293868551394E-4</v>
      </c>
    </row>
    <row r="371" spans="1:4" hidden="1" x14ac:dyDescent="0.35">
      <c r="A371">
        <v>46234</v>
      </c>
      <c r="B371" t="s">
        <v>1276</v>
      </c>
      <c r="C371">
        <v>362</v>
      </c>
      <c r="D371">
        <f t="shared" si="5"/>
        <v>7.1578946535865703E-5</v>
      </c>
    </row>
    <row r="372" spans="1:4" hidden="1" x14ac:dyDescent="0.35">
      <c r="A372">
        <v>46235</v>
      </c>
      <c r="B372" t="s">
        <v>1277</v>
      </c>
      <c r="C372" s="42">
        <v>27566</v>
      </c>
      <c r="D372">
        <f t="shared" si="5"/>
        <v>5.4506774591372206E-3</v>
      </c>
    </row>
    <row r="373" spans="1:4" hidden="1" x14ac:dyDescent="0.35">
      <c r="A373">
        <v>46236</v>
      </c>
      <c r="B373" t="s">
        <v>1278</v>
      </c>
      <c r="C373" s="42">
        <v>1097</v>
      </c>
      <c r="D373">
        <f t="shared" si="5"/>
        <v>2.1691189046918417E-4</v>
      </c>
    </row>
    <row r="374" spans="1:4" hidden="1" x14ac:dyDescent="0.35">
      <c r="A374">
        <v>46237</v>
      </c>
      <c r="B374" t="s">
        <v>1279</v>
      </c>
      <c r="C374" s="42">
        <v>9224</v>
      </c>
      <c r="D374">
        <f t="shared" si="5"/>
        <v>1.82387901338902E-3</v>
      </c>
    </row>
    <row r="375" spans="1:4" hidden="1" x14ac:dyDescent="0.35">
      <c r="A375">
        <v>46238</v>
      </c>
      <c r="B375" t="s">
        <v>1280</v>
      </c>
      <c r="C375" s="42">
        <v>17254</v>
      </c>
      <c r="D375">
        <f t="shared" si="5"/>
        <v>3.411666142347588E-3</v>
      </c>
    </row>
    <row r="376" spans="1:4" hidden="1" x14ac:dyDescent="0.35">
      <c r="A376">
        <v>46239</v>
      </c>
      <c r="B376" t="s">
        <v>1281</v>
      </c>
      <c r="C376">
        <v>619</v>
      </c>
      <c r="D376">
        <f t="shared" si="5"/>
        <v>1.2239604393840018E-4</v>
      </c>
    </row>
    <row r="377" spans="1:4" hidden="1" x14ac:dyDescent="0.35">
      <c r="A377">
        <v>46240</v>
      </c>
      <c r="B377" t="s">
        <v>1282</v>
      </c>
      <c r="C377">
        <v>256</v>
      </c>
      <c r="D377">
        <f t="shared" si="5"/>
        <v>5.0619365506026573E-5</v>
      </c>
    </row>
    <row r="378" spans="1:4" hidden="1" x14ac:dyDescent="0.35">
      <c r="A378">
        <v>46241</v>
      </c>
      <c r="B378" t="s">
        <v>1283</v>
      </c>
      <c r="C378">
        <v>454</v>
      </c>
      <c r="D378">
        <f t="shared" si="5"/>
        <v>8.9770281014594003E-5</v>
      </c>
    </row>
    <row r="379" spans="1:4" hidden="1" x14ac:dyDescent="0.35">
      <c r="A379">
        <v>46242</v>
      </c>
      <c r="B379" t="s">
        <v>1284</v>
      </c>
      <c r="C379">
        <v>402</v>
      </c>
      <c r="D379">
        <f t="shared" si="5"/>
        <v>7.9488222396182357E-5</v>
      </c>
    </row>
    <row r="380" spans="1:4" hidden="1" x14ac:dyDescent="0.35">
      <c r="A380">
        <v>46243</v>
      </c>
      <c r="B380" t="s">
        <v>1285</v>
      </c>
      <c r="C380">
        <v>145</v>
      </c>
      <c r="D380">
        <f t="shared" si="5"/>
        <v>2.8671124993647862E-5</v>
      </c>
    </row>
    <row r="381" spans="1:4" x14ac:dyDescent="0.35">
      <c r="A381">
        <v>46244</v>
      </c>
      <c r="B381" t="s">
        <v>1286</v>
      </c>
      <c r="C381" s="42">
        <v>83962</v>
      </c>
      <c r="D381">
        <f>C381/$C$3*100</f>
        <v>1.6601965494597668</v>
      </c>
    </row>
    <row r="382" spans="1:4" hidden="1" x14ac:dyDescent="0.35">
      <c r="A382">
        <v>46245</v>
      </c>
      <c r="B382" t="s">
        <v>1287</v>
      </c>
      <c r="C382">
        <v>669</v>
      </c>
      <c r="D382">
        <f t="shared" si="5"/>
        <v>1.3228263876379601E-4</v>
      </c>
    </row>
    <row r="383" spans="1:4" hidden="1" x14ac:dyDescent="0.35">
      <c r="A383">
        <v>46246</v>
      </c>
      <c r="B383" t="s">
        <v>1288</v>
      </c>
      <c r="C383" s="42">
        <v>1287</v>
      </c>
      <c r="D383">
        <f t="shared" si="5"/>
        <v>2.5448095080568827E-4</v>
      </c>
    </row>
    <row r="384" spans="1:4" hidden="1" x14ac:dyDescent="0.35">
      <c r="A384">
        <v>46247</v>
      </c>
      <c r="B384" t="s">
        <v>1289</v>
      </c>
      <c r="C384" s="42">
        <v>1137</v>
      </c>
      <c r="D384">
        <f t="shared" si="5"/>
        <v>2.2482116632950084E-4</v>
      </c>
    </row>
    <row r="385" spans="1:4" hidden="1" x14ac:dyDescent="0.35">
      <c r="A385">
        <v>46248</v>
      </c>
      <c r="B385" t="s">
        <v>1290</v>
      </c>
      <c r="C385" s="42">
        <v>6722</v>
      </c>
      <c r="D385">
        <f t="shared" si="5"/>
        <v>1.3291538083262133E-3</v>
      </c>
    </row>
    <row r="386" spans="1:4" hidden="1" x14ac:dyDescent="0.35">
      <c r="A386">
        <v>46249</v>
      </c>
      <c r="B386" t="s">
        <v>1291</v>
      </c>
      <c r="C386" s="42">
        <v>11458</v>
      </c>
      <c r="D386">
        <f t="shared" si="5"/>
        <v>2.2656120701877048E-3</v>
      </c>
    </row>
    <row r="387" spans="1:4" x14ac:dyDescent="0.35">
      <c r="A387">
        <v>46250</v>
      </c>
      <c r="B387" t="s">
        <v>1292</v>
      </c>
      <c r="C387" s="42">
        <v>800215</v>
      </c>
      <c r="D387">
        <f>C387/$C$3*100</f>
        <v>15.822802956408225</v>
      </c>
    </row>
    <row r="388" spans="1:4" hidden="1" x14ac:dyDescent="0.35">
      <c r="A388">
        <v>46251</v>
      </c>
      <c r="B388" t="s">
        <v>1293</v>
      </c>
      <c r="C388" s="42">
        <v>3096</v>
      </c>
      <c r="D388">
        <f t="shared" si="5"/>
        <v>6.1217795158850883E-4</v>
      </c>
    </row>
    <row r="389" spans="1:4" hidden="1" x14ac:dyDescent="0.35">
      <c r="A389">
        <v>46252</v>
      </c>
      <c r="B389" t="s">
        <v>1294</v>
      </c>
      <c r="C389">
        <v>133</v>
      </c>
      <c r="D389">
        <f t="shared" ref="D389:D452" si="6">C389/$C$3</f>
        <v>2.6298342235552866E-5</v>
      </c>
    </row>
    <row r="390" spans="1:4" hidden="1" x14ac:dyDescent="0.35">
      <c r="A390">
        <v>46253</v>
      </c>
      <c r="B390" t="s">
        <v>1295</v>
      </c>
      <c r="C390">
        <v>154</v>
      </c>
      <c r="D390">
        <f t="shared" si="6"/>
        <v>3.0450712062219109E-5</v>
      </c>
    </row>
    <row r="391" spans="1:4" hidden="1" x14ac:dyDescent="0.35">
      <c r="A391">
        <v>46254</v>
      </c>
      <c r="B391" t="s">
        <v>1296</v>
      </c>
      <c r="C391" s="42">
        <v>1198</v>
      </c>
      <c r="D391">
        <f t="shared" si="6"/>
        <v>2.3688281201648373E-4</v>
      </c>
    </row>
    <row r="392" spans="1:4" hidden="1" x14ac:dyDescent="0.35">
      <c r="A392">
        <v>46255</v>
      </c>
      <c r="B392" t="s">
        <v>1297</v>
      </c>
      <c r="C392" s="42">
        <v>4370</v>
      </c>
      <c r="D392">
        <f t="shared" si="6"/>
        <v>8.6408838773959417E-4</v>
      </c>
    </row>
    <row r="393" spans="1:4" hidden="1" x14ac:dyDescent="0.35">
      <c r="A393">
        <v>46256</v>
      </c>
      <c r="B393" t="s">
        <v>1298</v>
      </c>
      <c r="C393" s="42">
        <v>9891</v>
      </c>
      <c r="D393">
        <f t="shared" si="6"/>
        <v>1.9557661883598003E-3</v>
      </c>
    </row>
    <row r="394" spans="1:4" hidden="1" x14ac:dyDescent="0.35">
      <c r="A394">
        <v>46257</v>
      </c>
      <c r="B394" t="s">
        <v>1299</v>
      </c>
      <c r="C394" s="42">
        <v>7054</v>
      </c>
      <c r="D394">
        <f t="shared" si="6"/>
        <v>1.3948007979668416E-3</v>
      </c>
    </row>
    <row r="395" spans="1:4" hidden="1" x14ac:dyDescent="0.35">
      <c r="A395">
        <v>46258</v>
      </c>
      <c r="B395" t="s">
        <v>1300</v>
      </c>
      <c r="C395" s="42">
        <v>3536</v>
      </c>
      <c r="D395">
        <f t="shared" si="6"/>
        <v>6.9917998605199198E-4</v>
      </c>
    </row>
    <row r="396" spans="1:4" hidden="1" x14ac:dyDescent="0.35">
      <c r="A396">
        <v>46259</v>
      </c>
      <c r="B396" t="s">
        <v>1301</v>
      </c>
      <c r="C396">
        <v>582</v>
      </c>
      <c r="D396">
        <f t="shared" si="6"/>
        <v>1.1507996376760728E-4</v>
      </c>
    </row>
    <row r="397" spans="1:4" hidden="1" x14ac:dyDescent="0.35">
      <c r="A397">
        <v>46260</v>
      </c>
      <c r="B397" t="s">
        <v>1302</v>
      </c>
      <c r="C397" s="42">
        <v>3412</v>
      </c>
      <c r="D397">
        <f t="shared" si="6"/>
        <v>6.7466123088501045E-4</v>
      </c>
    </row>
    <row r="398" spans="1:4" hidden="1" x14ac:dyDescent="0.35">
      <c r="A398">
        <v>46145</v>
      </c>
      <c r="B398" t="s">
        <v>1303</v>
      </c>
      <c r="C398" s="42">
        <v>29623</v>
      </c>
      <c r="D398">
        <f t="shared" si="6"/>
        <v>5.8574119702540046E-3</v>
      </c>
    </row>
    <row r="399" spans="1:4" hidden="1" x14ac:dyDescent="0.35">
      <c r="A399">
        <v>46143</v>
      </c>
      <c r="B399" t="s">
        <v>1304</v>
      </c>
      <c r="C399" s="42">
        <v>5720</v>
      </c>
      <c r="D399">
        <f t="shared" si="6"/>
        <v>1.1310264480252812E-3</v>
      </c>
    </row>
    <row r="400" spans="1:4" hidden="1" x14ac:dyDescent="0.35">
      <c r="A400">
        <v>46146</v>
      </c>
      <c r="B400" t="s">
        <v>1305</v>
      </c>
      <c r="C400" s="42">
        <v>2197</v>
      </c>
      <c r="D400">
        <f t="shared" si="6"/>
        <v>4.3441697662789208E-4</v>
      </c>
    </row>
    <row r="401" spans="1:4" hidden="1" x14ac:dyDescent="0.35">
      <c r="A401">
        <v>46110</v>
      </c>
      <c r="B401" t="s">
        <v>1306</v>
      </c>
      <c r="C401" s="42">
        <v>30197</v>
      </c>
      <c r="D401">
        <f t="shared" si="6"/>
        <v>5.9709100788495487E-3</v>
      </c>
    </row>
    <row r="402" spans="1:4" hidden="1" x14ac:dyDescent="0.35">
      <c r="A402">
        <v>46261</v>
      </c>
      <c r="B402" t="s">
        <v>1307</v>
      </c>
      <c r="C402" s="42">
        <v>2079</v>
      </c>
      <c r="D402">
        <f t="shared" si="6"/>
        <v>4.1108461283995796E-4</v>
      </c>
    </row>
    <row r="403" spans="1:4" hidden="1" x14ac:dyDescent="0.35">
      <c r="A403">
        <v>46262</v>
      </c>
      <c r="B403" t="s">
        <v>1308</v>
      </c>
      <c r="C403">
        <v>221</v>
      </c>
      <c r="D403">
        <f t="shared" si="6"/>
        <v>4.3698749128249499E-5</v>
      </c>
    </row>
    <row r="404" spans="1:4" hidden="1" x14ac:dyDescent="0.35">
      <c r="A404">
        <v>46263</v>
      </c>
      <c r="B404" t="s">
        <v>1309</v>
      </c>
      <c r="C404">
        <v>346</v>
      </c>
      <c r="D404">
        <f t="shared" si="6"/>
        <v>6.8415236191739034E-5</v>
      </c>
    </row>
    <row r="405" spans="1:4" hidden="1" x14ac:dyDescent="0.35">
      <c r="A405">
        <v>3002</v>
      </c>
      <c r="B405" t="s">
        <v>1310</v>
      </c>
      <c r="C405" s="42">
        <v>4794</v>
      </c>
      <c r="D405">
        <f t="shared" si="6"/>
        <v>9.4792671185895067E-4</v>
      </c>
    </row>
    <row r="406" spans="1:4" hidden="1" x14ac:dyDescent="0.35">
      <c r="A406">
        <v>3003</v>
      </c>
      <c r="B406" t="s">
        <v>1311</v>
      </c>
      <c r="C406">
        <v>564</v>
      </c>
      <c r="D406">
        <f t="shared" si="6"/>
        <v>1.1152078963046479E-4</v>
      </c>
    </row>
    <row r="407" spans="1:4" hidden="1" x14ac:dyDescent="0.35">
      <c r="A407">
        <v>3004</v>
      </c>
      <c r="B407" t="s">
        <v>1312</v>
      </c>
      <c r="C407">
        <v>986</v>
      </c>
      <c r="D407">
        <f t="shared" si="6"/>
        <v>1.9496364995680545E-4</v>
      </c>
    </row>
    <row r="408" spans="1:4" hidden="1" x14ac:dyDescent="0.35">
      <c r="A408">
        <v>3005</v>
      </c>
      <c r="B408" t="s">
        <v>1313</v>
      </c>
      <c r="C408" s="42">
        <v>12474</v>
      </c>
      <c r="D408">
        <f t="shared" si="6"/>
        <v>2.4665076770397478E-3</v>
      </c>
    </row>
    <row r="409" spans="1:4" hidden="1" x14ac:dyDescent="0.35">
      <c r="A409">
        <v>3006</v>
      </c>
      <c r="B409" t="s">
        <v>1314</v>
      </c>
      <c r="C409" s="42">
        <v>1302</v>
      </c>
      <c r="D409">
        <f t="shared" si="6"/>
        <v>2.5744692925330699E-4</v>
      </c>
    </row>
    <row r="410" spans="1:4" hidden="1" x14ac:dyDescent="0.35">
      <c r="A410">
        <v>3007</v>
      </c>
      <c r="B410" t="s">
        <v>1315</v>
      </c>
      <c r="C410">
        <v>226</v>
      </c>
      <c r="D410">
        <f t="shared" si="6"/>
        <v>4.4687408610789086E-5</v>
      </c>
    </row>
    <row r="411" spans="1:4" hidden="1" x14ac:dyDescent="0.35">
      <c r="A411">
        <v>3008</v>
      </c>
      <c r="B411" t="s">
        <v>1316</v>
      </c>
      <c r="C411">
        <v>177</v>
      </c>
      <c r="D411">
        <f t="shared" si="6"/>
        <v>3.4998545681901188E-5</v>
      </c>
    </row>
    <row r="412" spans="1:4" x14ac:dyDescent="0.35">
      <c r="A412">
        <v>3009</v>
      </c>
      <c r="B412" t="s">
        <v>1317</v>
      </c>
      <c r="C412" s="42">
        <v>59354</v>
      </c>
      <c r="D412">
        <f>C412/$C$3*100</f>
        <v>1.1736178985330863</v>
      </c>
    </row>
    <row r="413" spans="1:4" hidden="1" x14ac:dyDescent="0.35">
      <c r="A413">
        <v>3010</v>
      </c>
      <c r="B413" t="s">
        <v>1318</v>
      </c>
      <c r="C413">
        <v>406</v>
      </c>
      <c r="D413">
        <f t="shared" si="6"/>
        <v>8.0279149982214021E-5</v>
      </c>
    </row>
    <row r="414" spans="1:4" hidden="1" x14ac:dyDescent="0.35">
      <c r="A414">
        <v>3011</v>
      </c>
      <c r="B414" t="s">
        <v>1319</v>
      </c>
      <c r="C414" s="42">
        <v>20042</v>
      </c>
      <c r="D414">
        <f t="shared" si="6"/>
        <v>3.9629426698116581E-3</v>
      </c>
    </row>
    <row r="415" spans="1:4" hidden="1" x14ac:dyDescent="0.35">
      <c r="A415">
        <v>3012</v>
      </c>
      <c r="B415" t="s">
        <v>1320</v>
      </c>
      <c r="C415" s="42">
        <v>3125</v>
      </c>
      <c r="D415">
        <f t="shared" si="6"/>
        <v>6.1791217658723841E-4</v>
      </c>
    </row>
    <row r="416" spans="1:4" hidden="1" x14ac:dyDescent="0.35">
      <c r="A416">
        <v>3013</v>
      </c>
      <c r="B416" t="s">
        <v>1321</v>
      </c>
      <c r="C416" s="42">
        <v>1326</v>
      </c>
      <c r="D416">
        <f t="shared" si="6"/>
        <v>2.6219249476949703E-4</v>
      </c>
    </row>
    <row r="417" spans="1:4" x14ac:dyDescent="0.35">
      <c r="A417">
        <v>3014</v>
      </c>
      <c r="B417" t="s">
        <v>1322</v>
      </c>
      <c r="C417" s="42">
        <v>337482</v>
      </c>
      <c r="D417">
        <f>C417/$C$3*100</f>
        <v>6.6730955897284598</v>
      </c>
    </row>
    <row r="418" spans="1:4" hidden="1" x14ac:dyDescent="0.35">
      <c r="A418">
        <v>3015</v>
      </c>
      <c r="B418" t="s">
        <v>1323</v>
      </c>
      <c r="C418" s="42">
        <v>21208</v>
      </c>
      <c r="D418">
        <f t="shared" si="6"/>
        <v>4.1934980611398887E-3</v>
      </c>
    </row>
    <row r="419" spans="1:4" hidden="1" x14ac:dyDescent="0.35">
      <c r="A419">
        <v>3016</v>
      </c>
      <c r="B419" t="s">
        <v>1324</v>
      </c>
      <c r="C419">
        <v>109</v>
      </c>
      <c r="D419">
        <f t="shared" si="6"/>
        <v>2.1552776719362875E-5</v>
      </c>
    </row>
    <row r="420" spans="1:4" hidden="1" x14ac:dyDescent="0.35">
      <c r="A420">
        <v>3017</v>
      </c>
      <c r="B420" t="s">
        <v>1325</v>
      </c>
      <c r="C420">
        <v>493</v>
      </c>
      <c r="D420">
        <f t="shared" si="6"/>
        <v>9.7481824978402727E-5</v>
      </c>
    </row>
    <row r="421" spans="1:4" hidden="1" x14ac:dyDescent="0.35">
      <c r="A421">
        <v>3018</v>
      </c>
      <c r="B421" t="s">
        <v>1326</v>
      </c>
      <c r="C421" s="42">
        <v>22558</v>
      </c>
      <c r="D421">
        <f t="shared" si="6"/>
        <v>4.4604361214255761E-3</v>
      </c>
    </row>
    <row r="422" spans="1:4" hidden="1" x14ac:dyDescent="0.35">
      <c r="A422">
        <v>3019</v>
      </c>
      <c r="B422" t="s">
        <v>1327</v>
      </c>
      <c r="C422" s="42">
        <v>20804</v>
      </c>
      <c r="D422">
        <f t="shared" si="6"/>
        <v>4.113614374950691E-3</v>
      </c>
    </row>
    <row r="423" spans="1:4" hidden="1" x14ac:dyDescent="0.35">
      <c r="A423">
        <v>3001</v>
      </c>
      <c r="B423" t="s">
        <v>1328</v>
      </c>
      <c r="C423">
        <v>611</v>
      </c>
      <c r="D423">
        <f t="shared" si="6"/>
        <v>1.2081418876633686E-4</v>
      </c>
    </row>
    <row r="424" spans="1:4" hidden="1" x14ac:dyDescent="0.35">
      <c r="A424">
        <v>3020</v>
      </c>
      <c r="B424" t="s">
        <v>1329</v>
      </c>
      <c r="C424">
        <v>128</v>
      </c>
      <c r="D424">
        <f t="shared" si="6"/>
        <v>2.5309682753013286E-5</v>
      </c>
    </row>
    <row r="425" spans="1:4" hidden="1" x14ac:dyDescent="0.35">
      <c r="A425">
        <v>3021</v>
      </c>
      <c r="B425" t="s">
        <v>1330</v>
      </c>
      <c r="C425" s="42">
        <v>7090</v>
      </c>
      <c r="D425">
        <f t="shared" si="6"/>
        <v>1.4019191462411266E-3</v>
      </c>
    </row>
    <row r="426" spans="1:4" hidden="1" x14ac:dyDescent="0.35">
      <c r="A426">
        <v>3022</v>
      </c>
      <c r="B426" t="s">
        <v>1331</v>
      </c>
      <c r="C426">
        <v>156</v>
      </c>
      <c r="D426">
        <f t="shared" si="6"/>
        <v>3.0846175855234945E-5</v>
      </c>
    </row>
    <row r="427" spans="1:4" hidden="1" x14ac:dyDescent="0.35">
      <c r="A427">
        <v>3023</v>
      </c>
      <c r="B427" t="s">
        <v>1332</v>
      </c>
      <c r="C427" s="42">
        <v>1690</v>
      </c>
      <c r="D427">
        <f t="shared" si="6"/>
        <v>3.3416690509837851E-4</v>
      </c>
    </row>
    <row r="428" spans="1:4" hidden="1" x14ac:dyDescent="0.35">
      <c r="A428">
        <v>3024</v>
      </c>
      <c r="B428" t="s">
        <v>1333</v>
      </c>
      <c r="C428" s="42">
        <v>5435</v>
      </c>
      <c r="D428">
        <f t="shared" si="6"/>
        <v>1.0746728575205251E-3</v>
      </c>
    </row>
    <row r="429" spans="1:4" hidden="1" x14ac:dyDescent="0.35">
      <c r="A429">
        <v>3025</v>
      </c>
      <c r="B429" t="s">
        <v>1334</v>
      </c>
      <c r="C429" s="42">
        <v>1965</v>
      </c>
      <c r="D429">
        <f t="shared" si="6"/>
        <v>3.8854317663805551E-4</v>
      </c>
    </row>
    <row r="430" spans="1:4" hidden="1" x14ac:dyDescent="0.35">
      <c r="A430">
        <v>3026</v>
      </c>
      <c r="B430" t="s">
        <v>1335</v>
      </c>
      <c r="C430" s="42">
        <v>2159</v>
      </c>
      <c r="D430">
        <f t="shared" si="6"/>
        <v>4.269031645605913E-4</v>
      </c>
    </row>
    <row r="431" spans="1:4" hidden="1" x14ac:dyDescent="0.35">
      <c r="A431">
        <v>3027</v>
      </c>
      <c r="B431" t="s">
        <v>1336</v>
      </c>
      <c r="C431">
        <v>200</v>
      </c>
      <c r="D431">
        <f t="shared" si="6"/>
        <v>3.9546379301583256E-5</v>
      </c>
    </row>
    <row r="432" spans="1:4" hidden="1" x14ac:dyDescent="0.35">
      <c r="A432">
        <v>3028</v>
      </c>
      <c r="B432" t="s">
        <v>1337</v>
      </c>
      <c r="C432" s="42">
        <v>1099</v>
      </c>
      <c r="D432">
        <f t="shared" si="6"/>
        <v>2.173073542622E-4</v>
      </c>
    </row>
    <row r="433" spans="1:4" hidden="1" x14ac:dyDescent="0.35">
      <c r="A433">
        <v>3030</v>
      </c>
      <c r="B433" t="s">
        <v>1338</v>
      </c>
      <c r="C433" s="42">
        <v>1078</v>
      </c>
      <c r="D433">
        <f t="shared" si="6"/>
        <v>2.1315498443553375E-4</v>
      </c>
    </row>
    <row r="434" spans="1:4" x14ac:dyDescent="0.35">
      <c r="A434">
        <v>3031</v>
      </c>
      <c r="B434" t="s">
        <v>1339</v>
      </c>
      <c r="C434" s="42">
        <v>70450</v>
      </c>
      <c r="D434">
        <f>C434/$C$3*100</f>
        <v>1.3930212108982702</v>
      </c>
    </row>
    <row r="435" spans="1:4" hidden="1" x14ac:dyDescent="0.35">
      <c r="A435">
        <v>3032</v>
      </c>
      <c r="B435" t="s">
        <v>1340</v>
      </c>
      <c r="C435">
        <v>104</v>
      </c>
      <c r="D435">
        <f t="shared" si="6"/>
        <v>2.0564117236823295E-5</v>
      </c>
    </row>
    <row r="436" spans="1:4" hidden="1" x14ac:dyDescent="0.35">
      <c r="A436">
        <v>3033</v>
      </c>
      <c r="B436" t="s">
        <v>1341</v>
      </c>
      <c r="C436">
        <v>136</v>
      </c>
      <c r="D436">
        <f t="shared" si="6"/>
        <v>2.6891537925076618E-5</v>
      </c>
    </row>
    <row r="437" spans="1:4" hidden="1" x14ac:dyDescent="0.35">
      <c r="A437">
        <v>3029</v>
      </c>
      <c r="B437" t="s">
        <v>1342</v>
      </c>
      <c r="C437">
        <v>443</v>
      </c>
      <c r="D437">
        <f t="shared" si="6"/>
        <v>8.7595230153006913E-5</v>
      </c>
    </row>
    <row r="438" spans="1:4" hidden="1" x14ac:dyDescent="0.35">
      <c r="A438">
        <v>3034</v>
      </c>
      <c r="B438" t="s">
        <v>1343</v>
      </c>
      <c r="C438" s="42">
        <v>3293</v>
      </c>
      <c r="D438">
        <f t="shared" si="6"/>
        <v>6.511311352005684E-4</v>
      </c>
    </row>
    <row r="439" spans="1:4" hidden="1" x14ac:dyDescent="0.35">
      <c r="A439">
        <v>3035</v>
      </c>
      <c r="B439" t="s">
        <v>1344</v>
      </c>
      <c r="C439">
        <v>726</v>
      </c>
      <c r="D439">
        <f t="shared" si="6"/>
        <v>1.4355335686474724E-4</v>
      </c>
    </row>
    <row r="440" spans="1:4" hidden="1" x14ac:dyDescent="0.35">
      <c r="A440">
        <v>3036</v>
      </c>
      <c r="B440" t="s">
        <v>1345</v>
      </c>
      <c r="C440">
        <v>100</v>
      </c>
      <c r="D440">
        <f t="shared" si="6"/>
        <v>1.9773189650791628E-5</v>
      </c>
    </row>
    <row r="441" spans="1:4" hidden="1" x14ac:dyDescent="0.35">
      <c r="A441">
        <v>3037</v>
      </c>
      <c r="B441" t="s">
        <v>1346</v>
      </c>
      <c r="C441">
        <v>497</v>
      </c>
      <c r="D441">
        <f t="shared" si="6"/>
        <v>9.8272752564434405E-5</v>
      </c>
    </row>
    <row r="442" spans="1:4" hidden="1" x14ac:dyDescent="0.35">
      <c r="A442">
        <v>3038</v>
      </c>
      <c r="B442" t="s">
        <v>1347</v>
      </c>
      <c r="C442">
        <v>396</v>
      </c>
      <c r="D442">
        <f t="shared" si="6"/>
        <v>7.8301831017134847E-5</v>
      </c>
    </row>
    <row r="443" spans="1:4" hidden="1" x14ac:dyDescent="0.35">
      <c r="A443">
        <v>3039</v>
      </c>
      <c r="B443" t="s">
        <v>1348</v>
      </c>
      <c r="C443">
        <v>103</v>
      </c>
      <c r="D443">
        <f t="shared" si="6"/>
        <v>2.0366385340315379E-5</v>
      </c>
    </row>
    <row r="444" spans="1:4" hidden="1" x14ac:dyDescent="0.35">
      <c r="A444">
        <v>3040</v>
      </c>
      <c r="B444" t="s">
        <v>1349</v>
      </c>
      <c r="C444">
        <v>429</v>
      </c>
      <c r="D444">
        <f t="shared" si="6"/>
        <v>8.4826983601896089E-5</v>
      </c>
    </row>
    <row r="445" spans="1:4" hidden="1" x14ac:dyDescent="0.35">
      <c r="A445">
        <v>3041</v>
      </c>
      <c r="B445" t="s">
        <v>1350</v>
      </c>
      <c r="C445" s="42">
        <v>11288</v>
      </c>
      <c r="D445">
        <f t="shared" si="6"/>
        <v>2.2319976477813593E-3</v>
      </c>
    </row>
    <row r="446" spans="1:4" hidden="1" x14ac:dyDescent="0.35">
      <c r="A446">
        <v>3042</v>
      </c>
      <c r="B446" t="s">
        <v>1351</v>
      </c>
      <c r="C446" s="42">
        <v>4452</v>
      </c>
      <c r="D446">
        <f t="shared" si="6"/>
        <v>8.8030240325324331E-4</v>
      </c>
    </row>
    <row r="447" spans="1:4" hidden="1" x14ac:dyDescent="0.35">
      <c r="A447">
        <v>3043</v>
      </c>
      <c r="B447" t="s">
        <v>1352</v>
      </c>
      <c r="C447" s="42">
        <v>3655</v>
      </c>
      <c r="D447">
        <f t="shared" si="6"/>
        <v>7.2271008173643402E-4</v>
      </c>
    </row>
    <row r="448" spans="1:4" hidden="1" x14ac:dyDescent="0.35">
      <c r="A448">
        <v>3044</v>
      </c>
      <c r="B448" t="s">
        <v>1353</v>
      </c>
      <c r="C448" s="42">
        <v>6909</v>
      </c>
      <c r="D448">
        <f t="shared" si="6"/>
        <v>1.3661296729731937E-3</v>
      </c>
    </row>
    <row r="449" spans="1:4" hidden="1" x14ac:dyDescent="0.35">
      <c r="A449">
        <v>3045</v>
      </c>
      <c r="B449" t="s">
        <v>1354</v>
      </c>
      <c r="C449">
        <v>417</v>
      </c>
      <c r="D449">
        <f t="shared" si="6"/>
        <v>8.2454200843801097E-5</v>
      </c>
    </row>
    <row r="450" spans="1:4" hidden="1" x14ac:dyDescent="0.35">
      <c r="A450">
        <v>3046</v>
      </c>
      <c r="B450" t="s">
        <v>1355</v>
      </c>
      <c r="C450" s="42">
        <v>3075</v>
      </c>
      <c r="D450">
        <f t="shared" si="6"/>
        <v>6.0802558176184258E-4</v>
      </c>
    </row>
    <row r="451" spans="1:4" hidden="1" x14ac:dyDescent="0.35">
      <c r="A451">
        <v>3049</v>
      </c>
      <c r="B451" t="s">
        <v>1356</v>
      </c>
      <c r="C451" s="42">
        <v>19127</v>
      </c>
      <c r="D451">
        <f t="shared" si="6"/>
        <v>3.7820179845069152E-3</v>
      </c>
    </row>
    <row r="452" spans="1:4" hidden="1" x14ac:dyDescent="0.35">
      <c r="A452">
        <v>3048</v>
      </c>
      <c r="B452" t="s">
        <v>1357</v>
      </c>
      <c r="C452" s="42">
        <v>7522</v>
      </c>
      <c r="D452">
        <f t="shared" si="6"/>
        <v>1.4873393255325463E-3</v>
      </c>
    </row>
    <row r="453" spans="1:4" hidden="1" x14ac:dyDescent="0.35">
      <c r="A453">
        <v>3047</v>
      </c>
      <c r="B453" t="s">
        <v>1358</v>
      </c>
      <c r="C453" s="42">
        <v>23326</v>
      </c>
      <c r="D453">
        <f t="shared" ref="D453:D516" si="7">C453/$C$3</f>
        <v>4.6122942179436556E-3</v>
      </c>
    </row>
    <row r="454" spans="1:4" hidden="1" x14ac:dyDescent="0.35">
      <c r="A454">
        <v>3050</v>
      </c>
      <c r="B454" t="s">
        <v>1359</v>
      </c>
      <c r="C454" s="42">
        <v>28930</v>
      </c>
      <c r="D454">
        <f t="shared" si="7"/>
        <v>5.7203837659740185E-3</v>
      </c>
    </row>
    <row r="455" spans="1:4" hidden="1" x14ac:dyDescent="0.35">
      <c r="A455">
        <v>3051</v>
      </c>
      <c r="B455" t="s">
        <v>1360</v>
      </c>
      <c r="C455">
        <v>417</v>
      </c>
      <c r="D455">
        <f t="shared" si="7"/>
        <v>8.2454200843801097E-5</v>
      </c>
    </row>
    <row r="456" spans="1:4" hidden="1" x14ac:dyDescent="0.35">
      <c r="A456">
        <v>3052</v>
      </c>
      <c r="B456" t="s">
        <v>1361</v>
      </c>
      <c r="C456" s="42">
        <v>1208</v>
      </c>
      <c r="D456">
        <f t="shared" si="7"/>
        <v>2.3886013098156289E-4</v>
      </c>
    </row>
    <row r="457" spans="1:4" hidden="1" x14ac:dyDescent="0.35">
      <c r="A457">
        <v>3053</v>
      </c>
      <c r="B457" t="s">
        <v>1362</v>
      </c>
      <c r="C457" s="42">
        <v>10461</v>
      </c>
      <c r="D457">
        <f t="shared" si="7"/>
        <v>2.0684733693693124E-3</v>
      </c>
    </row>
    <row r="458" spans="1:4" hidden="1" x14ac:dyDescent="0.35">
      <c r="A458">
        <v>3054</v>
      </c>
      <c r="B458" t="s">
        <v>1363</v>
      </c>
      <c r="C458">
        <v>437</v>
      </c>
      <c r="D458">
        <f t="shared" si="7"/>
        <v>8.6408838773959417E-5</v>
      </c>
    </row>
    <row r="459" spans="1:4" hidden="1" x14ac:dyDescent="0.35">
      <c r="A459">
        <v>3075</v>
      </c>
      <c r="B459" t="s">
        <v>1364</v>
      </c>
      <c r="C459">
        <v>224</v>
      </c>
      <c r="D459">
        <f t="shared" si="7"/>
        <v>4.4291944817773253E-5</v>
      </c>
    </row>
    <row r="460" spans="1:4" hidden="1" x14ac:dyDescent="0.35">
      <c r="A460">
        <v>3055</v>
      </c>
      <c r="B460" t="s">
        <v>1365</v>
      </c>
      <c r="C460" s="42">
        <v>8898</v>
      </c>
      <c r="D460">
        <f t="shared" si="7"/>
        <v>1.7594184151274392E-3</v>
      </c>
    </row>
    <row r="461" spans="1:4" hidden="1" x14ac:dyDescent="0.35">
      <c r="A461">
        <v>3056</v>
      </c>
      <c r="B461" t="s">
        <v>1366</v>
      </c>
      <c r="C461" s="42">
        <v>11520</v>
      </c>
      <c r="D461">
        <f t="shared" si="7"/>
        <v>2.2778714477711959E-3</v>
      </c>
    </row>
    <row r="462" spans="1:4" hidden="1" x14ac:dyDescent="0.35">
      <c r="A462">
        <v>3057</v>
      </c>
      <c r="B462" t="s">
        <v>1367</v>
      </c>
      <c r="C462">
        <v>261</v>
      </c>
      <c r="D462">
        <f t="shared" si="7"/>
        <v>5.1608024988566153E-5</v>
      </c>
    </row>
    <row r="463" spans="1:4" hidden="1" x14ac:dyDescent="0.35">
      <c r="A463">
        <v>3058</v>
      </c>
      <c r="B463" t="s">
        <v>1368</v>
      </c>
      <c r="C463" s="42">
        <v>7386</v>
      </c>
      <c r="D463">
        <f t="shared" si="7"/>
        <v>1.4604477876074698E-3</v>
      </c>
    </row>
    <row r="464" spans="1:4" hidden="1" x14ac:dyDescent="0.35">
      <c r="A464">
        <v>3059</v>
      </c>
      <c r="B464" t="s">
        <v>1369</v>
      </c>
      <c r="C464" s="42">
        <v>29536</v>
      </c>
      <c r="D464">
        <f t="shared" si="7"/>
        <v>5.8402092952578154E-3</v>
      </c>
    </row>
    <row r="465" spans="1:4" hidden="1" x14ac:dyDescent="0.35">
      <c r="A465">
        <v>3061</v>
      </c>
      <c r="B465" t="s">
        <v>1370</v>
      </c>
      <c r="C465" s="42">
        <v>1733</v>
      </c>
      <c r="D465">
        <f t="shared" si="7"/>
        <v>3.4266937664821894E-4</v>
      </c>
    </row>
    <row r="466" spans="1:4" hidden="1" x14ac:dyDescent="0.35">
      <c r="A466">
        <v>3062</v>
      </c>
      <c r="B466" t="s">
        <v>1371</v>
      </c>
      <c r="C466">
        <v>731</v>
      </c>
      <c r="D466">
        <f t="shared" si="7"/>
        <v>1.445420163472868E-4</v>
      </c>
    </row>
    <row r="467" spans="1:4" hidden="1" x14ac:dyDescent="0.35">
      <c r="A467">
        <v>3063</v>
      </c>
      <c r="B467" t="s">
        <v>1372</v>
      </c>
      <c r="C467" s="42">
        <v>42827</v>
      </c>
      <c r="D467">
        <f t="shared" si="7"/>
        <v>8.4682639317445307E-3</v>
      </c>
    </row>
    <row r="468" spans="1:4" hidden="1" x14ac:dyDescent="0.35">
      <c r="A468">
        <v>3064</v>
      </c>
      <c r="B468" t="s">
        <v>1373</v>
      </c>
      <c r="C468" s="42">
        <v>7531</v>
      </c>
      <c r="D468">
        <f t="shared" si="7"/>
        <v>1.4891189126011177E-3</v>
      </c>
    </row>
    <row r="469" spans="1:4" x14ac:dyDescent="0.35">
      <c r="A469">
        <v>3065</v>
      </c>
      <c r="B469" t="s">
        <v>1374</v>
      </c>
      <c r="C469" s="42">
        <v>234765</v>
      </c>
      <c r="D469">
        <f t="shared" ref="D469:D470" si="8">C469/$C$3*100</f>
        <v>4.6420528683680971</v>
      </c>
    </row>
    <row r="470" spans="1:4" x14ac:dyDescent="0.35">
      <c r="A470">
        <v>3066</v>
      </c>
      <c r="B470" t="s">
        <v>1375</v>
      </c>
      <c r="C470" s="42">
        <v>52813</v>
      </c>
      <c r="D470">
        <f t="shared" si="8"/>
        <v>1.0442814650272585</v>
      </c>
    </row>
    <row r="471" spans="1:4" hidden="1" x14ac:dyDescent="0.35">
      <c r="A471">
        <v>3067</v>
      </c>
      <c r="B471" t="s">
        <v>1376</v>
      </c>
      <c r="C471">
        <v>107</v>
      </c>
      <c r="D471">
        <f t="shared" si="7"/>
        <v>2.1157312926347043E-5</v>
      </c>
    </row>
    <row r="472" spans="1:4" hidden="1" x14ac:dyDescent="0.35">
      <c r="A472">
        <v>3068</v>
      </c>
      <c r="B472" t="s">
        <v>1377</v>
      </c>
      <c r="C472">
        <v>45</v>
      </c>
      <c r="D472">
        <f t="shared" si="7"/>
        <v>8.8979353428562339E-6</v>
      </c>
    </row>
    <row r="473" spans="1:4" hidden="1" x14ac:dyDescent="0.35">
      <c r="A473">
        <v>3069</v>
      </c>
      <c r="B473" t="s">
        <v>1378</v>
      </c>
      <c r="C473" s="42">
        <v>7103</v>
      </c>
      <c r="D473">
        <f t="shared" si="7"/>
        <v>1.4044896608957295E-3</v>
      </c>
    </row>
    <row r="474" spans="1:4" hidden="1" x14ac:dyDescent="0.35">
      <c r="A474">
        <v>3077</v>
      </c>
      <c r="B474" t="s">
        <v>1379</v>
      </c>
      <c r="C474" s="42">
        <v>2606</v>
      </c>
      <c r="D474">
        <f t="shared" si="7"/>
        <v>5.1528932229962985E-4</v>
      </c>
    </row>
    <row r="475" spans="1:4" hidden="1" x14ac:dyDescent="0.35">
      <c r="A475">
        <v>3070</v>
      </c>
      <c r="B475" t="s">
        <v>1380</v>
      </c>
      <c r="C475" s="42">
        <v>4268</v>
      </c>
      <c r="D475">
        <f t="shared" si="7"/>
        <v>8.4391973429578677E-4</v>
      </c>
    </row>
    <row r="476" spans="1:4" hidden="1" x14ac:dyDescent="0.35">
      <c r="A476">
        <v>3072</v>
      </c>
      <c r="B476" t="s">
        <v>1381</v>
      </c>
      <c r="C476">
        <v>479</v>
      </c>
      <c r="D476">
        <f t="shared" si="7"/>
        <v>9.4713578427291903E-5</v>
      </c>
    </row>
    <row r="477" spans="1:4" hidden="1" x14ac:dyDescent="0.35">
      <c r="A477">
        <v>3071</v>
      </c>
      <c r="B477" t="s">
        <v>1382</v>
      </c>
      <c r="C477" s="42">
        <v>6243</v>
      </c>
      <c r="D477">
        <f t="shared" si="7"/>
        <v>1.2344402298989214E-3</v>
      </c>
    </row>
    <row r="478" spans="1:4" hidden="1" x14ac:dyDescent="0.35">
      <c r="A478">
        <v>3073</v>
      </c>
      <c r="B478" t="s">
        <v>1383</v>
      </c>
      <c r="C478">
        <v>241</v>
      </c>
      <c r="D478">
        <f t="shared" si="7"/>
        <v>4.7653387058407826E-5</v>
      </c>
    </row>
    <row r="479" spans="1:4" hidden="1" x14ac:dyDescent="0.35">
      <c r="A479">
        <v>3074</v>
      </c>
      <c r="B479" t="s">
        <v>1384</v>
      </c>
      <c r="C479" s="42">
        <v>2591</v>
      </c>
      <c r="D479">
        <f t="shared" si="7"/>
        <v>5.1232334385201107E-4</v>
      </c>
    </row>
    <row r="480" spans="1:4" hidden="1" x14ac:dyDescent="0.35">
      <c r="A480">
        <v>3076</v>
      </c>
      <c r="B480" t="s">
        <v>1385</v>
      </c>
      <c r="C480" s="42">
        <v>15849</v>
      </c>
      <c r="D480">
        <f t="shared" si="7"/>
        <v>3.1338528277539655E-3</v>
      </c>
    </row>
    <row r="481" spans="1:4" hidden="1" x14ac:dyDescent="0.35">
      <c r="A481">
        <v>3078</v>
      </c>
      <c r="B481" t="s">
        <v>1386</v>
      </c>
      <c r="C481" s="42">
        <v>1242</v>
      </c>
      <c r="D481">
        <f t="shared" si="7"/>
        <v>2.4558301546283203E-4</v>
      </c>
    </row>
    <row r="482" spans="1:4" hidden="1" x14ac:dyDescent="0.35">
      <c r="A482">
        <v>3079</v>
      </c>
      <c r="B482" t="s">
        <v>1387</v>
      </c>
      <c r="C482" s="42">
        <v>23564</v>
      </c>
      <c r="D482">
        <f t="shared" si="7"/>
        <v>4.6593544093125397E-3</v>
      </c>
    </row>
    <row r="483" spans="1:4" hidden="1" x14ac:dyDescent="0.35">
      <c r="A483">
        <v>3080</v>
      </c>
      <c r="B483" t="s">
        <v>1388</v>
      </c>
      <c r="C483" s="42">
        <v>1998</v>
      </c>
      <c r="D483">
        <f t="shared" si="7"/>
        <v>3.9506832922281675E-4</v>
      </c>
    </row>
    <row r="484" spans="1:4" hidden="1" x14ac:dyDescent="0.35">
      <c r="A484">
        <v>3082</v>
      </c>
      <c r="B484" t="s">
        <v>1389</v>
      </c>
      <c r="C484" s="42">
        <v>28016</v>
      </c>
      <c r="D484">
        <f t="shared" si="7"/>
        <v>5.5396568125657833E-3</v>
      </c>
    </row>
    <row r="485" spans="1:4" hidden="1" x14ac:dyDescent="0.35">
      <c r="A485">
        <v>3083</v>
      </c>
      <c r="B485" t="s">
        <v>1390</v>
      </c>
      <c r="C485" s="42">
        <v>6879</v>
      </c>
      <c r="D485">
        <f t="shared" si="7"/>
        <v>1.3601977160779561E-3</v>
      </c>
    </row>
    <row r="486" spans="1:4" hidden="1" x14ac:dyDescent="0.35">
      <c r="A486">
        <v>3085</v>
      </c>
      <c r="B486" t="s">
        <v>1391</v>
      </c>
      <c r="C486">
        <v>830</v>
      </c>
      <c r="D486">
        <f t="shared" si="7"/>
        <v>1.6411747410157053E-4</v>
      </c>
    </row>
    <row r="487" spans="1:4" hidden="1" x14ac:dyDescent="0.35">
      <c r="A487">
        <v>3084</v>
      </c>
      <c r="B487" t="s">
        <v>1392</v>
      </c>
      <c r="C487">
        <v>582</v>
      </c>
      <c r="D487">
        <f t="shared" si="7"/>
        <v>1.1507996376760728E-4</v>
      </c>
    </row>
    <row r="488" spans="1:4" hidden="1" x14ac:dyDescent="0.35">
      <c r="A488">
        <v>3086</v>
      </c>
      <c r="B488" t="s">
        <v>1393</v>
      </c>
      <c r="C488">
        <v>240</v>
      </c>
      <c r="D488">
        <f t="shared" si="7"/>
        <v>4.745565516189991E-5</v>
      </c>
    </row>
    <row r="489" spans="1:4" hidden="1" x14ac:dyDescent="0.35">
      <c r="A489">
        <v>3088</v>
      </c>
      <c r="B489" t="s">
        <v>1394</v>
      </c>
      <c r="C489" s="42">
        <v>8346</v>
      </c>
      <c r="D489">
        <f t="shared" si="7"/>
        <v>1.6502704082550694E-3</v>
      </c>
    </row>
    <row r="490" spans="1:4" hidden="1" x14ac:dyDescent="0.35">
      <c r="A490">
        <v>3089</v>
      </c>
      <c r="B490" t="s">
        <v>1395</v>
      </c>
      <c r="C490" s="42">
        <v>12212</v>
      </c>
      <c r="D490">
        <f t="shared" si="7"/>
        <v>2.4147019201546738E-3</v>
      </c>
    </row>
    <row r="491" spans="1:4" hidden="1" x14ac:dyDescent="0.35">
      <c r="A491">
        <v>3903</v>
      </c>
      <c r="B491" t="s">
        <v>1396</v>
      </c>
      <c r="C491" s="42">
        <v>5061</v>
      </c>
      <c r="D491">
        <f t="shared" si="7"/>
        <v>1.0007211282265643E-3</v>
      </c>
    </row>
    <row r="492" spans="1:4" hidden="1" x14ac:dyDescent="0.35">
      <c r="A492">
        <v>3091</v>
      </c>
      <c r="B492" t="s">
        <v>1397</v>
      </c>
      <c r="C492">
        <v>507</v>
      </c>
      <c r="D492">
        <f t="shared" si="7"/>
        <v>1.0025007152951357E-4</v>
      </c>
    </row>
    <row r="493" spans="1:4" hidden="1" x14ac:dyDescent="0.35">
      <c r="A493">
        <v>3092</v>
      </c>
      <c r="B493" t="s">
        <v>1398</v>
      </c>
      <c r="C493" s="42">
        <v>9315</v>
      </c>
      <c r="D493">
        <f t="shared" si="7"/>
        <v>1.8418726159712402E-3</v>
      </c>
    </row>
    <row r="494" spans="1:4" hidden="1" x14ac:dyDescent="0.35">
      <c r="A494">
        <v>3090</v>
      </c>
      <c r="B494" t="s">
        <v>1399</v>
      </c>
      <c r="C494" s="42">
        <v>25645</v>
      </c>
      <c r="D494">
        <f t="shared" si="7"/>
        <v>5.0708344859455136E-3</v>
      </c>
    </row>
    <row r="495" spans="1:4" hidden="1" x14ac:dyDescent="0.35">
      <c r="A495">
        <v>3093</v>
      </c>
      <c r="B495" t="s">
        <v>1400</v>
      </c>
      <c r="C495" s="42">
        <v>25741</v>
      </c>
      <c r="D495">
        <f t="shared" si="7"/>
        <v>5.0898167480102731E-3</v>
      </c>
    </row>
    <row r="496" spans="1:4" hidden="1" x14ac:dyDescent="0.35">
      <c r="A496">
        <v>3094</v>
      </c>
      <c r="B496" t="s">
        <v>1401</v>
      </c>
      <c r="C496" s="42">
        <v>18163</v>
      </c>
      <c r="D496">
        <f t="shared" si="7"/>
        <v>3.5914044362732839E-3</v>
      </c>
    </row>
    <row r="497" spans="1:4" hidden="1" x14ac:dyDescent="0.35">
      <c r="A497">
        <v>3095</v>
      </c>
      <c r="B497" t="s">
        <v>1402</v>
      </c>
      <c r="C497" s="42">
        <v>7076</v>
      </c>
      <c r="D497">
        <f t="shared" si="7"/>
        <v>1.3991508996900157E-3</v>
      </c>
    </row>
    <row r="498" spans="1:4" hidden="1" x14ac:dyDescent="0.35">
      <c r="A498">
        <v>3096</v>
      </c>
      <c r="B498" t="s">
        <v>1403</v>
      </c>
      <c r="C498" s="42">
        <v>7600</v>
      </c>
      <c r="D498">
        <f t="shared" si="7"/>
        <v>1.5027624134601638E-3</v>
      </c>
    </row>
    <row r="499" spans="1:4" hidden="1" x14ac:dyDescent="0.35">
      <c r="A499">
        <v>3097</v>
      </c>
      <c r="B499" t="s">
        <v>1404</v>
      </c>
      <c r="C499" s="42">
        <v>2232</v>
      </c>
      <c r="D499">
        <f t="shared" si="7"/>
        <v>4.4133759300566918E-4</v>
      </c>
    </row>
    <row r="500" spans="1:4" x14ac:dyDescent="0.35">
      <c r="A500">
        <v>3099</v>
      </c>
      <c r="B500" t="s">
        <v>1405</v>
      </c>
      <c r="C500" s="42">
        <v>78505</v>
      </c>
      <c r="D500">
        <f>C500/$C$3*100</f>
        <v>1.552294253535397</v>
      </c>
    </row>
    <row r="501" spans="1:4" hidden="1" x14ac:dyDescent="0.35">
      <c r="A501">
        <v>3098</v>
      </c>
      <c r="B501" t="s">
        <v>1406</v>
      </c>
      <c r="C501">
        <v>784</v>
      </c>
      <c r="D501">
        <f t="shared" si="7"/>
        <v>1.5502180686220637E-4</v>
      </c>
    </row>
    <row r="502" spans="1:4" hidden="1" x14ac:dyDescent="0.35">
      <c r="A502">
        <v>3100</v>
      </c>
      <c r="B502" t="s">
        <v>1407</v>
      </c>
      <c r="C502">
        <v>967</v>
      </c>
      <c r="D502">
        <f t="shared" si="7"/>
        <v>1.9120674392315506E-4</v>
      </c>
    </row>
    <row r="503" spans="1:4" hidden="1" x14ac:dyDescent="0.35">
      <c r="A503">
        <v>3101</v>
      </c>
      <c r="B503" t="s">
        <v>1408</v>
      </c>
      <c r="C503" s="42">
        <v>7881</v>
      </c>
      <c r="D503">
        <f t="shared" si="7"/>
        <v>1.5583250763788884E-3</v>
      </c>
    </row>
    <row r="504" spans="1:4" hidden="1" x14ac:dyDescent="0.35">
      <c r="A504">
        <v>3102</v>
      </c>
      <c r="B504" t="s">
        <v>1409</v>
      </c>
      <c r="C504" s="42">
        <v>10133</v>
      </c>
      <c r="D504">
        <f t="shared" si="7"/>
        <v>2.0036173073147158E-3</v>
      </c>
    </row>
    <row r="505" spans="1:4" hidden="1" x14ac:dyDescent="0.35">
      <c r="A505">
        <v>3103</v>
      </c>
      <c r="B505" t="s">
        <v>1410</v>
      </c>
      <c r="C505">
        <v>269</v>
      </c>
      <c r="D505">
        <f t="shared" si="7"/>
        <v>5.3189880160629481E-5</v>
      </c>
    </row>
    <row r="506" spans="1:4" hidden="1" x14ac:dyDescent="0.35">
      <c r="A506">
        <v>3104</v>
      </c>
      <c r="B506" t="s">
        <v>1411</v>
      </c>
      <c r="C506" s="42">
        <v>34241</v>
      </c>
      <c r="D506">
        <f t="shared" si="7"/>
        <v>6.7705378683275618E-3</v>
      </c>
    </row>
    <row r="507" spans="1:4" hidden="1" x14ac:dyDescent="0.35">
      <c r="A507">
        <v>3902</v>
      </c>
      <c r="B507" t="s">
        <v>1412</v>
      </c>
      <c r="C507" s="42">
        <v>22347</v>
      </c>
      <c r="D507">
        <f t="shared" si="7"/>
        <v>4.4187146912624056E-3</v>
      </c>
    </row>
    <row r="508" spans="1:4" hidden="1" x14ac:dyDescent="0.35">
      <c r="A508">
        <v>3105</v>
      </c>
      <c r="B508" t="s">
        <v>1413</v>
      </c>
      <c r="C508" s="42">
        <v>8025</v>
      </c>
      <c r="D508">
        <f t="shared" si="7"/>
        <v>1.5867984694760283E-3</v>
      </c>
    </row>
    <row r="509" spans="1:4" hidden="1" x14ac:dyDescent="0.35">
      <c r="A509">
        <v>3106</v>
      </c>
      <c r="B509" t="s">
        <v>1414</v>
      </c>
      <c r="C509">
        <v>682</v>
      </c>
      <c r="D509">
        <f t="shared" si="7"/>
        <v>1.3485315341839891E-4</v>
      </c>
    </row>
    <row r="510" spans="1:4" hidden="1" x14ac:dyDescent="0.35">
      <c r="A510">
        <v>3901</v>
      </c>
      <c r="B510" t="s">
        <v>1415</v>
      </c>
      <c r="C510" s="42">
        <v>2714</v>
      </c>
      <c r="D510">
        <f t="shared" si="7"/>
        <v>5.3664436712248483E-4</v>
      </c>
    </row>
    <row r="511" spans="1:4" hidden="1" x14ac:dyDescent="0.35">
      <c r="A511">
        <v>3107</v>
      </c>
      <c r="B511" t="s">
        <v>1416</v>
      </c>
      <c r="C511" s="42">
        <v>5064</v>
      </c>
      <c r="D511">
        <f t="shared" si="7"/>
        <v>1.0013143239160881E-3</v>
      </c>
    </row>
    <row r="512" spans="1:4" hidden="1" x14ac:dyDescent="0.35">
      <c r="A512">
        <v>3060</v>
      </c>
      <c r="B512" t="s">
        <v>1417</v>
      </c>
      <c r="C512">
        <v>118</v>
      </c>
      <c r="D512">
        <f t="shared" si="7"/>
        <v>2.3332363787934123E-5</v>
      </c>
    </row>
    <row r="513" spans="1:4" hidden="1" x14ac:dyDescent="0.35">
      <c r="A513">
        <v>3109</v>
      </c>
      <c r="B513" t="s">
        <v>1418</v>
      </c>
      <c r="C513" s="42">
        <v>4553</v>
      </c>
      <c r="D513">
        <f t="shared" si="7"/>
        <v>9.0027332480054284E-4</v>
      </c>
    </row>
    <row r="514" spans="1:4" hidden="1" x14ac:dyDescent="0.35">
      <c r="A514">
        <v>3110</v>
      </c>
      <c r="B514" t="s">
        <v>1419</v>
      </c>
      <c r="C514">
        <v>648</v>
      </c>
      <c r="D514">
        <f t="shared" si="7"/>
        <v>1.2813026893712976E-4</v>
      </c>
    </row>
    <row r="515" spans="1:4" hidden="1" x14ac:dyDescent="0.35">
      <c r="A515">
        <v>3111</v>
      </c>
      <c r="B515" t="s">
        <v>1420</v>
      </c>
      <c r="C515" s="42">
        <v>7926</v>
      </c>
      <c r="D515">
        <f t="shared" si="7"/>
        <v>1.5672230117217446E-3</v>
      </c>
    </row>
    <row r="516" spans="1:4" hidden="1" x14ac:dyDescent="0.35">
      <c r="A516">
        <v>3112</v>
      </c>
      <c r="B516" t="s">
        <v>1421</v>
      </c>
      <c r="C516" s="42">
        <v>1148</v>
      </c>
      <c r="D516">
        <f t="shared" si="7"/>
        <v>2.269962171910879E-4</v>
      </c>
    </row>
    <row r="517" spans="1:4" hidden="1" x14ac:dyDescent="0.35">
      <c r="A517">
        <v>3113</v>
      </c>
      <c r="B517" t="s">
        <v>1422</v>
      </c>
      <c r="C517" s="42">
        <v>16671</v>
      </c>
      <c r="D517">
        <f t="shared" ref="D517:D545" si="9">C517/$C$3</f>
        <v>3.2963884466834727E-3</v>
      </c>
    </row>
    <row r="518" spans="1:4" hidden="1" x14ac:dyDescent="0.35">
      <c r="A518">
        <v>3114</v>
      </c>
      <c r="B518" t="s">
        <v>1423</v>
      </c>
      <c r="C518" s="42">
        <v>2492</v>
      </c>
      <c r="D518">
        <f t="shared" si="9"/>
        <v>4.927478860977274E-4</v>
      </c>
    </row>
    <row r="519" spans="1:4" hidden="1" x14ac:dyDescent="0.35">
      <c r="A519">
        <v>3115</v>
      </c>
      <c r="B519" t="s">
        <v>1424</v>
      </c>
      <c r="C519">
        <v>426</v>
      </c>
      <c r="D519">
        <f t="shared" si="9"/>
        <v>8.4233787912372341E-5</v>
      </c>
    </row>
    <row r="520" spans="1:4" hidden="1" x14ac:dyDescent="0.35">
      <c r="A520">
        <v>3116</v>
      </c>
      <c r="B520" t="s">
        <v>1425</v>
      </c>
      <c r="C520" s="42">
        <v>1620</v>
      </c>
      <c r="D520">
        <f t="shared" si="9"/>
        <v>3.2032567234282442E-4</v>
      </c>
    </row>
    <row r="521" spans="1:4" hidden="1" x14ac:dyDescent="0.35">
      <c r="A521">
        <v>3118</v>
      </c>
      <c r="B521" t="s">
        <v>1426</v>
      </c>
      <c r="C521" s="42">
        <v>8071</v>
      </c>
      <c r="D521">
        <f t="shared" si="9"/>
        <v>1.5958941367153925E-3</v>
      </c>
    </row>
    <row r="522" spans="1:4" hidden="1" x14ac:dyDescent="0.35">
      <c r="A522">
        <v>3904</v>
      </c>
      <c r="B522" t="s">
        <v>1427</v>
      </c>
      <c r="C522" s="42">
        <v>2103</v>
      </c>
      <c r="D522">
        <f t="shared" si="9"/>
        <v>4.1583017835614795E-4</v>
      </c>
    </row>
    <row r="523" spans="1:4" hidden="1" x14ac:dyDescent="0.35">
      <c r="A523">
        <v>3120</v>
      </c>
      <c r="B523" t="s">
        <v>1428</v>
      </c>
      <c r="C523" s="42">
        <v>6313</v>
      </c>
      <c r="D523">
        <f t="shared" si="9"/>
        <v>1.2482814626544757E-3</v>
      </c>
    </row>
    <row r="524" spans="1:4" x14ac:dyDescent="0.35">
      <c r="A524">
        <v>3122</v>
      </c>
      <c r="B524" t="s">
        <v>1429</v>
      </c>
      <c r="C524" s="42">
        <v>58978</v>
      </c>
      <c r="D524">
        <f>C524/$C$3*100</f>
        <v>1.1661831792243889</v>
      </c>
    </row>
    <row r="525" spans="1:4" hidden="1" x14ac:dyDescent="0.35">
      <c r="A525">
        <v>3117</v>
      </c>
      <c r="B525" t="s">
        <v>1430</v>
      </c>
      <c r="C525">
        <v>690</v>
      </c>
      <c r="D525">
        <f t="shared" si="9"/>
        <v>1.3643500859046224E-4</v>
      </c>
    </row>
    <row r="526" spans="1:4" hidden="1" x14ac:dyDescent="0.35">
      <c r="A526">
        <v>3119</v>
      </c>
      <c r="B526" t="s">
        <v>1431</v>
      </c>
      <c r="C526" s="42">
        <v>24367</v>
      </c>
      <c r="D526">
        <f t="shared" si="9"/>
        <v>4.8181331222083967E-3</v>
      </c>
    </row>
    <row r="527" spans="1:4" hidden="1" x14ac:dyDescent="0.35">
      <c r="A527">
        <v>3121</v>
      </c>
      <c r="B527" t="s">
        <v>1432</v>
      </c>
      <c r="C527" s="42">
        <v>33303</v>
      </c>
      <c r="D527">
        <f t="shared" si="9"/>
        <v>6.585065349403136E-3</v>
      </c>
    </row>
    <row r="528" spans="1:4" hidden="1" x14ac:dyDescent="0.35">
      <c r="A528">
        <v>3123</v>
      </c>
      <c r="B528" t="s">
        <v>1433</v>
      </c>
      <c r="C528" s="42">
        <v>9859</v>
      </c>
      <c r="D528">
        <f t="shared" si="9"/>
        <v>1.9494387676715467E-3</v>
      </c>
    </row>
    <row r="529" spans="1:4" hidden="1" x14ac:dyDescent="0.35">
      <c r="A529">
        <v>3124</v>
      </c>
      <c r="B529" t="s">
        <v>1434</v>
      </c>
      <c r="C529">
        <v>577</v>
      </c>
      <c r="D529">
        <f t="shared" si="9"/>
        <v>1.140913042850677E-4</v>
      </c>
    </row>
    <row r="530" spans="1:4" hidden="1" x14ac:dyDescent="0.35">
      <c r="A530">
        <v>3125</v>
      </c>
      <c r="B530" t="s">
        <v>1435</v>
      </c>
      <c r="C530">
        <v>583</v>
      </c>
      <c r="D530">
        <f t="shared" si="9"/>
        <v>1.152776956641152E-4</v>
      </c>
    </row>
    <row r="531" spans="1:4" hidden="1" x14ac:dyDescent="0.35">
      <c r="A531">
        <v>3127</v>
      </c>
      <c r="B531" t="s">
        <v>1436</v>
      </c>
      <c r="C531">
        <v>623</v>
      </c>
      <c r="D531">
        <f t="shared" si="9"/>
        <v>1.2318697152443185E-4</v>
      </c>
    </row>
    <row r="532" spans="1:4" hidden="1" x14ac:dyDescent="0.35">
      <c r="A532">
        <v>3128</v>
      </c>
      <c r="B532" t="s">
        <v>1437</v>
      </c>
      <c r="C532" s="42">
        <v>11278</v>
      </c>
      <c r="D532">
        <f t="shared" si="9"/>
        <v>2.2300203288162799E-3</v>
      </c>
    </row>
    <row r="533" spans="1:4" hidden="1" x14ac:dyDescent="0.35">
      <c r="A533">
        <v>3129</v>
      </c>
      <c r="B533" t="s">
        <v>1438</v>
      </c>
      <c r="C533" s="42">
        <v>1662</v>
      </c>
      <c r="D533">
        <f t="shared" si="9"/>
        <v>3.2863041199615687E-4</v>
      </c>
    </row>
    <row r="534" spans="1:4" hidden="1" x14ac:dyDescent="0.35">
      <c r="A534">
        <v>3130</v>
      </c>
      <c r="B534" t="s">
        <v>1439</v>
      </c>
      <c r="C534">
        <v>35</v>
      </c>
      <c r="D534">
        <f t="shared" si="9"/>
        <v>6.9206163777770704E-6</v>
      </c>
    </row>
    <row r="535" spans="1:4" hidden="1" x14ac:dyDescent="0.35">
      <c r="A535">
        <v>3131</v>
      </c>
      <c r="B535" t="s">
        <v>1440</v>
      </c>
      <c r="C535">
        <v>318</v>
      </c>
      <c r="D535">
        <f t="shared" si="9"/>
        <v>6.2878743089517385E-5</v>
      </c>
    </row>
    <row r="536" spans="1:4" hidden="1" x14ac:dyDescent="0.35">
      <c r="A536">
        <v>3132</v>
      </c>
      <c r="B536" t="s">
        <v>1441</v>
      </c>
      <c r="C536">
        <v>636</v>
      </c>
      <c r="D536">
        <f t="shared" si="9"/>
        <v>1.2575748617903477E-4</v>
      </c>
    </row>
    <row r="537" spans="1:4" x14ac:dyDescent="0.35">
      <c r="A537">
        <v>3133</v>
      </c>
      <c r="B537" t="s">
        <v>1442</v>
      </c>
      <c r="C537" s="42">
        <v>84667</v>
      </c>
      <c r="D537">
        <f>C537/$C$3*100</f>
        <v>1.6741366481635749</v>
      </c>
    </row>
    <row r="538" spans="1:4" hidden="1" x14ac:dyDescent="0.35">
      <c r="A538">
        <v>3134</v>
      </c>
      <c r="B538" t="s">
        <v>1443</v>
      </c>
      <c r="C538">
        <v>160</v>
      </c>
      <c r="D538">
        <f t="shared" si="9"/>
        <v>3.1637103441266609E-5</v>
      </c>
    </row>
    <row r="539" spans="1:4" hidden="1" x14ac:dyDescent="0.35">
      <c r="A539">
        <v>3136</v>
      </c>
      <c r="B539" t="s">
        <v>1444</v>
      </c>
      <c r="C539">
        <v>527</v>
      </c>
      <c r="D539">
        <f t="shared" si="9"/>
        <v>1.0420470945967189E-4</v>
      </c>
    </row>
    <row r="540" spans="1:4" hidden="1" x14ac:dyDescent="0.35">
      <c r="A540">
        <v>3137</v>
      </c>
      <c r="B540" t="s">
        <v>1445</v>
      </c>
      <c r="C540">
        <v>827</v>
      </c>
      <c r="D540">
        <f t="shared" si="9"/>
        <v>1.6352427841204677E-4</v>
      </c>
    </row>
    <row r="541" spans="1:4" hidden="1" x14ac:dyDescent="0.35">
      <c r="A541">
        <v>3135</v>
      </c>
      <c r="B541" t="s">
        <v>1446</v>
      </c>
      <c r="C541">
        <v>218</v>
      </c>
      <c r="D541">
        <f t="shared" si="9"/>
        <v>4.3105553438725751E-5</v>
      </c>
    </row>
    <row r="542" spans="1:4" hidden="1" x14ac:dyDescent="0.35">
      <c r="A542">
        <v>3138</v>
      </c>
      <c r="B542" t="s">
        <v>1447</v>
      </c>
      <c r="C542" s="42">
        <v>4709</v>
      </c>
      <c r="D542">
        <f t="shared" si="9"/>
        <v>9.311195006557778E-4</v>
      </c>
    </row>
    <row r="543" spans="1:4" hidden="1" x14ac:dyDescent="0.35">
      <c r="A543">
        <v>3139</v>
      </c>
      <c r="B543" t="s">
        <v>1448</v>
      </c>
      <c r="C543" s="42">
        <v>35199</v>
      </c>
      <c r="D543">
        <f t="shared" si="9"/>
        <v>6.9599650251821457E-3</v>
      </c>
    </row>
    <row r="544" spans="1:4" hidden="1" x14ac:dyDescent="0.35">
      <c r="A544">
        <v>3140</v>
      </c>
      <c r="B544" t="s">
        <v>1449</v>
      </c>
      <c r="C544" s="42">
        <v>34155</v>
      </c>
      <c r="D544">
        <f t="shared" si="9"/>
        <v>6.7535329252278809E-3</v>
      </c>
    </row>
    <row r="545" spans="1:4" hidden="1" x14ac:dyDescent="0.35">
      <c r="A545">
        <v>3081</v>
      </c>
      <c r="B545" t="s">
        <v>1450</v>
      </c>
      <c r="C545" s="42">
        <v>2868</v>
      </c>
      <c r="D545">
        <f t="shared" si="9"/>
        <v>5.6709507918470392E-4</v>
      </c>
    </row>
  </sheetData>
  <autoFilter ref="A3:D545">
    <filterColumn colId="2">
      <customFilters>
        <customFilter operator="greaterThan" val="50000"/>
      </custom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inicio</vt:lpstr>
      <vt:lpstr>base</vt:lpstr>
      <vt:lpstr>NO TOCAR</vt:lpstr>
      <vt:lpstr>Actualizaciones</vt:lpstr>
      <vt:lpstr>Población Castellón</vt:lpstr>
      <vt:lpstr>Población Valencia</vt:lpstr>
      <vt:lpstr>Población Alicante</vt:lpstr>
      <vt:lpstr>Población comunidad</vt:lpstr>
      <vt:lpstr>Hoja3</vt:lpstr>
    </vt:vector>
  </TitlesOfParts>
  <Company>Ministerio de Sanidad, Servicios Sociales e Igualdad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Elena Plans Beriso</dc:creator>
  <cp:lastModifiedBy>Arenal Seco, Francisco</cp:lastModifiedBy>
  <dcterms:created xsi:type="dcterms:W3CDTF">2020-11-25T08:49:27Z</dcterms:created>
  <dcterms:modified xsi:type="dcterms:W3CDTF">2021-03-26T12:45:43Z</dcterms:modified>
</cp:coreProperties>
</file>