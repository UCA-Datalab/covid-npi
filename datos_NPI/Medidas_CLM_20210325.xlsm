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ola.sanchez\Documents\Medidas COVID CCAA\"/>
    </mc:Choice>
  </mc:AlternateContent>
  <bookViews>
    <workbookView xWindow="0" yWindow="0" windowWidth="28800" windowHeight="12300" firstSheet="1" activeTab="1"/>
  </bookViews>
  <sheets>
    <sheet name="inicio" sheetId="3" r:id="rId1"/>
    <sheet name="BASE" sheetId="2" r:id="rId2"/>
    <sheet name="Biblioteca" sheetId="8" r:id="rId3"/>
    <sheet name="Población" sheetId="9" r:id="rId4"/>
    <sheet name="Actualizaciones" sheetId="6" r:id="rId5"/>
    <sheet name="NO TOCAR" sheetId="7" r:id="rId6"/>
  </sheets>
  <externalReferences>
    <externalReference r:id="rId7"/>
  </externalReferences>
  <definedNames>
    <definedName name="_24_02_2021">[1]BASE!#REF!</definedName>
    <definedName name="_xlnm._FilterDatabase" localSheetId="1" hidden="1">BASE!$A$1:$Q$2435</definedName>
    <definedName name="_xlnm._FilterDatabase" localSheetId="2" hidden="1">Biblioteca!$A$1:$D$147</definedName>
    <definedName name="_xlnm._FilterDatabase" localSheetId="3" hidden="1">Población!$A$10:$E$929</definedName>
    <definedName name="Andalucía" localSheetId="4">#REF!</definedName>
    <definedName name="Andalucía" localSheetId="2">#REF!</definedName>
    <definedName name="Andalucía">#REF!</definedName>
    <definedName name="Aragón" localSheetId="4">#REF!</definedName>
    <definedName name="Aragón" localSheetId="2">#REF!</definedName>
    <definedName name="Aragón">#REF!</definedName>
    <definedName name="Canarias" localSheetId="4">#REF!</definedName>
    <definedName name="Canarias" localSheetId="2">#REF!</definedName>
    <definedName name="Canarias">#REF!</definedName>
    <definedName name="Castilla_La_Mancha" localSheetId="2">#REF!</definedName>
    <definedName name="Castilla_La_Mancha">#REF!</definedName>
    <definedName name="Castilla_y_León" localSheetId="2">#REF!</definedName>
    <definedName name="Castilla_y_León">#REF!</definedName>
    <definedName name="Cataluña" localSheetId="2">#REF!</definedName>
    <definedName name="Cataluña">#REF!</definedName>
    <definedName name="comunidad_autónoma" localSheetId="2">#REF!</definedName>
    <definedName name="comunidad_autónoma">#REF!</definedName>
    <definedName name="Comunidad_Valenciana" localSheetId="2">#REF!</definedName>
    <definedName name="Comunidad_Valenciana">#REF!</definedName>
    <definedName name="Extremadura" localSheetId="2">#REF!</definedName>
    <definedName name="Extremadura">#REF!</definedName>
    <definedName name="Galicia" localSheetId="2">#REF!</definedName>
    <definedName name="Galicia">#REF!</definedName>
    <definedName name="País_Vasco" localSheetId="2">#REF!</definedName>
    <definedName name="País_Vasco">#REF!</definedName>
  </definedNames>
  <calcPr calcId="162913"/>
</workbook>
</file>

<file path=xl/calcChain.xml><?xml version="1.0" encoding="utf-8"?>
<calcChain xmlns="http://schemas.openxmlformats.org/spreadsheetml/2006/main">
  <c r="D3" i="9" l="1"/>
  <c r="D4" i="9"/>
  <c r="D5" i="9"/>
  <c r="D6" i="9"/>
  <c r="D2" i="9"/>
  <c r="C3" i="9" l="1"/>
  <c r="E3" i="9" s="1"/>
  <c r="C4" i="9"/>
  <c r="E4" i="9" s="1"/>
  <c r="C5" i="9"/>
  <c r="E5" i="9" s="1"/>
  <c r="C6" i="9"/>
  <c r="E6" i="9" s="1"/>
  <c r="C2" i="9"/>
  <c r="E2" i="9" s="1"/>
  <c r="C7" i="9" l="1"/>
</calcChain>
</file>

<file path=xl/sharedStrings.xml><?xml version="1.0" encoding="utf-8"?>
<sst xmlns="http://schemas.openxmlformats.org/spreadsheetml/2006/main" count="14260" uniqueCount="1353">
  <si>
    <t>provincia</t>
  </si>
  <si>
    <t>fecha_inicio</t>
  </si>
  <si>
    <t>fecha_fin</t>
  </si>
  <si>
    <t>cod_gen</t>
  </si>
  <si>
    <t>cod_con</t>
  </si>
  <si>
    <t>medida_concreta</t>
  </si>
  <si>
    <t>valor</t>
  </si>
  <si>
    <t>unidad de medida</t>
  </si>
  <si>
    <t>fecha_publicacion_oficial</t>
  </si>
  <si>
    <t>medida_generica</t>
  </si>
  <si>
    <t>desde</t>
  </si>
  <si>
    <t>hasta</t>
  </si>
  <si>
    <t>responsable</t>
  </si>
  <si>
    <t>% afectado (si subprovincial; mín 25%)</t>
  </si>
  <si>
    <t>nivel_educacion</t>
  </si>
  <si>
    <t>CS.10</t>
  </si>
  <si>
    <t>ON.4</t>
  </si>
  <si>
    <t>MH.3</t>
  </si>
  <si>
    <t>MH.2</t>
  </si>
  <si>
    <t>GE.4</t>
  </si>
  <si>
    <t>GE.1</t>
  </si>
  <si>
    <t>GE.2</t>
  </si>
  <si>
    <t>GE.3</t>
  </si>
  <si>
    <t>CE.3</t>
  </si>
  <si>
    <t>CE.4</t>
  </si>
  <si>
    <t>CE.2</t>
  </si>
  <si>
    <t>CE.1</t>
  </si>
  <si>
    <t>CE.5</t>
  </si>
  <si>
    <t>CE.6</t>
  </si>
  <si>
    <t>CO.8</t>
  </si>
  <si>
    <t>CO.10</t>
  </si>
  <si>
    <t>ED.4</t>
  </si>
  <si>
    <t>RH.9</t>
  </si>
  <si>
    <t>RH.10</t>
  </si>
  <si>
    <t>RH.11</t>
  </si>
  <si>
    <t>ON.9</t>
  </si>
  <si>
    <t>ON.3</t>
  </si>
  <si>
    <t>ON.5</t>
  </si>
  <si>
    <t>ON.6</t>
  </si>
  <si>
    <t>AL.4</t>
  </si>
  <si>
    <t>AL.8</t>
  </si>
  <si>
    <t>AL.2</t>
  </si>
  <si>
    <t>CD.6</t>
  </si>
  <si>
    <t>CD.9</t>
  </si>
  <si>
    <t>CD.12</t>
  </si>
  <si>
    <t>AF.12</t>
  </si>
  <si>
    <t>AF.7</t>
  </si>
  <si>
    <t>AF.5</t>
  </si>
  <si>
    <t>AF.15</t>
  </si>
  <si>
    <t>AF.16</t>
  </si>
  <si>
    <t>AF.6</t>
  </si>
  <si>
    <t>AF.19</t>
  </si>
  <si>
    <t>AF.23</t>
  </si>
  <si>
    <t>PA.2</t>
  </si>
  <si>
    <t>CD.15</t>
  </si>
  <si>
    <t>CD.14</t>
  </si>
  <si>
    <t>LA.3</t>
  </si>
  <si>
    <t>TR.5</t>
  </si>
  <si>
    <t>TR.7</t>
  </si>
  <si>
    <t>TP.4</t>
  </si>
  <si>
    <t>RS.1</t>
  </si>
  <si>
    <t>Media genérica</t>
  </si>
  <si>
    <t>Media concreta</t>
  </si>
  <si>
    <t>Código medida genérica</t>
  </si>
  <si>
    <t>Código medida concreta</t>
  </si>
  <si>
    <t>Deporte y actividad física</t>
  </si>
  <si>
    <t>Cierre de instalaciones y centros deportivos en general</t>
  </si>
  <si>
    <t>AF</t>
  </si>
  <si>
    <t>AF.1</t>
  </si>
  <si>
    <t>Cierre de instalaciones y centros deportivos en zonas interiores (manteniéndose las exteriores)</t>
  </si>
  <si>
    <t>AF.2</t>
  </si>
  <si>
    <t>Cancelación de eventos deportivos salvo sin público / a puerta cerrada</t>
  </si>
  <si>
    <t>AF.3</t>
  </si>
  <si>
    <t>Cancelación / prohibición de actividades deportivas grupales con contacto físico</t>
  </si>
  <si>
    <t>AF.4</t>
  </si>
  <si>
    <t>Limitación de aforo ZONAS INTERIORES de instalaciones y centros deportivos (fuera del ámbito regulado por el Consejo Superior de Deportes)</t>
  </si>
  <si>
    <t>Limitación de aforo ZONAS EXTERIORES de instalaciones y centros deportivos (fuera del ámbito regulado por el Consejo Superior de Deportes)</t>
  </si>
  <si>
    <t>Limitaciones a la actividad fisica grupal en exteriores</t>
  </si>
  <si>
    <t>Cierre de piscinas deportivas</t>
  </si>
  <si>
    <t>AF.8</t>
  </si>
  <si>
    <t>Limitación de aforo piscinas deportivas</t>
  </si>
  <si>
    <t>AF.9</t>
  </si>
  <si>
    <t>Cierre total de estaciones de esquí</t>
  </si>
  <si>
    <t>AF.10</t>
  </si>
  <si>
    <t>Limitación de aforo en estaciones de esquí</t>
  </si>
  <si>
    <t>AF.11</t>
  </si>
  <si>
    <t>Limitaciones a la actividad fisica grupal en interiores</t>
  </si>
  <si>
    <t>Prohibición de asistencia de público en eventos deportivos en exteriores</t>
  </si>
  <si>
    <t>AF.13</t>
  </si>
  <si>
    <t>Prohibición de asistencia de público en eventos deportivos en interiores</t>
  </si>
  <si>
    <t>AF.14</t>
  </si>
  <si>
    <t>Aforo de asistencia de público en eventos deportivos en exteriores</t>
  </si>
  <si>
    <t>Aforo de asistencia de público en eventos deportivos en interiores</t>
  </si>
  <si>
    <t>Limitaciones en actividades deportivas grupales con contacto físico (por ejemplo, en número de personas)</t>
  </si>
  <si>
    <t>AF.17</t>
  </si>
  <si>
    <t>Cierre de piscinas de recreo (por restricciones, no por fin de temporada)</t>
  </si>
  <si>
    <t>AF.18</t>
  </si>
  <si>
    <t xml:space="preserve">Limitación de aforo piscinas de recreo </t>
  </si>
  <si>
    <t>Aforo  ecoturismo</t>
  </si>
  <si>
    <t>AF.20</t>
  </si>
  <si>
    <t>Cierre  ecoturismo</t>
  </si>
  <si>
    <t>AF.21</t>
  </si>
  <si>
    <t>Cierre de playas (por restricciones, no por fin de temporada)</t>
  </si>
  <si>
    <t>AF.22</t>
  </si>
  <si>
    <t xml:space="preserve">Limitación de aforo de playas </t>
  </si>
  <si>
    <t>Alojamientos (hoteles, albergues)</t>
  </si>
  <si>
    <t>Cierre total de alojamientos turísticos</t>
  </si>
  <si>
    <t>AL</t>
  </si>
  <si>
    <t>AL.1</t>
  </si>
  <si>
    <t>Limitación de aforo de alojamientos turísticos</t>
  </si>
  <si>
    <t xml:space="preserve">Cierre de espacios comunes de alojamientos como hoteles </t>
  </si>
  <si>
    <t>AL.3</t>
  </si>
  <si>
    <t>Aforo en espacios comunes de alojamientos como hoteles</t>
  </si>
  <si>
    <t>Cierre de espacios comunes en residencias de estudiantes</t>
  </si>
  <si>
    <t>AL.5</t>
  </si>
  <si>
    <t>Aforo en espacios comunes en residencias de estudiantes</t>
  </si>
  <si>
    <t>AL.6</t>
  </si>
  <si>
    <t>Cierre de espacios comunes de alojamientos como albergues</t>
  </si>
  <si>
    <t>AL.7</t>
  </si>
  <si>
    <t>Aforo en espacios comunes de alojamientos como albergues</t>
  </si>
  <si>
    <t>Cultura y eventos (exc. deportivos)</t>
  </si>
  <si>
    <t>Cierre de bibliotecas, museos y monumentos en general</t>
  </si>
  <si>
    <t>CD</t>
  </si>
  <si>
    <t>CD.1</t>
  </si>
  <si>
    <t>Cierre de bibliotecas, museos y monumentos en interiores, permaneciendo abiertos los monumentos exteriores</t>
  </si>
  <si>
    <t>CD.2</t>
  </si>
  <si>
    <t xml:space="preserve">Cierre de cines, teatros, auditorios, circos de carpa y espacios similares, así como locales y establecimientos destinados a actos y espectáculos culturales </t>
  </si>
  <si>
    <t>CD.3</t>
  </si>
  <si>
    <t>Cierre de actos y espectáculos culturales en locales interiores, permitiéndose los exteriores</t>
  </si>
  <si>
    <t>CD.4</t>
  </si>
  <si>
    <t>Cierre de salas multiusos</t>
  </si>
  <si>
    <t>CD.5</t>
  </si>
  <si>
    <t>Limitación de aforo en bilbiotecas, museos y monumentos en general</t>
  </si>
  <si>
    <t>Limitación de aforo en bilbiotecas, museos y monumentos en espacios interiores (si diferente de los exteriores)</t>
  </si>
  <si>
    <t>CD.7</t>
  </si>
  <si>
    <t>Limitación de aforo museos y monumentos en exteriores (si diferente de los interiores)</t>
  </si>
  <si>
    <t>CD.8</t>
  </si>
  <si>
    <t>Limitación de aforo en cines, teatros, auditorios, circos de carpa y espacios similares, así como locales y establecimientos destinados a actos y espectáculos culturales en interior</t>
  </si>
  <si>
    <t>Limitación de aforo en actos y espectáculos culturales en exteriores</t>
  </si>
  <si>
    <t>CD.10</t>
  </si>
  <si>
    <t>Limitación de aforo en salas multiusos</t>
  </si>
  <si>
    <t>CD.11</t>
  </si>
  <si>
    <t>Prohibición de eventos a partir de cierto número de asistentes</t>
  </si>
  <si>
    <t>Necesidad de autorizacion previa para eventos a partir de cierto número de asistentes</t>
  </si>
  <si>
    <t>CD.13</t>
  </si>
  <si>
    <t>Aforo en festejos taurinos</t>
  </si>
  <si>
    <t>Aforo de zoos y parques de atracciones</t>
  </si>
  <si>
    <t>Cierre de zoos y parques de atracciones</t>
  </si>
  <si>
    <t>CD.16</t>
  </si>
  <si>
    <t>Prohibición de festejos taurinos</t>
  </si>
  <si>
    <t>CD.17</t>
  </si>
  <si>
    <t>Ceremonias religiosas</t>
  </si>
  <si>
    <t>Cierre de lugares de culto</t>
  </si>
  <si>
    <t>CE</t>
  </si>
  <si>
    <t>Aforo en lugares de culto</t>
  </si>
  <si>
    <t>Aforo velatorios, entierros y ceremonias fúnebres en espacios interiores</t>
  </si>
  <si>
    <t>Aforo en velatorios, entierros y ceremonias fúnebres en espacios exteriores</t>
  </si>
  <si>
    <t>Aforo en otras ceremonias (bodas, bautizos) en espacios interiores</t>
  </si>
  <si>
    <t>Aforo en otras ceremonias (bodas, bautizos) en espacios exteriores</t>
  </si>
  <si>
    <t>Prohibición de coros</t>
  </si>
  <si>
    <t>CE.7</t>
  </si>
  <si>
    <t>Aforo de coros</t>
  </si>
  <si>
    <t>CE.8</t>
  </si>
  <si>
    <t>Comercio</t>
  </si>
  <si>
    <t>Cierre de todo el comercio no esencial</t>
  </si>
  <si>
    <t>CO</t>
  </si>
  <si>
    <t>CO.1</t>
  </si>
  <si>
    <t>Cierre de espacios comerciales según tamaño (p.e. de más de 400 m2)</t>
  </si>
  <si>
    <t>CO.2</t>
  </si>
  <si>
    <t xml:space="preserve">Cierre de actividades comerciales que implican contacto físico con el cliente (permitiendo o no alguna excepción) </t>
  </si>
  <si>
    <t>CO.3</t>
  </si>
  <si>
    <t>Cierre total de centros comerciales</t>
  </si>
  <si>
    <t>CO.4</t>
  </si>
  <si>
    <t>Cierre de zonas comunes dentro de los centros comerciales</t>
  </si>
  <si>
    <t>CO.5</t>
  </si>
  <si>
    <t>Cierre de mercadillos y/o mercados al aire libre</t>
  </si>
  <si>
    <t>CO.6</t>
  </si>
  <si>
    <t>Limitación de horario comercio no esencial</t>
  </si>
  <si>
    <t>CO.7</t>
  </si>
  <si>
    <t>Aforo de locales comerciales en general</t>
  </si>
  <si>
    <t>Aforo de centros comerciales (si diferente al de locales comerciales en general)</t>
  </si>
  <si>
    <t>CO.9</t>
  </si>
  <si>
    <t>Aforo de mercadillos  y/o mercados al aire libre</t>
  </si>
  <si>
    <t>Ampliación de los días y/o horarios de apertura de comercios</t>
  </si>
  <si>
    <t>CO.11</t>
  </si>
  <si>
    <t>Centros recreativos</t>
  </si>
  <si>
    <t xml:space="preserve">Cierre de centros recreativos de mayores (hogares del jubilado) </t>
  </si>
  <si>
    <t>CR</t>
  </si>
  <si>
    <t>CR.1</t>
  </si>
  <si>
    <t xml:space="preserve">Limitación de aforo de centros recreativos de mayores (hogares del jubilado) </t>
  </si>
  <si>
    <t>CR.2</t>
  </si>
  <si>
    <t>Cierre de centros recreativos de jóvenes (ludotecas, centros de ocio juvenil…)</t>
  </si>
  <si>
    <t>CR.3</t>
  </si>
  <si>
    <t>Limitación de aforo de centros recreativos de jóvenes (ludotecas, centros de ocio juvenil…)</t>
  </si>
  <si>
    <t>CR.4</t>
  </si>
  <si>
    <t>Centros sociosanitarios</t>
  </si>
  <si>
    <t>Prohibicion de salidas de residentes</t>
  </si>
  <si>
    <t>CS</t>
  </si>
  <si>
    <t>CS.1</t>
  </si>
  <si>
    <t xml:space="preserve">Limitación de salidas de residentes </t>
  </si>
  <si>
    <t>CS.2</t>
  </si>
  <si>
    <t>Limitación de visitas</t>
  </si>
  <si>
    <t>CS.3</t>
  </si>
  <si>
    <t>Cierre de centros de día sociosanitarios</t>
  </si>
  <si>
    <t>CS.4</t>
  </si>
  <si>
    <t>Limiraciones de aforo en centros de día sociosanitarios</t>
  </si>
  <si>
    <t>CS.5</t>
  </si>
  <si>
    <t>Cribado de nuevos ingresos de residentes</t>
  </si>
  <si>
    <t>CS.6</t>
  </si>
  <si>
    <t>Cribado de trabajadores nuevos o a la vuelta de permisos o vacaciones</t>
  </si>
  <si>
    <t>CS.7</t>
  </si>
  <si>
    <t>Cribados periódicos de residentes</t>
  </si>
  <si>
    <t>CS.8</t>
  </si>
  <si>
    <t>Cribados perioódicos de trabajadores</t>
  </si>
  <si>
    <t>CS.9</t>
  </si>
  <si>
    <t>Cribados migrantes irregulares</t>
  </si>
  <si>
    <t>Educación</t>
  </si>
  <si>
    <t>Cierre de centros educativos (por restricciones o vacaciones)</t>
  </si>
  <si>
    <t>ED</t>
  </si>
  <si>
    <t>ED.1</t>
  </si>
  <si>
    <t>Cierre parcial (educación semipresencial)</t>
  </si>
  <si>
    <t>ED.2</t>
  </si>
  <si>
    <t>Cierre de academias, autoescuelas y otros centros de formación no reglada (incluidas actividades promovidas por las administraciones locales)</t>
  </si>
  <si>
    <t>ED.3</t>
  </si>
  <si>
    <t>Limitación de aforo de academias, autoescuelas y otros centros de formación no reglada (incluidas actividades promovidas por las administraciones locales)</t>
  </si>
  <si>
    <t>Suspensión de clases presenciales</t>
  </si>
  <si>
    <t>ED.5</t>
  </si>
  <si>
    <t>Locales de apuestas</t>
  </si>
  <si>
    <t>Cierre total delocales de apuestas, bingos etc.</t>
  </si>
  <si>
    <t>LA</t>
  </si>
  <si>
    <t>LA.1</t>
  </si>
  <si>
    <t>Limitación de horario en locles de apuestas, bingos etc.</t>
  </si>
  <si>
    <t>LA.2</t>
  </si>
  <si>
    <t>Aforo en locales de apuestas, bingos etc.</t>
  </si>
  <si>
    <t>Medidas en fronteras</t>
  </si>
  <si>
    <t>Cierre total de fronteras exteriores</t>
  </si>
  <si>
    <t>MF</t>
  </si>
  <si>
    <t>MF.1</t>
  </si>
  <si>
    <t>Cierre de fronteras exteriores a países seleccionados</t>
  </si>
  <si>
    <t>MF.2</t>
  </si>
  <si>
    <t>Control sanitario en fronteral ( control de temperatura, visual y formulario sanitario) ya sea total o a países seleccionados</t>
  </si>
  <si>
    <t>MF.3</t>
  </si>
  <si>
    <t>Pruebas PCR obligatorias para la entrada en el país, ya sea total o en los procedentes de países seleccionados</t>
  </si>
  <si>
    <t>MF.4</t>
  </si>
  <si>
    <t>Cuarentena obligatoria a la llegada ya sea total o en los procedentes de países seleccionados</t>
  </si>
  <si>
    <t>MF.5</t>
  </si>
  <si>
    <t>Medidas de higiene</t>
  </si>
  <si>
    <t>Mascarilla obligatoria cuando no se cumpla la distancia física</t>
  </si>
  <si>
    <t>MH</t>
  </si>
  <si>
    <t>MH.1</t>
  </si>
  <si>
    <t>Mascarilla obligatoria incluso con distancia física  (con excepciones)</t>
  </si>
  <si>
    <t>Ventilación de espacios cerrados</t>
  </si>
  <si>
    <t>Movilidad</t>
  </si>
  <si>
    <t>Confinamiento domiciliario obligatorio</t>
  </si>
  <si>
    <t>MV</t>
  </si>
  <si>
    <t>MV.1</t>
  </si>
  <si>
    <t>Recomendación de permanecer en el domicilio</t>
  </si>
  <si>
    <t>MV.2</t>
  </si>
  <si>
    <t>Limitación de la movilidad nocturna (toque de queda)</t>
  </si>
  <si>
    <t>MV.3</t>
  </si>
  <si>
    <t>Cierre perimetral de entrada y/o salida</t>
  </si>
  <si>
    <t>MV.4</t>
  </si>
  <si>
    <t>Horario preferente paseo personas mayores</t>
  </si>
  <si>
    <t>MV.5</t>
  </si>
  <si>
    <t>Segmentación de la población (p.e. horarios de paseo diferenciados por edades, no solo de mayores)</t>
  </si>
  <si>
    <t>MV.6</t>
  </si>
  <si>
    <t>Ocio nocturno</t>
  </si>
  <si>
    <t>Cierre total del ocio nocturno</t>
  </si>
  <si>
    <t>ON</t>
  </si>
  <si>
    <t>ON.1</t>
  </si>
  <si>
    <t>Cierre del ocio nocturno en locales interiores (permitiendo los exteriores)</t>
  </si>
  <si>
    <t>ON.2</t>
  </si>
  <si>
    <t>Prohibición de pistas de baile (permite uso para estar sentados en mesas)</t>
  </si>
  <si>
    <t>Aforo en locales de ocio nocturno en general</t>
  </si>
  <si>
    <t>Aforo en locales de ocio nocturno en interiores (si diferente de los exteriores)</t>
  </si>
  <si>
    <t>Aforo en locales de ocio nocturno en exteriores (si diferente de los interiores)</t>
  </si>
  <si>
    <t>Suspención de fiestas locales y verbenas</t>
  </si>
  <si>
    <t>ON.7</t>
  </si>
  <si>
    <t>Prohibición de consumo en barra</t>
  </si>
  <si>
    <t>Limitación de horario en el ocio nocturno (número de horas hasta un hipotético cierre a las 3:00 am)</t>
  </si>
  <si>
    <t>ON.8</t>
  </si>
  <si>
    <t>Parques</t>
  </si>
  <si>
    <t>Cierre de parques y jardines</t>
  </si>
  <si>
    <t>PA</t>
  </si>
  <si>
    <t>PA.1</t>
  </si>
  <si>
    <t>Cierre de zonas infantiles</t>
  </si>
  <si>
    <t>Limitación de horario en parques y jardines</t>
  </si>
  <si>
    <t>PA.3</t>
  </si>
  <si>
    <t>Uso de pruebas diagnósticas</t>
  </si>
  <si>
    <t>Cribados poblacionales</t>
  </si>
  <si>
    <t>PD</t>
  </si>
  <si>
    <t>PD.1</t>
  </si>
  <si>
    <t xml:space="preserve">PCR inicial a contactos </t>
  </si>
  <si>
    <t>PD.2</t>
  </si>
  <si>
    <t xml:space="preserve">PCR final a contactos </t>
  </si>
  <si>
    <t>PD.3</t>
  </si>
  <si>
    <t xml:space="preserve">PCR inicial y final a contactos </t>
  </si>
  <si>
    <t>PD.4</t>
  </si>
  <si>
    <t>Introducción del test de antígenos</t>
  </si>
  <si>
    <t>PD.5</t>
  </si>
  <si>
    <t>Restauración, hostelería y bares</t>
  </si>
  <si>
    <t>Cierre general de restaurantes y bares (SIN permitir servicio para llevar)</t>
  </si>
  <si>
    <t>RH</t>
  </si>
  <si>
    <t>RH.1</t>
  </si>
  <si>
    <t>Cierre general de restaurantes y bares (permitiendo servicio para llevar/consumo en domicilio)</t>
  </si>
  <si>
    <t>RH.2</t>
  </si>
  <si>
    <t xml:space="preserve">Cierre únicamente de zonas interiores de restaurantes y bares </t>
  </si>
  <si>
    <t>RH.3</t>
  </si>
  <si>
    <t>Prohibición únicamente de consumo en barra</t>
  </si>
  <si>
    <t>RH.4</t>
  </si>
  <si>
    <t>Limitación de horario en restaurantes y bares</t>
  </si>
  <si>
    <t>RH.5</t>
  </si>
  <si>
    <t>Aforo en terrazas al aire libre</t>
  </si>
  <si>
    <t>RH.6</t>
  </si>
  <si>
    <t>Aforo en zona interiores</t>
  </si>
  <si>
    <t>RH.7</t>
  </si>
  <si>
    <t>Aforo en barra</t>
  </si>
  <si>
    <t>RH.8</t>
  </si>
  <si>
    <t>Ocupación máxima personas por mesa  en general</t>
  </si>
  <si>
    <t>Ocupación máxima personas por mesa  en exteriores (si diferente de interiores)</t>
  </si>
  <si>
    <t>Ocupación máxima personas por mesa  en interiores (si diferente de exteriores)</t>
  </si>
  <si>
    <t>Prohibición de fumar en terrazas</t>
  </si>
  <si>
    <t>RH.12</t>
  </si>
  <si>
    <t>Relaciones sociales</t>
  </si>
  <si>
    <t>Limitación al número de personas que se pueden reunir en cualquier circunstancia (con excepciones como convivientes, transporte público, contexto laboral o similares)</t>
  </si>
  <si>
    <t>RS</t>
  </si>
  <si>
    <t>Limitación al número de personas en reuniones solo en lugares públicos (tanto interiores como exteriores)</t>
  </si>
  <si>
    <t>RS.2</t>
  </si>
  <si>
    <t>Limitación al número de personas en reuniones solo en lugares públicos interiores</t>
  </si>
  <si>
    <t>RS.3</t>
  </si>
  <si>
    <t>Prohibición fumar en vía pública &lt; 2 metros</t>
  </si>
  <si>
    <t>RS.4</t>
  </si>
  <si>
    <t>Prohibicion de comer en vía publica</t>
  </si>
  <si>
    <t>RS.5</t>
  </si>
  <si>
    <t>Prohibición consumo alcohol en vía pública</t>
  </si>
  <si>
    <t>RS.6</t>
  </si>
  <si>
    <t>Recomendación sbre el número de personas que se pueden reunir en cualquier circunstancia (con excepciones como convivientes, transporte público, contexto laboral o similares)</t>
  </si>
  <si>
    <t>RS.7</t>
  </si>
  <si>
    <t>Limitación de encuentros fuera del grupo de convivencia habitual (por ejemplo, durante un horario limitado, en cuyo caso, consignar horas)</t>
  </si>
  <si>
    <t>RS.8</t>
  </si>
  <si>
    <t>Recomendación de reducir encuentros fuera del grupo de convivencia habitual</t>
  </si>
  <si>
    <t>RS.9</t>
  </si>
  <si>
    <t>Transporte público</t>
  </si>
  <si>
    <t>Limitacion de aforo en transporte público</t>
  </si>
  <si>
    <t>TP</t>
  </si>
  <si>
    <t>TP.1</t>
  </si>
  <si>
    <t>Obligacion de uso de mascarillas</t>
  </si>
  <si>
    <t>TP.2</t>
  </si>
  <si>
    <t>Prohibición consumo alimentos/bebidas</t>
  </si>
  <si>
    <t>TP.3</t>
  </si>
  <si>
    <t>Aumento de la frecuencia de transporte público</t>
  </si>
  <si>
    <t>Trabajo</t>
  </si>
  <si>
    <t>Cierre de centros de trabajos no esenciales</t>
  </si>
  <si>
    <t>TR</t>
  </si>
  <si>
    <t>TR.1</t>
  </si>
  <si>
    <t>Obligación de teletrabajar para los empleos en los que sea posible</t>
  </si>
  <si>
    <t>TR.2</t>
  </si>
  <si>
    <t>Promoción del teletrabajo</t>
  </si>
  <si>
    <t>TR.3</t>
  </si>
  <si>
    <t>Suspensión de eventos profesionales (congresos, encuentros, etc.) en espacios abiertos</t>
  </si>
  <si>
    <t>TR.4</t>
  </si>
  <si>
    <t>Aforo en eventos profesionales (congresos, encuentros, etc.) en espacios abiertos</t>
  </si>
  <si>
    <t>Suspensión de eventos profesionales (congresos, encuentros, etc.) en espacios cerrados</t>
  </si>
  <si>
    <t>TR.6</t>
  </si>
  <si>
    <t>Aforo en eventos profesionales (congresos, encuentros, etc.) en espacios cerrados</t>
  </si>
  <si>
    <t>Suspensión de eventos profesionales (congresos, encuentros, etc.) en espacios abiertos y cerrados</t>
  </si>
  <si>
    <t>TR.8</t>
  </si>
  <si>
    <t>Aforo en eventos profesionales (congresos, encuentros, etc.) en espacios abiertos y cerrados</t>
  </si>
  <si>
    <t>TR.9</t>
  </si>
  <si>
    <t>General</t>
  </si>
  <si>
    <t>Aforo en TODOS los espacios CERRADOS (establecimientos, locales de negocio, instalaciones, espacios de uso público)</t>
  </si>
  <si>
    <t>GE</t>
  </si>
  <si>
    <t>Aforo en TODOS los espacios ABIERTOS (establecimientos, locales de negocio, instalaciones, espacios de uso público)</t>
  </si>
  <si>
    <t>Aforo en actividades grupales en TODOS los ámbitos</t>
  </si>
  <si>
    <t>aseos, vestuarios, probadores, salas de lactancia o similares</t>
  </si>
  <si>
    <t>ON.10</t>
  </si>
  <si>
    <t>Ocupación de personas máxima por mesa</t>
  </si>
  <si>
    <t>Castilla_la_Mancha</t>
  </si>
  <si>
    <t>tamaño máximo grupos</t>
  </si>
  <si>
    <t>aforo general</t>
  </si>
  <si>
    <t>personas</t>
  </si>
  <si>
    <t>porcentaje</t>
  </si>
  <si>
    <t>personas o unidades familiares</t>
  </si>
  <si>
    <t>porcentaje de puestos</t>
  </si>
  <si>
    <t>personas por grupo</t>
  </si>
  <si>
    <t>(aire libre)</t>
  </si>
  <si>
    <t xml:space="preserve">grupos de máximo </t>
  </si>
  <si>
    <t>PA.4</t>
  </si>
  <si>
    <t>distancia interpersonal en metros</t>
  </si>
  <si>
    <t>porcentaje plazas en pie</t>
  </si>
  <si>
    <t>a partir de personas</t>
  </si>
  <si>
    <t>subprovincial</t>
  </si>
  <si>
    <t>Toledo</t>
  </si>
  <si>
    <t>CS.11</t>
  </si>
  <si>
    <t>Ciudad Real</t>
  </si>
  <si>
    <t>Guadalajara</t>
  </si>
  <si>
    <t>provincial</t>
  </si>
  <si>
    <t>Cuenca</t>
  </si>
  <si>
    <t>CO.6 PA.3</t>
  </si>
  <si>
    <t xml:space="preserve">CO.9 </t>
  </si>
  <si>
    <t>Albacete</t>
  </si>
  <si>
    <t>RH6</t>
  </si>
  <si>
    <t>RH9</t>
  </si>
  <si>
    <t>CS:7</t>
  </si>
  <si>
    <t>CE3</t>
  </si>
  <si>
    <t>CE5</t>
  </si>
  <si>
    <t>CE4</t>
  </si>
  <si>
    <t>CE6</t>
  </si>
  <si>
    <t>AF:3</t>
  </si>
  <si>
    <t>Sonia</t>
  </si>
  <si>
    <t>Limitación de aforo en bibliotecas, museos y monumentos en general</t>
  </si>
  <si>
    <t>Limitación de aforo en bibliotecas, museos y monumentos en espacios interiores (si diferente de los exteriores)</t>
  </si>
  <si>
    <t>CE.10</t>
  </si>
  <si>
    <t>Prohibición, restricción solo a convivientes o restricción equivalente en otras ceremonias como bodas y bautizos (interior y exterior)</t>
  </si>
  <si>
    <t>CE.9</t>
  </si>
  <si>
    <t>Prohibición, restricción solo a convivientes o restricción equivalente en velatorios, entierros y ceremonias fúnebres (interior y exterior)</t>
  </si>
  <si>
    <t>Prohibición de visitas</t>
  </si>
  <si>
    <t>Cribados periódicos de trabajadores</t>
  </si>
  <si>
    <t>MV.7</t>
  </si>
  <si>
    <t>Restricción de movilidad interna en el territorio (en niveles inferiores al nivel territorial al que se aplica)</t>
  </si>
  <si>
    <t>Suspensión de fiestas locales y verbenas</t>
  </si>
  <si>
    <t>Limitación de AFORO en parques y jardines</t>
  </si>
  <si>
    <t>Recomendación sobre el número de personas que se pueden reunir en cualquier circunstancia (con excepciones como convivientes, transporte público, contexto laboral o similares)</t>
  </si>
  <si>
    <t>PROVINCIA</t>
  </si>
  <si>
    <t>NOMBRE_ACTUAL</t>
  </si>
  <si>
    <t>POBLACION_MUNI</t>
  </si>
  <si>
    <t>Abengibre</t>
  </si>
  <si>
    <t>Alatoz</t>
  </si>
  <si>
    <t>Albatana</t>
  </si>
  <si>
    <t>Alborea</t>
  </si>
  <si>
    <t>Alcadozo</t>
  </si>
  <si>
    <t>Alcalá del Júcar</t>
  </si>
  <si>
    <t>Alcaraz</t>
  </si>
  <si>
    <t>Almansa</t>
  </si>
  <si>
    <t>Alpera</t>
  </si>
  <si>
    <t>Ayna</t>
  </si>
  <si>
    <t>Balazote</t>
  </si>
  <si>
    <t>Balsa de Ves</t>
  </si>
  <si>
    <t>El Ballestero</t>
  </si>
  <si>
    <t>Barrax</t>
  </si>
  <si>
    <t>Bienservida</t>
  </si>
  <si>
    <t>Bogarra</t>
  </si>
  <si>
    <t>Bonete</t>
  </si>
  <si>
    <t>El Bonillo</t>
  </si>
  <si>
    <t>Carcelén</t>
  </si>
  <si>
    <t>Casas de Juan Núñez</t>
  </si>
  <si>
    <t>Casas de Lázaro</t>
  </si>
  <si>
    <t>Casas de Ves</t>
  </si>
  <si>
    <t>Casas-Ibáñez</t>
  </si>
  <si>
    <t>Caudete</t>
  </si>
  <si>
    <t>Cenizate</t>
  </si>
  <si>
    <t>Corral-Rubio</t>
  </si>
  <si>
    <t>Cotillas</t>
  </si>
  <si>
    <t>Chinchilla de Monte-Aragón</t>
  </si>
  <si>
    <t>Elche de la Sierra</t>
  </si>
  <si>
    <t>Férez</t>
  </si>
  <si>
    <t>Fuensanta</t>
  </si>
  <si>
    <t>Fuente-Álamo</t>
  </si>
  <si>
    <t>Fuentealbilla</t>
  </si>
  <si>
    <t>La Gineta</t>
  </si>
  <si>
    <t>Golosalvo</t>
  </si>
  <si>
    <t>Hellín</t>
  </si>
  <si>
    <t>La Herrera</t>
  </si>
  <si>
    <t>Higueruela</t>
  </si>
  <si>
    <t>Hoya-Gonzalo</t>
  </si>
  <si>
    <t>Jorquera</t>
  </si>
  <si>
    <t>Letur</t>
  </si>
  <si>
    <t>Lezuza</t>
  </si>
  <si>
    <t>Liétor</t>
  </si>
  <si>
    <t>Madrigueras</t>
  </si>
  <si>
    <t>Mahora</t>
  </si>
  <si>
    <t>Masegoso</t>
  </si>
  <si>
    <t>Minaya</t>
  </si>
  <si>
    <t>Molinicos</t>
  </si>
  <si>
    <t>Montalvos</t>
  </si>
  <si>
    <t>Montealegre del Castillo</t>
  </si>
  <si>
    <t>Motilleja</t>
  </si>
  <si>
    <t>Munera</t>
  </si>
  <si>
    <t>Navas de Jorquera</t>
  </si>
  <si>
    <t>Nerpio</t>
  </si>
  <si>
    <t>Ontur</t>
  </si>
  <si>
    <t>Ossa de Montiel</t>
  </si>
  <si>
    <t>Paterna del Madera</t>
  </si>
  <si>
    <t>Peñascosa</t>
  </si>
  <si>
    <t>Peñas de San Pedro</t>
  </si>
  <si>
    <t>Pétrola</t>
  </si>
  <si>
    <t>Povedilla</t>
  </si>
  <si>
    <t>Pozohondo</t>
  </si>
  <si>
    <t>Pozo-Lorente</t>
  </si>
  <si>
    <t>Pozuelo</t>
  </si>
  <si>
    <t>La Recueja</t>
  </si>
  <si>
    <t>Riópar</t>
  </si>
  <si>
    <t>Robledo</t>
  </si>
  <si>
    <t>La Roda</t>
  </si>
  <si>
    <t>Salobre</t>
  </si>
  <si>
    <t>San Pedro</t>
  </si>
  <si>
    <t>Socovos</t>
  </si>
  <si>
    <t>Tarazona de la Mancha</t>
  </si>
  <si>
    <t>Tobarra</t>
  </si>
  <si>
    <t>Valdeganga</t>
  </si>
  <si>
    <t>Vianos</t>
  </si>
  <si>
    <t>Villa de Ves</t>
  </si>
  <si>
    <t>Villalgordo del Júcar</t>
  </si>
  <si>
    <t>Villamalea</t>
  </si>
  <si>
    <t>Villapalacios</t>
  </si>
  <si>
    <t>Villarrobledo</t>
  </si>
  <si>
    <t>Villatoya</t>
  </si>
  <si>
    <t>Villavaliente</t>
  </si>
  <si>
    <t>Villaverde de Guadalimar</t>
  </si>
  <si>
    <t>Viveros</t>
  </si>
  <si>
    <t>Yeste</t>
  </si>
  <si>
    <t>Pozo Cañada</t>
  </si>
  <si>
    <t>Abenójar</t>
  </si>
  <si>
    <t>Agudo</t>
  </si>
  <si>
    <t>Alamillo</t>
  </si>
  <si>
    <t>Albaladejo</t>
  </si>
  <si>
    <t>Alcázar de San Juan</t>
  </si>
  <si>
    <t>Alcoba</t>
  </si>
  <si>
    <t>Alcolea de Calatrava</t>
  </si>
  <si>
    <t>Alcubillas</t>
  </si>
  <si>
    <t>Aldea del Rey</t>
  </si>
  <si>
    <t>Alhambra</t>
  </si>
  <si>
    <t>Almadén</t>
  </si>
  <si>
    <t>Almadenejos</t>
  </si>
  <si>
    <t>Almagro</t>
  </si>
  <si>
    <t>Almedina</t>
  </si>
  <si>
    <t>Almodóvar del Campo</t>
  </si>
  <si>
    <t>Almuradiel</t>
  </si>
  <si>
    <t>Anchuras</t>
  </si>
  <si>
    <t>Arenas de San Juan</t>
  </si>
  <si>
    <t>Argamasilla de Alba</t>
  </si>
  <si>
    <t>Argamasilla de Calatrava</t>
  </si>
  <si>
    <t>Arroba de los Montes</t>
  </si>
  <si>
    <t>Ballesteros de Calatrava</t>
  </si>
  <si>
    <t>Bolaños de Calatrava</t>
  </si>
  <si>
    <t>Brazatortas</t>
  </si>
  <si>
    <t>Cabezarados</t>
  </si>
  <si>
    <t>Cabezarrubias del Puerto</t>
  </si>
  <si>
    <t>Calzada de Calatrava</t>
  </si>
  <si>
    <t>Campo de Criptana</t>
  </si>
  <si>
    <t>Cañada de Calatrava</t>
  </si>
  <si>
    <t>Caracuel de Calatrava</t>
  </si>
  <si>
    <t>Carrión de Calatrava</t>
  </si>
  <si>
    <t>Carrizosa</t>
  </si>
  <si>
    <t>Castellar de Santiago</t>
  </si>
  <si>
    <t>Corral de Calatrava</t>
  </si>
  <si>
    <t>Los Cortijos</t>
  </si>
  <si>
    <t>Cózar</t>
  </si>
  <si>
    <t>Chillón</t>
  </si>
  <si>
    <t>Daimiel</t>
  </si>
  <si>
    <t>Fernán Caballero</t>
  </si>
  <si>
    <t>Fontanarejo</t>
  </si>
  <si>
    <t>Fuencaliente</t>
  </si>
  <si>
    <t>Fuenllana</t>
  </si>
  <si>
    <t>Fuente el Fresno</t>
  </si>
  <si>
    <t>Granátula de Calatrava</t>
  </si>
  <si>
    <t>Guadalmez</t>
  </si>
  <si>
    <t>Herencia</t>
  </si>
  <si>
    <t>Hinojosas de Calatrava</t>
  </si>
  <si>
    <t>Horcajo de los Montes</t>
  </si>
  <si>
    <t>Las Labores</t>
  </si>
  <si>
    <t>Luciana</t>
  </si>
  <si>
    <t>Malagón</t>
  </si>
  <si>
    <t>Manzanares</t>
  </si>
  <si>
    <t>Membrilla</t>
  </si>
  <si>
    <t>Mestanza</t>
  </si>
  <si>
    <t>Miguelturra</t>
  </si>
  <si>
    <t>Montiel</t>
  </si>
  <si>
    <t>Moral de Calatrava</t>
  </si>
  <si>
    <t>Navalpino</t>
  </si>
  <si>
    <t>Navas de Estena</t>
  </si>
  <si>
    <t>Pedro Muñoz</t>
  </si>
  <si>
    <t>Picón</t>
  </si>
  <si>
    <t>Piedrabuena</t>
  </si>
  <si>
    <t>Poblete</t>
  </si>
  <si>
    <t>Porzuna</t>
  </si>
  <si>
    <t>Pozuelo de Calatrava</t>
  </si>
  <si>
    <t>Los Pozuelos de Calatrava</t>
  </si>
  <si>
    <t>Puebla de Don Rodrigo</t>
  </si>
  <si>
    <t>Puebla del Príncipe</t>
  </si>
  <si>
    <t>Puerto Lápice</t>
  </si>
  <si>
    <t>Puertollano</t>
  </si>
  <si>
    <t>Retuerta del Bullaque</t>
  </si>
  <si>
    <t>Saceruela</t>
  </si>
  <si>
    <t>San Carlos del Valle</t>
  </si>
  <si>
    <t>San Lorenzo de Calatrava</t>
  </si>
  <si>
    <t>Santa Cruz de los Cáñamos</t>
  </si>
  <si>
    <t>Santa Cruz de Mudela</t>
  </si>
  <si>
    <t>Socuéllamos</t>
  </si>
  <si>
    <t>La Solana</t>
  </si>
  <si>
    <t>Solana del Pino</t>
  </si>
  <si>
    <t>Terrinches</t>
  </si>
  <si>
    <t>Tomelloso</t>
  </si>
  <si>
    <t>Torralba de Calatrava</t>
  </si>
  <si>
    <t>Torre de Juan Abad</t>
  </si>
  <si>
    <t>Torrenueva</t>
  </si>
  <si>
    <t>Valdemanco del Esteras</t>
  </si>
  <si>
    <t>Valdepeñas</t>
  </si>
  <si>
    <t>Valenzuela de Calatrava</t>
  </si>
  <si>
    <t>Villahermosa</t>
  </si>
  <si>
    <t>Villamanrique</t>
  </si>
  <si>
    <t>Villamayor de Calatrava</t>
  </si>
  <si>
    <t>Villanueva de la Fuente</t>
  </si>
  <si>
    <t>Villanueva de los Infantes</t>
  </si>
  <si>
    <t>Villanueva de San Carlos</t>
  </si>
  <si>
    <t>Villar del Pozo</t>
  </si>
  <si>
    <t>Villarrubia de los Ojos</t>
  </si>
  <si>
    <t>Villarta de San Juan</t>
  </si>
  <si>
    <t>Viso del Marqués</t>
  </si>
  <si>
    <t>El Robledo</t>
  </si>
  <si>
    <t>Ruidera</t>
  </si>
  <si>
    <t>Arenales de San Gregorio</t>
  </si>
  <si>
    <t>Llanos del Caudillo</t>
  </si>
  <si>
    <t>Abia de la Obispalía</t>
  </si>
  <si>
    <t>El Acebrón</t>
  </si>
  <si>
    <t>Alarcón</t>
  </si>
  <si>
    <t>Albaladejo del Cuende</t>
  </si>
  <si>
    <t>Albalate de las Nogueras</t>
  </si>
  <si>
    <t>Albendea</t>
  </si>
  <si>
    <t>La Alberca de Záncara</t>
  </si>
  <si>
    <t>Alcalá de la Vega</t>
  </si>
  <si>
    <t>Alcantud</t>
  </si>
  <si>
    <t>Alcázar del Rey</t>
  </si>
  <si>
    <t>Alcohujate</t>
  </si>
  <si>
    <t>Alconchel de la Estrella</t>
  </si>
  <si>
    <t>Algarra</t>
  </si>
  <si>
    <t>Aliaguilla</t>
  </si>
  <si>
    <t>La Almarcha</t>
  </si>
  <si>
    <t>Almendros</t>
  </si>
  <si>
    <t>Almodóvar del Pinar</t>
  </si>
  <si>
    <t>Almonacid del Marquesado</t>
  </si>
  <si>
    <t>Altarejos</t>
  </si>
  <si>
    <t>Arandilla del Arroyo</t>
  </si>
  <si>
    <t>Arcos de la Sierra</t>
  </si>
  <si>
    <t>Chillarón de Cuenca</t>
  </si>
  <si>
    <t>Arguisuelas</t>
  </si>
  <si>
    <t>Arrancacepas</t>
  </si>
  <si>
    <t>Atalaya del Cañavate</t>
  </si>
  <si>
    <t>Barajas de Melo</t>
  </si>
  <si>
    <t>Barchín del Hoyo</t>
  </si>
  <si>
    <t>Bascuñana de San Pedro</t>
  </si>
  <si>
    <t>Beamud</t>
  </si>
  <si>
    <t>Belinchón</t>
  </si>
  <si>
    <t>Belmonte</t>
  </si>
  <si>
    <t>Belmontejo</t>
  </si>
  <si>
    <t>Beteta</t>
  </si>
  <si>
    <t>Boniches</t>
  </si>
  <si>
    <t>Buciegas</t>
  </si>
  <si>
    <t>Buenache de Alarcón</t>
  </si>
  <si>
    <t>Buenache de la Sierra</t>
  </si>
  <si>
    <t>Buendía</t>
  </si>
  <si>
    <t>Campillo de Altobuey</t>
  </si>
  <si>
    <t>Campillos-Paravientos</t>
  </si>
  <si>
    <t>Campillos-Sierra</t>
  </si>
  <si>
    <t>Canalejas del Arroyo</t>
  </si>
  <si>
    <t>Cañada del Hoyo</t>
  </si>
  <si>
    <t>Cañada Juncosa</t>
  </si>
  <si>
    <t>Cañamares</t>
  </si>
  <si>
    <t>El Cañavate</t>
  </si>
  <si>
    <t>Cañaveras</t>
  </si>
  <si>
    <t>Cañaveruelas</t>
  </si>
  <si>
    <t>Cañete</t>
  </si>
  <si>
    <t>Cañizares</t>
  </si>
  <si>
    <t>Carboneras de Guadazaón</t>
  </si>
  <si>
    <t>Cardenete</t>
  </si>
  <si>
    <t>Carrascosa</t>
  </si>
  <si>
    <t>Carrascosa de Haro</t>
  </si>
  <si>
    <t>Casas de Benítez</t>
  </si>
  <si>
    <t>Casas de Fernando Alonso</t>
  </si>
  <si>
    <t>Casas de Garcimolina</t>
  </si>
  <si>
    <t>Casas de Guijarro</t>
  </si>
  <si>
    <t>Casas de Haro</t>
  </si>
  <si>
    <t>Casas de los Pinos</t>
  </si>
  <si>
    <t>Casasimarro</t>
  </si>
  <si>
    <t>Castejón</t>
  </si>
  <si>
    <t>Castillejo de Iniesta</t>
  </si>
  <si>
    <t>Castillejo-Sierra</t>
  </si>
  <si>
    <t>Castillo-Albaráñez</t>
  </si>
  <si>
    <t>Castillo de Garcimuñoz</t>
  </si>
  <si>
    <t>Cervera del Llano</t>
  </si>
  <si>
    <t>La Cierva</t>
  </si>
  <si>
    <t>Cueva del Hierro</t>
  </si>
  <si>
    <t>Chumillas</t>
  </si>
  <si>
    <t>Enguídanos</t>
  </si>
  <si>
    <t>Fresneda de Altarejos</t>
  </si>
  <si>
    <t>Fresneda de la Sierra</t>
  </si>
  <si>
    <t>La Frontera</t>
  </si>
  <si>
    <t>Fuente de Pedro Naharro</t>
  </si>
  <si>
    <t>Fuentelespino de Haro</t>
  </si>
  <si>
    <t>Fuentelespino de Moya</t>
  </si>
  <si>
    <t>Fuentes</t>
  </si>
  <si>
    <t>Fuertescusa</t>
  </si>
  <si>
    <t>Gabaldón</t>
  </si>
  <si>
    <t>Garaballa</t>
  </si>
  <si>
    <t>Gascueña</t>
  </si>
  <si>
    <t>Graja de Campalbo</t>
  </si>
  <si>
    <t>Graja de Iniesta</t>
  </si>
  <si>
    <t>Henarejos</t>
  </si>
  <si>
    <t>El Herrumblar</t>
  </si>
  <si>
    <t>La Hinojosa</t>
  </si>
  <si>
    <t>Los Hinojosos</t>
  </si>
  <si>
    <t>El Hito</t>
  </si>
  <si>
    <t>Honrubia</t>
  </si>
  <si>
    <t>Hontanaya</t>
  </si>
  <si>
    <t>Hontecillas</t>
  </si>
  <si>
    <t>Horcajo de Santiago</t>
  </si>
  <si>
    <t>Huélamo</t>
  </si>
  <si>
    <t>Huelves</t>
  </si>
  <si>
    <t>Huérguina</t>
  </si>
  <si>
    <t>Huerta de la Obispalía</t>
  </si>
  <si>
    <t>Huerta del Marquesado</t>
  </si>
  <si>
    <t>Huete</t>
  </si>
  <si>
    <t>Iniesta</t>
  </si>
  <si>
    <t>Laguna del Marquesado</t>
  </si>
  <si>
    <t>Lagunaseca</t>
  </si>
  <si>
    <t>Landete</t>
  </si>
  <si>
    <t>Ledaña</t>
  </si>
  <si>
    <t>Leganiel</t>
  </si>
  <si>
    <t>Las Majadas</t>
  </si>
  <si>
    <t>Mariana</t>
  </si>
  <si>
    <t>Masegosa</t>
  </si>
  <si>
    <t>Las Mesas</t>
  </si>
  <si>
    <t>Minglanilla</t>
  </si>
  <si>
    <t>Mira</t>
  </si>
  <si>
    <t>Monreal del Llano</t>
  </si>
  <si>
    <t>Montalbanejo</t>
  </si>
  <si>
    <t>Montalbo</t>
  </si>
  <si>
    <t>Monteagudo de las Salinas</t>
  </si>
  <si>
    <t>Mota de Altarejos</t>
  </si>
  <si>
    <t>Mota del Cuervo</t>
  </si>
  <si>
    <t>Motilla del Palancar</t>
  </si>
  <si>
    <t>Moya</t>
  </si>
  <si>
    <t>Narboneta</t>
  </si>
  <si>
    <t>Olivares de Júcar</t>
  </si>
  <si>
    <t>Olmeda de la Cuesta</t>
  </si>
  <si>
    <t>Olmeda del Rey</t>
  </si>
  <si>
    <t>Olmedilla de Alarcón</t>
  </si>
  <si>
    <t>Olmedilla de Eliz</t>
  </si>
  <si>
    <t>Osa de la Vega</t>
  </si>
  <si>
    <t>Pajarón</t>
  </si>
  <si>
    <t>Pajaroncillo</t>
  </si>
  <si>
    <t>Palomares del Campo</t>
  </si>
  <si>
    <t>Palomera</t>
  </si>
  <si>
    <t>Paracuellos</t>
  </si>
  <si>
    <t>Paredes</t>
  </si>
  <si>
    <t>La Parra de las Vegas</t>
  </si>
  <si>
    <t>El Pedernoso</t>
  </si>
  <si>
    <t>Las Pedroñeras</t>
  </si>
  <si>
    <t>El Peral</t>
  </si>
  <si>
    <t>La Peraleja</t>
  </si>
  <si>
    <t>La Pesquera</t>
  </si>
  <si>
    <t>El Picazo</t>
  </si>
  <si>
    <t>Pinarejo</t>
  </si>
  <si>
    <t>Pineda de Gigüela</t>
  </si>
  <si>
    <t>Piqueras del Castillo</t>
  </si>
  <si>
    <t>Portalrubio de Guadamejud</t>
  </si>
  <si>
    <t>Portilla</t>
  </si>
  <si>
    <t>Poyatos</t>
  </si>
  <si>
    <t>Pozoamargo</t>
  </si>
  <si>
    <t>Pozorrubio de Santiago</t>
  </si>
  <si>
    <t>El Pozuelo</t>
  </si>
  <si>
    <t>Priego</t>
  </si>
  <si>
    <t>El Provencio</t>
  </si>
  <si>
    <t>Puebla de Almenara</t>
  </si>
  <si>
    <t>El Valle de Altomira</t>
  </si>
  <si>
    <t>Puebla del Salvador</t>
  </si>
  <si>
    <t>Quintanar del Rey</t>
  </si>
  <si>
    <t>Rada de Haro</t>
  </si>
  <si>
    <t>Reíllo</t>
  </si>
  <si>
    <t>Rozalén del Monte</t>
  </si>
  <si>
    <t>Saceda-Trasierra</t>
  </si>
  <si>
    <t>Saelices</t>
  </si>
  <si>
    <t>Salinas del Manzano</t>
  </si>
  <si>
    <t>Salmeroncillos</t>
  </si>
  <si>
    <t>Salvacañete</t>
  </si>
  <si>
    <t>San Clemente</t>
  </si>
  <si>
    <t>San Lorenzo de la Parrilla</t>
  </si>
  <si>
    <t>San Martín de Boniches</t>
  </si>
  <si>
    <t>San Pedro Palmiches</t>
  </si>
  <si>
    <t>Santa Cruz de Moya</t>
  </si>
  <si>
    <t>Santa María del Campo Rus</t>
  </si>
  <si>
    <t>Santa María de los Llanos</t>
  </si>
  <si>
    <t>Santa María del Val</t>
  </si>
  <si>
    <t>Sisante</t>
  </si>
  <si>
    <t>Solera de Gabaldón</t>
  </si>
  <si>
    <t>Talayuelas</t>
  </si>
  <si>
    <t>Tarancón</t>
  </si>
  <si>
    <t>Tébar</t>
  </si>
  <si>
    <t>Tejadillos</t>
  </si>
  <si>
    <t>Tinajas</t>
  </si>
  <si>
    <t>Torralba</t>
  </si>
  <si>
    <t>Torrejoncillo del Rey</t>
  </si>
  <si>
    <t>Torrubia del Campo</t>
  </si>
  <si>
    <t>Torrubia del Castillo</t>
  </si>
  <si>
    <t>Tragacete</t>
  </si>
  <si>
    <t>Tresjuncos</t>
  </si>
  <si>
    <t>Tribaldos</t>
  </si>
  <si>
    <t>Uclés</t>
  </si>
  <si>
    <t>Uña</t>
  </si>
  <si>
    <t>Valdemeca</t>
  </si>
  <si>
    <t>Valdemorillo de la Sierra</t>
  </si>
  <si>
    <t>Valdemoro-Sierra</t>
  </si>
  <si>
    <t>Valdeolivas</t>
  </si>
  <si>
    <t>Valhermoso de la Fuente</t>
  </si>
  <si>
    <t>Valsalobre</t>
  </si>
  <si>
    <t>Valverde de Júcar</t>
  </si>
  <si>
    <t>Valverdejo</t>
  </si>
  <si>
    <t>Vara de Rey</t>
  </si>
  <si>
    <t>Vega del Codorno</t>
  </si>
  <si>
    <t>Vellisca</t>
  </si>
  <si>
    <t>Villaconejos de Trabaque</t>
  </si>
  <si>
    <t>Villaescusa de Haro</t>
  </si>
  <si>
    <t>Villagarcía del Llano</t>
  </si>
  <si>
    <t>Villalba de la Sierra</t>
  </si>
  <si>
    <t>Villalba del Rey</t>
  </si>
  <si>
    <t>Villalgordo del Marquesado</t>
  </si>
  <si>
    <t>Villalpardo</t>
  </si>
  <si>
    <t>Villamayor de Santiago</t>
  </si>
  <si>
    <t>Villanueva de Guadamejud</t>
  </si>
  <si>
    <t>Villanueva de la Jara</t>
  </si>
  <si>
    <t>Villar de Cañas</t>
  </si>
  <si>
    <t>Villar de Domingo García</t>
  </si>
  <si>
    <t>Villar de la Encina</t>
  </si>
  <si>
    <t>Villar del Humo</t>
  </si>
  <si>
    <t>Villar del Infantado</t>
  </si>
  <si>
    <t>Villar de Olalla</t>
  </si>
  <si>
    <t>Villarejo de Fuentes</t>
  </si>
  <si>
    <t>Villarejo de la Peñuela</t>
  </si>
  <si>
    <t>Villarejo-Periesteban</t>
  </si>
  <si>
    <t>Villares del Saz</t>
  </si>
  <si>
    <t>Villarrubio</t>
  </si>
  <si>
    <t>Villarta</t>
  </si>
  <si>
    <t>Villas de la Ventosa</t>
  </si>
  <si>
    <t>Villaverde y Pasaconsol</t>
  </si>
  <si>
    <t>Víllora</t>
  </si>
  <si>
    <t>Vindel</t>
  </si>
  <si>
    <t>Yémeda</t>
  </si>
  <si>
    <t>Zafra de Záncara</t>
  </si>
  <si>
    <t>Zafrilla</t>
  </si>
  <si>
    <t>Zarza de Tajo</t>
  </si>
  <si>
    <t>Zarzuela</t>
  </si>
  <si>
    <t>Campos del Paraíso</t>
  </si>
  <si>
    <t>Valdetórtola</t>
  </si>
  <si>
    <t>Las Valeras</t>
  </si>
  <si>
    <t>Fuentenava de Jábaga</t>
  </si>
  <si>
    <t>Arcas</t>
  </si>
  <si>
    <t>Los Valdecolmenas</t>
  </si>
  <si>
    <t>Pozorrubielos de la Mancha</t>
  </si>
  <si>
    <t>Sotorribas</t>
  </si>
  <si>
    <t>Villar y Velasco</t>
  </si>
  <si>
    <t>Abánades</t>
  </si>
  <si>
    <t>Ablanque</t>
  </si>
  <si>
    <t>Adobes</t>
  </si>
  <si>
    <t>Alaminos</t>
  </si>
  <si>
    <t>Alarilla</t>
  </si>
  <si>
    <t>Albalate de Zorita</t>
  </si>
  <si>
    <t>Albares</t>
  </si>
  <si>
    <t>Albendiego</t>
  </si>
  <si>
    <t>Alcocer</t>
  </si>
  <si>
    <t>Alcolea de las Peñas</t>
  </si>
  <si>
    <t>Alcolea del Pinar</t>
  </si>
  <si>
    <t>Alcoroches</t>
  </si>
  <si>
    <t>Aldeanueva de Guadalajara</t>
  </si>
  <si>
    <t>Algar de Mesa</t>
  </si>
  <si>
    <t>Algora</t>
  </si>
  <si>
    <t>Alhóndiga</t>
  </si>
  <si>
    <t>Alique</t>
  </si>
  <si>
    <t>Almadrones</t>
  </si>
  <si>
    <t>Almoguera</t>
  </si>
  <si>
    <t>Almonacid de Zorita</t>
  </si>
  <si>
    <t>Alocén</t>
  </si>
  <si>
    <t>Alovera</t>
  </si>
  <si>
    <t>Alustante</t>
  </si>
  <si>
    <t>Angón</t>
  </si>
  <si>
    <t>Anguita</t>
  </si>
  <si>
    <t>Anquela del Ducado</t>
  </si>
  <si>
    <t>Anquela del Pedregal</t>
  </si>
  <si>
    <t>Aranzueque</t>
  </si>
  <si>
    <t>Arbancón</t>
  </si>
  <si>
    <t>Arbeteta</t>
  </si>
  <si>
    <t>Argecilla</t>
  </si>
  <si>
    <t>Armallones</t>
  </si>
  <si>
    <t>Armuña de Tajuña</t>
  </si>
  <si>
    <t>Arroyo de las Fraguas</t>
  </si>
  <si>
    <t>Atanzón</t>
  </si>
  <si>
    <t>Atienza</t>
  </si>
  <si>
    <t>Auñón</t>
  </si>
  <si>
    <t>Azuqueca de Henares</t>
  </si>
  <si>
    <t>Baides</t>
  </si>
  <si>
    <t>Baños de Tajo</t>
  </si>
  <si>
    <t>Bañuelos</t>
  </si>
  <si>
    <t>Barriopedro</t>
  </si>
  <si>
    <t>Berninches</t>
  </si>
  <si>
    <t>La Bodera</t>
  </si>
  <si>
    <t>Brihuega</t>
  </si>
  <si>
    <t>Budia</t>
  </si>
  <si>
    <t>Bujalaro</t>
  </si>
  <si>
    <t>Bustares</t>
  </si>
  <si>
    <t>Cabanillas del Campo</t>
  </si>
  <si>
    <t>Campillo de Dueñas</t>
  </si>
  <si>
    <t>Campillo de Ranas</t>
  </si>
  <si>
    <t>Campisábalos</t>
  </si>
  <si>
    <t>Canredondo</t>
  </si>
  <si>
    <t>Cantalojas</t>
  </si>
  <si>
    <t>Cañizar</t>
  </si>
  <si>
    <t>El Cardoso de la Sierra</t>
  </si>
  <si>
    <t>Casa de Uceda</t>
  </si>
  <si>
    <t>El Casar</t>
  </si>
  <si>
    <t>Casas de San Galindo</t>
  </si>
  <si>
    <t>Caspueñas</t>
  </si>
  <si>
    <t>Castejón de Henares</t>
  </si>
  <si>
    <t>Castellar de la Muela</t>
  </si>
  <si>
    <t>Castilforte</t>
  </si>
  <si>
    <t>Castilnuevo</t>
  </si>
  <si>
    <t>Cendejas de Enmedio</t>
  </si>
  <si>
    <t>Cendejas de la Torre</t>
  </si>
  <si>
    <t>Centenera</t>
  </si>
  <si>
    <t>Cifuentes</t>
  </si>
  <si>
    <t>Cincovillas</t>
  </si>
  <si>
    <t>Ciruelas</t>
  </si>
  <si>
    <t>Ciruelos del Pinar</t>
  </si>
  <si>
    <t>Cobeta</t>
  </si>
  <si>
    <t>Cogollor</t>
  </si>
  <si>
    <t>Cogolludo</t>
  </si>
  <si>
    <t>Condemios de Abajo</t>
  </si>
  <si>
    <t>Condemios de Arriba</t>
  </si>
  <si>
    <t>Congostrina</t>
  </si>
  <si>
    <t>Copernal</t>
  </si>
  <si>
    <t>Corduente</t>
  </si>
  <si>
    <t>El Cubillo de Uceda</t>
  </si>
  <si>
    <t>Checa</t>
  </si>
  <si>
    <t>Chequilla</t>
  </si>
  <si>
    <t>Chiloeches</t>
  </si>
  <si>
    <t>Chillarón del Rey</t>
  </si>
  <si>
    <t>Driebes</t>
  </si>
  <si>
    <t>Durón</t>
  </si>
  <si>
    <t>Embid</t>
  </si>
  <si>
    <t>Escamilla</t>
  </si>
  <si>
    <t>Escariche</t>
  </si>
  <si>
    <t>Escopete</t>
  </si>
  <si>
    <t>Espinosa de Henares</t>
  </si>
  <si>
    <t>Esplegares</t>
  </si>
  <si>
    <t>Establés</t>
  </si>
  <si>
    <t>Estriégana</t>
  </si>
  <si>
    <t>Fontanar</t>
  </si>
  <si>
    <t>Fuembellida</t>
  </si>
  <si>
    <t>Fuencemillán</t>
  </si>
  <si>
    <t>Fuentelahiguera de Albatages</t>
  </si>
  <si>
    <t>Fuentelencina</t>
  </si>
  <si>
    <t>Fuentelsaz</t>
  </si>
  <si>
    <t>Fuentelviejo</t>
  </si>
  <si>
    <t>Fuentenovilla</t>
  </si>
  <si>
    <t>Gajanejos</t>
  </si>
  <si>
    <t>Galápagos</t>
  </si>
  <si>
    <t>Galve de Sorbe</t>
  </si>
  <si>
    <t>Gascueña de Bornova</t>
  </si>
  <si>
    <t>Henche</t>
  </si>
  <si>
    <t>Heras de Ayuso</t>
  </si>
  <si>
    <t>Herrería</t>
  </si>
  <si>
    <t>Hiendelaencina</t>
  </si>
  <si>
    <t>Hijes</t>
  </si>
  <si>
    <t>Hita</t>
  </si>
  <si>
    <t>Hombrados</t>
  </si>
  <si>
    <t>Hontoba</t>
  </si>
  <si>
    <t>Horche</t>
  </si>
  <si>
    <t>Hortezuela de Océn</t>
  </si>
  <si>
    <t>La Huerce</t>
  </si>
  <si>
    <t>Huérmeces del Cerro</t>
  </si>
  <si>
    <t>Huertahernando</t>
  </si>
  <si>
    <t>Hueva</t>
  </si>
  <si>
    <t>Humanes</t>
  </si>
  <si>
    <t>Illana</t>
  </si>
  <si>
    <t>Iniéstola</t>
  </si>
  <si>
    <t>Las Inviernas</t>
  </si>
  <si>
    <t>Irueste</t>
  </si>
  <si>
    <t>Jadraque</t>
  </si>
  <si>
    <t>Jirueque</t>
  </si>
  <si>
    <t>Ledanca</t>
  </si>
  <si>
    <t>Loranca de Tajuña</t>
  </si>
  <si>
    <t>Lupiana</t>
  </si>
  <si>
    <t>Luzaga</t>
  </si>
  <si>
    <t>Luzón</t>
  </si>
  <si>
    <t>Majaelrayo</t>
  </si>
  <si>
    <t>Málaga del Fresno</t>
  </si>
  <si>
    <t>Malaguilla</t>
  </si>
  <si>
    <t>Mandayona</t>
  </si>
  <si>
    <t>Mantiel</t>
  </si>
  <si>
    <t>Maranchón</t>
  </si>
  <si>
    <t>Marchamalo</t>
  </si>
  <si>
    <t>Masegoso de Tajuña</t>
  </si>
  <si>
    <t>Matarrubia</t>
  </si>
  <si>
    <t>Matillas</t>
  </si>
  <si>
    <t>Mazarete</t>
  </si>
  <si>
    <t>Mazuecos</t>
  </si>
  <si>
    <t>Medranda</t>
  </si>
  <si>
    <t>Megina</t>
  </si>
  <si>
    <t>Membrillera</t>
  </si>
  <si>
    <t>Miedes de Atienza</t>
  </si>
  <si>
    <t>La Mierla</t>
  </si>
  <si>
    <t>Milmarcos</t>
  </si>
  <si>
    <t>Millana</t>
  </si>
  <si>
    <t>La Miñosa</t>
  </si>
  <si>
    <t>Mirabueno</t>
  </si>
  <si>
    <t>Miralrío</t>
  </si>
  <si>
    <t>Mochales</t>
  </si>
  <si>
    <t>Mohernando</t>
  </si>
  <si>
    <t>Molina de Aragón</t>
  </si>
  <si>
    <t>Monasterio</t>
  </si>
  <si>
    <t>Mondéjar</t>
  </si>
  <si>
    <t>Montarrón</t>
  </si>
  <si>
    <t>Moratilla de los Meleros</t>
  </si>
  <si>
    <t>Morenilla</t>
  </si>
  <si>
    <t>Muduex</t>
  </si>
  <si>
    <t>Las Navas de Jadraque</t>
  </si>
  <si>
    <t>Negredo</t>
  </si>
  <si>
    <t>Ocentejo</t>
  </si>
  <si>
    <t>El Olivar</t>
  </si>
  <si>
    <t>Olmeda de Cobeta</t>
  </si>
  <si>
    <t>La Olmeda de Jadraque</t>
  </si>
  <si>
    <t>El Ordial</t>
  </si>
  <si>
    <t>Orea</t>
  </si>
  <si>
    <t>Pálmaces de Jadraque</t>
  </si>
  <si>
    <t>Pardos</t>
  </si>
  <si>
    <t>Paredes de Sigüenza</t>
  </si>
  <si>
    <t>Pareja</t>
  </si>
  <si>
    <t>Pastrana</t>
  </si>
  <si>
    <t>El Pedregal</t>
  </si>
  <si>
    <t>Peñalén</t>
  </si>
  <si>
    <t>Peñalver</t>
  </si>
  <si>
    <t>Peralejos de las Truchas</t>
  </si>
  <si>
    <t>Peralveche</t>
  </si>
  <si>
    <t>Pinilla de Jadraque</t>
  </si>
  <si>
    <t>Pinilla de Molina</t>
  </si>
  <si>
    <t>Pioz</t>
  </si>
  <si>
    <t>Piqueras</t>
  </si>
  <si>
    <t>El Pobo de Dueñas</t>
  </si>
  <si>
    <t>Poveda de la Sierra</t>
  </si>
  <si>
    <t>Pozo de Almoguera</t>
  </si>
  <si>
    <t>Pozo de Guadalajara</t>
  </si>
  <si>
    <t>Prádena de Atienza</t>
  </si>
  <si>
    <t>Prados Redondos</t>
  </si>
  <si>
    <t>Puebla de Beleña</t>
  </si>
  <si>
    <t>Puebla de Valles</t>
  </si>
  <si>
    <t>Quer</t>
  </si>
  <si>
    <t>Rebollosa de Jadraque</t>
  </si>
  <si>
    <t>El Recuenco</t>
  </si>
  <si>
    <t>Renera</t>
  </si>
  <si>
    <t>Retiendas</t>
  </si>
  <si>
    <t>Riba de Saelices</t>
  </si>
  <si>
    <t>Rillo de Gallo</t>
  </si>
  <si>
    <t>Riofrío del Llano</t>
  </si>
  <si>
    <t>Robledillo de Mohernando</t>
  </si>
  <si>
    <t>Robledo de Corpes</t>
  </si>
  <si>
    <t>Romanillos de Atienza</t>
  </si>
  <si>
    <t>Romanones</t>
  </si>
  <si>
    <t>Rueda de la Sierra</t>
  </si>
  <si>
    <t>Sacecorbo</t>
  </si>
  <si>
    <t>Sacedón</t>
  </si>
  <si>
    <t>Saelices de la Sal</t>
  </si>
  <si>
    <t>Salmerón</t>
  </si>
  <si>
    <t>San Andrés del Congosto</t>
  </si>
  <si>
    <t>San Andrés del Rey</t>
  </si>
  <si>
    <t>Santiuste</t>
  </si>
  <si>
    <t>Saúca</t>
  </si>
  <si>
    <t>Sayatón</t>
  </si>
  <si>
    <t>Selas</t>
  </si>
  <si>
    <t>Setiles</t>
  </si>
  <si>
    <t>Sienes</t>
  </si>
  <si>
    <t>Sigüenza</t>
  </si>
  <si>
    <t>Solanillos del Extremo</t>
  </si>
  <si>
    <t>Somolinos</t>
  </si>
  <si>
    <t>El Sotillo</t>
  </si>
  <si>
    <t>Sotodosos</t>
  </si>
  <si>
    <t>Tamajón</t>
  </si>
  <si>
    <t>Taragudo</t>
  </si>
  <si>
    <t>Taravilla</t>
  </si>
  <si>
    <t>Tartanedo</t>
  </si>
  <si>
    <t>Tendilla</t>
  </si>
  <si>
    <t>Terzaga</t>
  </si>
  <si>
    <t>Tierzo</t>
  </si>
  <si>
    <t>La Toba</t>
  </si>
  <si>
    <t>Tordelrábano</t>
  </si>
  <si>
    <t>Tordellego</t>
  </si>
  <si>
    <t>Tordesilos</t>
  </si>
  <si>
    <t>Torija</t>
  </si>
  <si>
    <t>Torrecuadrada de Molina</t>
  </si>
  <si>
    <t>Torrecuadradilla</t>
  </si>
  <si>
    <t>Torre del Burgo</t>
  </si>
  <si>
    <t>Torrejón del Rey</t>
  </si>
  <si>
    <t>Torremocha de Jadraque</t>
  </si>
  <si>
    <t>Torremocha del Campo</t>
  </si>
  <si>
    <t>Torremocha del Pinar</t>
  </si>
  <si>
    <t>Torremochuela</t>
  </si>
  <si>
    <t>Torrubia</t>
  </si>
  <si>
    <t>Tórtola de Henares</t>
  </si>
  <si>
    <t>Tortuera</t>
  </si>
  <si>
    <t>Tortuero</t>
  </si>
  <si>
    <t>Traíd</t>
  </si>
  <si>
    <t>Trijueque</t>
  </si>
  <si>
    <t>Trillo</t>
  </si>
  <si>
    <t>Uceda</t>
  </si>
  <si>
    <t>Ujados</t>
  </si>
  <si>
    <t>Utande</t>
  </si>
  <si>
    <t>Valdarachas</t>
  </si>
  <si>
    <t>Valdearenas</t>
  </si>
  <si>
    <t>Valdeavellano</t>
  </si>
  <si>
    <t>Valdeaveruelo</t>
  </si>
  <si>
    <t>Valdeconcha</t>
  </si>
  <si>
    <t>Valdegrudas</t>
  </si>
  <si>
    <t>Valdelcubo</t>
  </si>
  <si>
    <t>Valdenuño Fernández</t>
  </si>
  <si>
    <t>Valdepeñas de la Sierra</t>
  </si>
  <si>
    <t>Valderrebollo</t>
  </si>
  <si>
    <t>Valdesotos</t>
  </si>
  <si>
    <t>Valfermoso de Tajuña</t>
  </si>
  <si>
    <t>Valhermoso</t>
  </si>
  <si>
    <t>Valtablado del Río</t>
  </si>
  <si>
    <t>Valverde de los Arroyos</t>
  </si>
  <si>
    <t>Viana de Jadraque</t>
  </si>
  <si>
    <t>Villanueva de Alcorón</t>
  </si>
  <si>
    <t>Villanueva de Argecilla</t>
  </si>
  <si>
    <t>Villanueva de la Torre</t>
  </si>
  <si>
    <t>Villares de Jadraque</t>
  </si>
  <si>
    <t>Villaseca de Henares</t>
  </si>
  <si>
    <t>Villaseca de Uceda</t>
  </si>
  <si>
    <t>Villel de Mesa</t>
  </si>
  <si>
    <t>Viñuelas</t>
  </si>
  <si>
    <t>Yebes</t>
  </si>
  <si>
    <t>Yebra</t>
  </si>
  <si>
    <t>Yélamos de Abajo</t>
  </si>
  <si>
    <t>Yélamos de Arriba</t>
  </si>
  <si>
    <t>Yunquera de Henares</t>
  </si>
  <si>
    <t>La Yunta</t>
  </si>
  <si>
    <t>Zaorejas</t>
  </si>
  <si>
    <t>Zarzuela de Jadraque</t>
  </si>
  <si>
    <t>Zorita de los Canes</t>
  </si>
  <si>
    <t>Semillas</t>
  </si>
  <si>
    <t>Ajofrín</t>
  </si>
  <si>
    <t>Alameda de la Sagra</t>
  </si>
  <si>
    <t>Albarreal de Tajo</t>
  </si>
  <si>
    <t>Alcabón</t>
  </si>
  <si>
    <t>Alcañizo</t>
  </si>
  <si>
    <t>Alcaudete de la Jara</t>
  </si>
  <si>
    <t>Alcolea de Tajo</t>
  </si>
  <si>
    <t>Aldea en Cabo</t>
  </si>
  <si>
    <t>Aldeanueva de Barbarroya</t>
  </si>
  <si>
    <t>Aldeanueva de San Bartolomé</t>
  </si>
  <si>
    <t>Almendral de la Cañada</t>
  </si>
  <si>
    <t>Almonacid de Toledo</t>
  </si>
  <si>
    <t>Almorox</t>
  </si>
  <si>
    <t>Añover de Tajo</t>
  </si>
  <si>
    <t>Arcicóllar</t>
  </si>
  <si>
    <t>Argés</t>
  </si>
  <si>
    <t>Azután</t>
  </si>
  <si>
    <t>Barcience</t>
  </si>
  <si>
    <t>Bargas</t>
  </si>
  <si>
    <t>Belvís de la Jara</t>
  </si>
  <si>
    <t>Borox</t>
  </si>
  <si>
    <t>Buenaventura</t>
  </si>
  <si>
    <t>Burguillos de Toledo</t>
  </si>
  <si>
    <t>Burujón</t>
  </si>
  <si>
    <t>Cabañas de la Sagra</t>
  </si>
  <si>
    <t>Cabañas de Yepes</t>
  </si>
  <si>
    <t>Cabezamesada</t>
  </si>
  <si>
    <t>Calera y Chozas</t>
  </si>
  <si>
    <t>Caleruela</t>
  </si>
  <si>
    <t>Calzada de Oropesa</t>
  </si>
  <si>
    <t>Camarena</t>
  </si>
  <si>
    <t>Camarenilla</t>
  </si>
  <si>
    <t>El Campillo de la Jara</t>
  </si>
  <si>
    <t>Camuñas</t>
  </si>
  <si>
    <t>Cardiel de los Montes</t>
  </si>
  <si>
    <t>Carmena</t>
  </si>
  <si>
    <t>El Carpio de Tajo</t>
  </si>
  <si>
    <t>Carranque</t>
  </si>
  <si>
    <t>Carriches</t>
  </si>
  <si>
    <t>El Casar de Escalona</t>
  </si>
  <si>
    <t>Casarrubios del Monte</t>
  </si>
  <si>
    <t>Casasbuenas</t>
  </si>
  <si>
    <t>Castillo de Bayuela</t>
  </si>
  <si>
    <t>Cazalegas</t>
  </si>
  <si>
    <t>Cebolla</t>
  </si>
  <si>
    <t>Cedillo del Condado</t>
  </si>
  <si>
    <t>Los Cerralbos</t>
  </si>
  <si>
    <t>Cervera de los Montes</t>
  </si>
  <si>
    <t>Ciruelos</t>
  </si>
  <si>
    <t>Cobeja</t>
  </si>
  <si>
    <t>Cobisa</t>
  </si>
  <si>
    <t>Consuegra</t>
  </si>
  <si>
    <t>Corral de Almaguer</t>
  </si>
  <si>
    <t>Cuerva</t>
  </si>
  <si>
    <t>Chozas de Canales</t>
  </si>
  <si>
    <t>Chueca</t>
  </si>
  <si>
    <t>Domingo Pérez</t>
  </si>
  <si>
    <t>Dosbarrios</t>
  </si>
  <si>
    <t>Erustes</t>
  </si>
  <si>
    <t>Escalona</t>
  </si>
  <si>
    <t>Escalonilla</t>
  </si>
  <si>
    <t>Espinoso del Rey</t>
  </si>
  <si>
    <t>Esquivias</t>
  </si>
  <si>
    <t>La Estrella</t>
  </si>
  <si>
    <t>Fuensalida</t>
  </si>
  <si>
    <t>Gálvez</t>
  </si>
  <si>
    <t>Garciotum</t>
  </si>
  <si>
    <t>Gerindote</t>
  </si>
  <si>
    <t>Guadamur</t>
  </si>
  <si>
    <t>La Guardia</t>
  </si>
  <si>
    <t>Las Herencias</t>
  </si>
  <si>
    <t>Herreruela de Oropesa</t>
  </si>
  <si>
    <t>Hinojosa de San Vicente</t>
  </si>
  <si>
    <t>Hontanar</t>
  </si>
  <si>
    <t>Hormigos</t>
  </si>
  <si>
    <t>Huecas</t>
  </si>
  <si>
    <t>Huerta de Valdecarábanos</t>
  </si>
  <si>
    <t>La Iglesuela del Tiétar</t>
  </si>
  <si>
    <t>Illán de Vacas</t>
  </si>
  <si>
    <t>Illescas</t>
  </si>
  <si>
    <t>Lagartera</t>
  </si>
  <si>
    <t>Layos</t>
  </si>
  <si>
    <t>Lillo</t>
  </si>
  <si>
    <t>Lominchar</t>
  </si>
  <si>
    <t>Lucillos</t>
  </si>
  <si>
    <t>Madridejos</t>
  </si>
  <si>
    <t>Magán</t>
  </si>
  <si>
    <t>Malpica de Tajo</t>
  </si>
  <si>
    <t>Manzaneque</t>
  </si>
  <si>
    <t>Maqueda</t>
  </si>
  <si>
    <t>Marjaliza</t>
  </si>
  <si>
    <t>Marrupe</t>
  </si>
  <si>
    <t>Mascaraque</t>
  </si>
  <si>
    <t>La Mata</t>
  </si>
  <si>
    <t>Mazarambroz</t>
  </si>
  <si>
    <t>Mejorada</t>
  </si>
  <si>
    <t>Menasalbas</t>
  </si>
  <si>
    <t>Méntrida</t>
  </si>
  <si>
    <t>Mesegar de Tajo</t>
  </si>
  <si>
    <t>Miguel Esteban</t>
  </si>
  <si>
    <t>Mocejón</t>
  </si>
  <si>
    <t>Mohedas de la Jara</t>
  </si>
  <si>
    <t>Montearagón</t>
  </si>
  <si>
    <t>Montesclaros</t>
  </si>
  <si>
    <t>Mora</t>
  </si>
  <si>
    <t>Nambroca</t>
  </si>
  <si>
    <t>La Nava de Ricomalillo</t>
  </si>
  <si>
    <t>Navahermosa</t>
  </si>
  <si>
    <t>Navalcán</t>
  </si>
  <si>
    <t>Navalmoralejo</t>
  </si>
  <si>
    <t>Los Navalmorales</t>
  </si>
  <si>
    <t>Los Navalucillos</t>
  </si>
  <si>
    <t>Navamorcuende</t>
  </si>
  <si>
    <t>Noblejas</t>
  </si>
  <si>
    <t>Noez</t>
  </si>
  <si>
    <t>Nombela</t>
  </si>
  <si>
    <t>Novés</t>
  </si>
  <si>
    <t>Numancia de la Sagra</t>
  </si>
  <si>
    <t>Nuño Gómez</t>
  </si>
  <si>
    <t>Ocaña</t>
  </si>
  <si>
    <t>Olías del Rey</t>
  </si>
  <si>
    <t>Ontígola</t>
  </si>
  <si>
    <t>Orgaz</t>
  </si>
  <si>
    <t>Oropesa</t>
  </si>
  <si>
    <t>Otero</t>
  </si>
  <si>
    <t>Palomeque</t>
  </si>
  <si>
    <t>Pantoja</t>
  </si>
  <si>
    <t>Paredes de Escalona</t>
  </si>
  <si>
    <t>Parrillas</t>
  </si>
  <si>
    <t>Pelahustán</t>
  </si>
  <si>
    <t>Pepino</t>
  </si>
  <si>
    <t>Polán</t>
  </si>
  <si>
    <t>Portillo de Toledo</t>
  </si>
  <si>
    <t>La Puebla de Almoradiel</t>
  </si>
  <si>
    <t>La Puebla de Montalbán</t>
  </si>
  <si>
    <t>La Pueblanueva</t>
  </si>
  <si>
    <t>El Puente del Arzobispo</t>
  </si>
  <si>
    <t>Puerto de San Vicente</t>
  </si>
  <si>
    <t>Pulgar</t>
  </si>
  <si>
    <t>Quero</t>
  </si>
  <si>
    <t>Quintanar de la Orden</t>
  </si>
  <si>
    <t>Quismondo</t>
  </si>
  <si>
    <t>El Real de San Vicente</t>
  </si>
  <si>
    <t>Recas</t>
  </si>
  <si>
    <t>Retamoso de la Jara</t>
  </si>
  <si>
    <t>Rielves</t>
  </si>
  <si>
    <t>Robledo del Mazo</t>
  </si>
  <si>
    <t>El Romeral</t>
  </si>
  <si>
    <t>San Bartolomé de las Abiertas</t>
  </si>
  <si>
    <t>San Martín de Montalbán</t>
  </si>
  <si>
    <t>San Martín de Pusa</t>
  </si>
  <si>
    <t>San Pablo de los Montes</t>
  </si>
  <si>
    <t>San Román de los Montes</t>
  </si>
  <si>
    <t>Santa Ana de Pusa</t>
  </si>
  <si>
    <t>Santa Cruz de la Zarza</t>
  </si>
  <si>
    <t>Santa Cruz del Retamar</t>
  </si>
  <si>
    <t>Santa Olalla</t>
  </si>
  <si>
    <t>Sartajada</t>
  </si>
  <si>
    <t>Segurilla</t>
  </si>
  <si>
    <t>Seseña</t>
  </si>
  <si>
    <t>Sevilleja de la Jara</t>
  </si>
  <si>
    <t>Sonseca</t>
  </si>
  <si>
    <t>Sotillo de las Palomas</t>
  </si>
  <si>
    <t>Talavera de la Reina</t>
  </si>
  <si>
    <t>Tembleque</t>
  </si>
  <si>
    <t>El Toboso</t>
  </si>
  <si>
    <t>Torralba de Oropesa</t>
  </si>
  <si>
    <t>Torrecilla de la Jara</t>
  </si>
  <si>
    <t>La Torre de Esteban Hambrán</t>
  </si>
  <si>
    <t>Torrico</t>
  </si>
  <si>
    <t>Torrijos</t>
  </si>
  <si>
    <t>Totanés</t>
  </si>
  <si>
    <t>Turleque</t>
  </si>
  <si>
    <t>Ugena</t>
  </si>
  <si>
    <t>Urda</t>
  </si>
  <si>
    <t>Valdeverdeja</t>
  </si>
  <si>
    <t>Valmojado</t>
  </si>
  <si>
    <t>Velada</t>
  </si>
  <si>
    <t>Las Ventas con Peña Aguilera</t>
  </si>
  <si>
    <t>Las Ventas de Retamosa</t>
  </si>
  <si>
    <t>Las Ventas de San Julián</t>
  </si>
  <si>
    <t>Villacañas</t>
  </si>
  <si>
    <t>La Villa de Don Fadrique</t>
  </si>
  <si>
    <t>Villafranca de los Caballeros</t>
  </si>
  <si>
    <t>Villaluenga de la Sagra</t>
  </si>
  <si>
    <t>Villamiel de Toledo</t>
  </si>
  <si>
    <t>Villaminaya</t>
  </si>
  <si>
    <t>Villamuelas</t>
  </si>
  <si>
    <t>Villanueva de Alcardete</t>
  </si>
  <si>
    <t>Villanueva de Bogas</t>
  </si>
  <si>
    <t>Villarejo de Montalbán</t>
  </si>
  <si>
    <t>Villarrubia de Santiago</t>
  </si>
  <si>
    <t>Villaseca de la Sagra</t>
  </si>
  <si>
    <t>Villasequilla</t>
  </si>
  <si>
    <t>Villatobas</t>
  </si>
  <si>
    <t>El Viso de San Juan</t>
  </si>
  <si>
    <t>Los Yébenes</t>
  </si>
  <si>
    <t>Yeles</t>
  </si>
  <si>
    <t>Yepes</t>
  </si>
  <si>
    <t>Yuncler</t>
  </si>
  <si>
    <t>Yunclillos</t>
  </si>
  <si>
    <t>Yuncos</t>
  </si>
  <si>
    <t>Santo Domingo-Caudilla</t>
  </si>
  <si>
    <t>CLM</t>
  </si>
  <si>
    <t>autonómico</t>
  </si>
  <si>
    <t>Ámbito</t>
  </si>
  <si>
    <t>Comunidad_Autónoma</t>
  </si>
  <si>
    <t>NIVEL III</t>
  </si>
  <si>
    <t>hora</t>
  </si>
  <si>
    <t>22:00-8:00</t>
  </si>
  <si>
    <t>MEDIDAS DE NIVEL 3</t>
  </si>
  <si>
    <t>22:00-7:00</t>
  </si>
  <si>
    <t>MEDIDAS NIVEL III REFORZADAS</t>
  </si>
  <si>
    <t>MEDIDAS DE NIVEL II</t>
  </si>
  <si>
    <t>solo familiares</t>
  </si>
  <si>
    <t>Paola Sánchez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</si>
</sst>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rgb="FF000000"/>
      <name val="Calibri"/>
      <family val="2"/>
    </font>
    <font>
      <sz val="11"/>
      <color rgb="FF00B05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0" fillId="3" borderId="0" xfId="0" applyFill="1"/>
    <xf numFmtId="0" fontId="1" fillId="0" borderId="0" xfId="0" applyNumberFormat="1" applyFont="1"/>
    <xf numFmtId="0" fontId="0" fillId="0" borderId="0" xfId="0" applyNumberFormat="1"/>
    <xf numFmtId="14" fontId="0" fillId="0" borderId="0" xfId="0" applyNumberFormat="1" applyFont="1"/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/>
    </xf>
    <xf numFmtId="0" fontId="0" fillId="0" borderId="0" xfId="0" applyNumberFormat="1" applyFont="1"/>
    <xf numFmtId="14" fontId="0" fillId="0" borderId="0" xfId="0" applyNumberFormat="1" applyFont="1" applyAlignment="1">
      <alignment horizontal="center"/>
    </xf>
    <xf numFmtId="14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Font="1"/>
    <xf numFmtId="0" fontId="0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Font="1" applyFill="1"/>
    <xf numFmtId="14" fontId="0" fillId="0" borderId="0" xfId="0" applyNumberFormat="1" applyFont="1" applyFill="1"/>
    <xf numFmtId="0" fontId="0" fillId="0" borderId="0" xfId="0" applyNumberFormat="1" applyFont="1" applyFill="1"/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14" fontId="3" fillId="0" borderId="0" xfId="0" applyNumberFormat="1" applyFont="1" applyFill="1" applyAlignment="1">
      <alignment horizontal="center"/>
    </xf>
    <xf numFmtId="14" fontId="3" fillId="0" borderId="0" xfId="0" applyNumberFormat="1" applyFont="1" applyAlignment="1">
      <alignment horizontal="center"/>
    </xf>
    <xf numFmtId="9" fontId="0" fillId="0" borderId="0" xfId="0" applyNumberFormat="1"/>
    <xf numFmtId="14" fontId="3" fillId="0" borderId="0" xfId="0" applyNumberFormat="1" applyFont="1" applyFill="1"/>
    <xf numFmtId="0" fontId="0" fillId="0" borderId="0" xfId="0" applyFill="1"/>
    <xf numFmtId="14" fontId="0" fillId="0" borderId="0" xfId="0" applyNumberFormat="1" applyFill="1"/>
    <xf numFmtId="0" fontId="0" fillId="0" borderId="0" xfId="0" applyFill="1" applyAlignment="1">
      <alignment vertical="center" wrapText="1"/>
    </xf>
    <xf numFmtId="9" fontId="0" fillId="0" borderId="0" xfId="0" applyNumberFormat="1" applyFill="1"/>
    <xf numFmtId="0" fontId="0" fillId="0" borderId="0" xfId="0" applyNumberFormat="1" applyFill="1"/>
    <xf numFmtId="0" fontId="1" fillId="0" borderId="0" xfId="0" applyFont="1" applyAlignment="1">
      <alignment horizontal="center" vertical="center" wrapText="1"/>
    </xf>
    <xf numFmtId="0" fontId="6" fillId="0" borderId="0" xfId="0" applyFont="1"/>
    <xf numFmtId="0" fontId="2" fillId="0" borderId="0" xfId="0" applyFont="1"/>
    <xf numFmtId="0" fontId="6" fillId="0" borderId="0" xfId="0" applyFont="1" applyAlignment="1">
      <alignment horizontal="left" vertical="top" wrapText="1"/>
    </xf>
    <xf numFmtId="0" fontId="0" fillId="0" borderId="0" xfId="0" quotePrefix="1"/>
    <xf numFmtId="0" fontId="4" fillId="0" borderId="0" xfId="0" applyFont="1" applyFill="1" applyAlignment="1">
      <alignment horizontal="center" vertical="center" wrapText="1"/>
    </xf>
    <xf numFmtId="0" fontId="1" fillId="0" borderId="0" xfId="0" applyNumberFormat="1" applyFont="1" applyAlignment="1">
      <alignment horizontal="center" vertical="center" wrapText="1"/>
    </xf>
    <xf numFmtId="3" fontId="0" fillId="0" borderId="0" xfId="0" applyNumberFormat="1"/>
    <xf numFmtId="0" fontId="1" fillId="4" borderId="0" xfId="0" applyFont="1" applyFill="1"/>
    <xf numFmtId="3" fontId="1" fillId="4" borderId="0" xfId="0" applyNumberFormat="1" applyFont="1" applyFill="1"/>
    <xf numFmtId="0" fontId="0" fillId="4" borderId="0" xfId="0" applyFill="1"/>
    <xf numFmtId="0" fontId="1" fillId="4" borderId="0" xfId="0" applyFont="1" applyFill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184150</xdr:colOff>
          <xdr:row>3</xdr:row>
          <xdr:rowOff>165100</xdr:rowOff>
        </xdr:from>
        <xdr:to>
          <xdr:col>5</xdr:col>
          <xdr:colOff>609600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aquí para acceder al FORMULARIO para introducir MEDIDAS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edidas_MUR_20201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BASE"/>
      <sheetName val="Biblioteca"/>
      <sheetName val="Población"/>
      <sheetName val="MEDIDAS 14-12-2020"/>
      <sheetName val="Actualizaciones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4:F12"/>
  <sheetViews>
    <sheetView workbookViewId="0">
      <selection activeCell="F13" sqref="F13"/>
    </sheetView>
  </sheetViews>
  <sheetFormatPr baseColWidth="10" defaultColWidth="11.453125" defaultRowHeight="14.5" x14ac:dyDescent="0.35"/>
  <cols>
    <col min="1" max="16384" width="11.453125" style="5"/>
  </cols>
  <sheetData>
    <row r="4" spans="2:6" x14ac:dyDescent="0.35">
      <c r="B4" s="6"/>
      <c r="C4" s="6"/>
      <c r="D4" s="6"/>
      <c r="E4" s="6"/>
      <c r="F4" s="6"/>
    </row>
    <row r="5" spans="2:6" x14ac:dyDescent="0.35">
      <c r="B5" s="6"/>
      <c r="C5" s="6"/>
      <c r="D5" s="6"/>
      <c r="E5" s="6"/>
      <c r="F5" s="6"/>
    </row>
    <row r="6" spans="2:6" x14ac:dyDescent="0.35">
      <c r="B6" s="6"/>
      <c r="C6" s="6"/>
      <c r="D6" s="6"/>
      <c r="E6" s="6"/>
      <c r="F6" s="6"/>
    </row>
    <row r="7" spans="2:6" x14ac:dyDescent="0.35">
      <c r="B7" s="6"/>
      <c r="C7" s="6"/>
      <c r="D7" s="6"/>
      <c r="E7" s="6"/>
      <c r="F7" s="6"/>
    </row>
    <row r="8" spans="2:6" x14ac:dyDescent="0.35">
      <c r="B8" s="6"/>
      <c r="C8" s="6"/>
      <c r="D8" s="6"/>
      <c r="E8" s="6"/>
      <c r="F8" s="6"/>
    </row>
    <row r="9" spans="2:6" x14ac:dyDescent="0.35">
      <c r="B9" s="6"/>
      <c r="C9" s="6"/>
      <c r="D9" s="6"/>
      <c r="E9" s="6"/>
      <c r="F9" s="6"/>
    </row>
    <row r="10" spans="2:6" x14ac:dyDescent="0.35">
      <c r="B10" s="6"/>
      <c r="C10" s="6"/>
      <c r="D10" s="6"/>
      <c r="E10" s="6"/>
      <c r="F10" s="6"/>
    </row>
    <row r="11" spans="2:6" x14ac:dyDescent="0.35">
      <c r="B11" s="6"/>
      <c r="C11" s="6"/>
      <c r="D11" s="6"/>
      <c r="E11" s="6"/>
      <c r="F11" s="6"/>
    </row>
    <row r="12" spans="2:6" x14ac:dyDescent="0.35">
      <c r="B12" s="6"/>
      <c r="C12" s="6"/>
      <c r="D12" s="6"/>
      <c r="E12" s="6"/>
      <c r="F12" s="6"/>
    </row>
  </sheetData>
  <sheetProtection algorithmName="SHA-512" hashValue="xbpshgR8pLsz8CToHH64X2EOR5NsnFkfRzjZVE7Ws6d7gSUMPaEnnA1FueJYEWVyaChUKZze0wYLcR1FjQ7nCA==" saltValue="CGhJOHG/Wx8zVhjkzjIvQg==" spinCount="100000"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lamar_formulario">
                <anchor moveWithCells="1" sizeWithCells="1">
                  <from>
                    <xdr:col>1</xdr:col>
                    <xdr:colOff>184150</xdr:colOff>
                    <xdr:row>3</xdr:row>
                    <xdr:rowOff>165100</xdr:rowOff>
                  </from>
                  <to>
                    <xdr:col>5</xdr:col>
                    <xdr:colOff>609600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Q2524"/>
  <sheetViews>
    <sheetView tabSelected="1" zoomScale="80" zoomScaleNormal="80" workbookViewId="0">
      <pane ySplit="1" topLeftCell="A2497" activePane="bottomLeft" state="frozen"/>
      <selection pane="bottomLeft" activeCell="H2163" sqref="H2163"/>
    </sheetView>
  </sheetViews>
  <sheetFormatPr baseColWidth="10" defaultRowHeight="14.5" x14ac:dyDescent="0.35"/>
  <cols>
    <col min="1" max="1" width="13.08984375" bestFit="1" customWidth="1"/>
    <col min="2" max="2" width="18.1796875" customWidth="1"/>
    <col min="3" max="3" width="11.1796875" customWidth="1"/>
    <col min="4" max="4" width="13.453125" style="18" customWidth="1"/>
    <col min="5" max="5" width="11.26953125" style="18" customWidth="1"/>
    <col min="6" max="6" width="11.453125" style="34"/>
    <col min="7" max="7" width="4.36328125" style="25" customWidth="1"/>
    <col min="8" max="8" width="8.54296875" style="8" customWidth="1"/>
    <col min="9" max="9" width="11.26953125" customWidth="1"/>
    <col min="10" max="10" width="5" customWidth="1"/>
    <col min="11" max="11" width="11.54296875" customWidth="1"/>
    <col min="12" max="12" width="13.1796875" bestFit="1" customWidth="1"/>
    <col min="13" max="13" width="16.1796875" customWidth="1"/>
    <col min="14" max="14" width="18.26953125" customWidth="1"/>
    <col min="15" max="15" width="14.26953125" customWidth="1"/>
  </cols>
  <sheetData>
    <row r="1" spans="1:17" s="2" customFormat="1" ht="45" customHeight="1" x14ac:dyDescent="0.35">
      <c r="A1" s="40" t="s">
        <v>1342</v>
      </c>
      <c r="B1" s="40" t="s">
        <v>1343</v>
      </c>
      <c r="C1" s="40" t="s">
        <v>0</v>
      </c>
      <c r="D1" s="40" t="s">
        <v>8</v>
      </c>
      <c r="E1" s="40" t="s">
        <v>1</v>
      </c>
      <c r="F1" s="45" t="s">
        <v>2</v>
      </c>
      <c r="G1" s="40" t="s">
        <v>5</v>
      </c>
      <c r="H1" s="46" t="s">
        <v>4</v>
      </c>
      <c r="I1" s="40" t="s">
        <v>9</v>
      </c>
      <c r="J1" s="40" t="s">
        <v>3</v>
      </c>
      <c r="K1" s="40" t="s">
        <v>7</v>
      </c>
      <c r="L1" s="40" t="s">
        <v>6</v>
      </c>
      <c r="M1" s="40" t="s">
        <v>13</v>
      </c>
      <c r="N1" s="40" t="s">
        <v>14</v>
      </c>
      <c r="O1" s="40"/>
      <c r="P1" s="40"/>
      <c r="Q1" s="40"/>
    </row>
    <row r="2" spans="1:17" s="14" customFormat="1" x14ac:dyDescent="0.35">
      <c r="A2" s="14" t="s">
        <v>1341</v>
      </c>
      <c r="B2" s="14" t="s">
        <v>377</v>
      </c>
      <c r="C2" s="26"/>
      <c r="D2" s="27">
        <v>44004</v>
      </c>
      <c r="E2" s="27">
        <v>44004</v>
      </c>
      <c r="F2" s="34">
        <v>44215</v>
      </c>
      <c r="G2" s="26"/>
      <c r="H2" s="28" t="s">
        <v>202</v>
      </c>
      <c r="I2" s="26"/>
      <c r="J2" s="26"/>
      <c r="K2" s="26"/>
      <c r="L2" s="26"/>
      <c r="M2" s="29"/>
      <c r="N2" s="30"/>
      <c r="O2" s="15"/>
      <c r="P2" s="15"/>
      <c r="Q2" s="15"/>
    </row>
    <row r="3" spans="1:17" s="26" customFormat="1" x14ac:dyDescent="0.35">
      <c r="A3" s="14" t="s">
        <v>1341</v>
      </c>
      <c r="B3" s="14" t="s">
        <v>377</v>
      </c>
      <c r="D3" s="9">
        <v>44006</v>
      </c>
      <c r="E3" s="17">
        <v>44003</v>
      </c>
      <c r="F3" s="31">
        <v>44066</v>
      </c>
      <c r="H3" s="28" t="s">
        <v>49</v>
      </c>
      <c r="K3" s="26" t="s">
        <v>380</v>
      </c>
      <c r="L3" s="26">
        <v>300</v>
      </c>
      <c r="M3" s="29"/>
      <c r="N3" s="30"/>
      <c r="O3" s="30"/>
      <c r="P3" s="30"/>
      <c r="Q3" s="30"/>
    </row>
    <row r="4" spans="1:17" s="26" customFormat="1" x14ac:dyDescent="0.35">
      <c r="A4" s="14" t="s">
        <v>1341</v>
      </c>
      <c r="B4" s="14" t="s">
        <v>377</v>
      </c>
      <c r="D4" s="9">
        <v>44006</v>
      </c>
      <c r="E4" s="17">
        <v>44003</v>
      </c>
      <c r="F4" s="34">
        <v>44215</v>
      </c>
      <c r="H4" s="28" t="s">
        <v>49</v>
      </c>
      <c r="K4" s="26" t="s">
        <v>381</v>
      </c>
      <c r="L4" s="26">
        <v>75</v>
      </c>
      <c r="M4" s="29"/>
      <c r="N4" s="30"/>
      <c r="O4" s="30"/>
      <c r="P4" s="30"/>
      <c r="Q4" s="30"/>
    </row>
    <row r="5" spans="1:17" s="26" customFormat="1" x14ac:dyDescent="0.35">
      <c r="A5" s="14" t="s">
        <v>1341</v>
      </c>
      <c r="B5" s="14" t="s">
        <v>377</v>
      </c>
      <c r="D5" s="9">
        <v>44006</v>
      </c>
      <c r="E5" s="17">
        <v>44003</v>
      </c>
      <c r="F5" s="34">
        <v>44215</v>
      </c>
      <c r="H5" s="28" t="s">
        <v>51</v>
      </c>
      <c r="K5" s="26" t="s">
        <v>381</v>
      </c>
      <c r="L5" s="26">
        <v>75</v>
      </c>
      <c r="M5" s="29"/>
      <c r="N5" s="30"/>
      <c r="O5" s="30"/>
      <c r="P5" s="30"/>
      <c r="Q5" s="30"/>
    </row>
    <row r="6" spans="1:17" s="26" customFormat="1" x14ac:dyDescent="0.35">
      <c r="A6" s="14" t="s">
        <v>1341</v>
      </c>
      <c r="B6" s="14" t="s">
        <v>377</v>
      </c>
      <c r="D6" s="9">
        <v>44006</v>
      </c>
      <c r="E6" s="17">
        <v>44003</v>
      </c>
      <c r="F6" s="34">
        <v>44215</v>
      </c>
      <c r="H6" s="28" t="s">
        <v>74</v>
      </c>
      <c r="M6" s="29"/>
      <c r="N6" s="30"/>
      <c r="O6" s="30"/>
      <c r="P6" s="30"/>
      <c r="Q6" s="30"/>
    </row>
    <row r="7" spans="1:17" s="26" customFormat="1" x14ac:dyDescent="0.35">
      <c r="A7" s="14" t="s">
        <v>1341</v>
      </c>
      <c r="B7" s="14" t="s">
        <v>377</v>
      </c>
      <c r="D7" s="9">
        <v>44006</v>
      </c>
      <c r="E7" s="17">
        <v>44003</v>
      </c>
      <c r="F7" s="34">
        <v>44215</v>
      </c>
      <c r="H7" s="28" t="s">
        <v>47</v>
      </c>
      <c r="K7" s="26" t="s">
        <v>381</v>
      </c>
      <c r="L7" s="26">
        <v>75</v>
      </c>
      <c r="M7" s="29"/>
      <c r="N7" s="30"/>
      <c r="O7" s="30"/>
      <c r="P7" s="30"/>
      <c r="Q7" s="30"/>
    </row>
    <row r="8" spans="1:17" s="26" customFormat="1" x14ac:dyDescent="0.35">
      <c r="A8" s="14" t="s">
        <v>1341</v>
      </c>
      <c r="B8" s="14" t="s">
        <v>377</v>
      </c>
      <c r="D8" s="9">
        <v>44006</v>
      </c>
      <c r="E8" s="17">
        <v>44003</v>
      </c>
      <c r="F8" s="34">
        <v>44215</v>
      </c>
      <c r="H8" s="28" t="s">
        <v>47</v>
      </c>
      <c r="K8" s="26" t="s">
        <v>380</v>
      </c>
      <c r="L8" s="26">
        <v>25</v>
      </c>
      <c r="M8" s="29"/>
      <c r="N8" s="30"/>
      <c r="O8" s="30"/>
      <c r="P8" s="30"/>
      <c r="Q8" s="30"/>
    </row>
    <row r="9" spans="1:17" s="26" customFormat="1" x14ac:dyDescent="0.35">
      <c r="A9" s="14" t="s">
        <v>1341</v>
      </c>
      <c r="B9" s="14" t="s">
        <v>377</v>
      </c>
      <c r="D9" s="9">
        <v>44006</v>
      </c>
      <c r="E9" s="17">
        <v>44003</v>
      </c>
      <c r="F9" s="34">
        <v>44215</v>
      </c>
      <c r="H9" s="28" t="s">
        <v>46</v>
      </c>
      <c r="K9" s="26" t="s">
        <v>380</v>
      </c>
      <c r="L9" s="26">
        <v>25</v>
      </c>
      <c r="M9" s="29"/>
      <c r="N9" s="30"/>
      <c r="O9" s="30"/>
      <c r="P9" s="30"/>
      <c r="Q9" s="30"/>
    </row>
    <row r="10" spans="1:17" s="26" customFormat="1" x14ac:dyDescent="0.35">
      <c r="A10" s="14" t="s">
        <v>1341</v>
      </c>
      <c r="B10" s="14" t="s">
        <v>377</v>
      </c>
      <c r="D10" s="9">
        <v>44006</v>
      </c>
      <c r="E10" s="17">
        <v>44003</v>
      </c>
      <c r="F10" s="34">
        <v>44215</v>
      </c>
      <c r="H10" s="28" t="s">
        <v>81</v>
      </c>
      <c r="K10" s="26" t="s">
        <v>381</v>
      </c>
      <c r="L10" s="26">
        <v>75</v>
      </c>
      <c r="M10" s="29"/>
      <c r="N10" s="30"/>
      <c r="O10" s="30"/>
      <c r="P10" s="30"/>
      <c r="Q10" s="30"/>
    </row>
    <row r="11" spans="1:17" s="26" customFormat="1" x14ac:dyDescent="0.35">
      <c r="A11" s="14" t="s">
        <v>1341</v>
      </c>
      <c r="B11" s="14" t="s">
        <v>377</v>
      </c>
      <c r="D11" s="9">
        <v>44006</v>
      </c>
      <c r="E11" s="17">
        <v>44003</v>
      </c>
      <c r="F11" s="18">
        <v>44151</v>
      </c>
      <c r="H11" s="28" t="s">
        <v>39</v>
      </c>
      <c r="K11" s="26" t="s">
        <v>381</v>
      </c>
      <c r="L11" s="26">
        <v>75</v>
      </c>
      <c r="M11" s="29"/>
      <c r="N11" s="30"/>
      <c r="O11" s="30"/>
      <c r="P11" s="30"/>
      <c r="Q11" s="30"/>
    </row>
    <row r="12" spans="1:17" s="26" customFormat="1" x14ac:dyDescent="0.35">
      <c r="A12" s="14" t="s">
        <v>1341</v>
      </c>
      <c r="B12" s="14" t="s">
        <v>377</v>
      </c>
      <c r="D12" s="9">
        <v>44006</v>
      </c>
      <c r="E12" s="17">
        <v>44003</v>
      </c>
      <c r="F12" s="34">
        <v>44215</v>
      </c>
      <c r="H12" s="28" t="s">
        <v>40</v>
      </c>
      <c r="K12" s="26" t="s">
        <v>381</v>
      </c>
      <c r="L12" s="26">
        <v>50</v>
      </c>
      <c r="M12" s="29"/>
      <c r="N12" s="30"/>
      <c r="O12" s="30"/>
      <c r="P12" s="30"/>
      <c r="Q12" s="30"/>
    </row>
    <row r="13" spans="1:17" s="26" customFormat="1" x14ac:dyDescent="0.35">
      <c r="A13" s="14" t="s">
        <v>1341</v>
      </c>
      <c r="B13" s="14" t="s">
        <v>377</v>
      </c>
      <c r="D13" s="9">
        <v>44006</v>
      </c>
      <c r="E13" s="17">
        <v>44003</v>
      </c>
      <c r="F13" s="34">
        <v>44215</v>
      </c>
      <c r="H13" s="28" t="s">
        <v>139</v>
      </c>
      <c r="K13" s="26" t="s">
        <v>380</v>
      </c>
      <c r="L13" s="26">
        <v>1000</v>
      </c>
      <c r="M13" s="29"/>
      <c r="N13" s="30"/>
      <c r="O13" s="30"/>
      <c r="P13" s="30"/>
      <c r="Q13" s="30"/>
    </row>
    <row r="14" spans="1:17" s="26" customFormat="1" x14ac:dyDescent="0.35">
      <c r="A14" s="14" t="s">
        <v>1341</v>
      </c>
      <c r="B14" s="14" t="s">
        <v>377</v>
      </c>
      <c r="D14" s="9">
        <v>44006</v>
      </c>
      <c r="E14" s="17">
        <v>44003</v>
      </c>
      <c r="F14" s="31">
        <v>44066</v>
      </c>
      <c r="H14" s="28" t="s">
        <v>144</v>
      </c>
      <c r="M14" s="29"/>
      <c r="N14" s="30"/>
      <c r="O14" s="30"/>
      <c r="P14" s="30"/>
      <c r="Q14" s="30"/>
    </row>
    <row r="15" spans="1:17" s="26" customFormat="1" x14ac:dyDescent="0.35">
      <c r="A15" s="14" t="s">
        <v>1341</v>
      </c>
      <c r="B15" s="14" t="s">
        <v>377</v>
      </c>
      <c r="D15" s="9">
        <v>44006</v>
      </c>
      <c r="E15" s="17">
        <v>44003</v>
      </c>
      <c r="F15" s="31">
        <v>44066</v>
      </c>
      <c r="H15" s="28" t="s">
        <v>55</v>
      </c>
      <c r="K15" s="26" t="s">
        <v>381</v>
      </c>
      <c r="L15" s="26">
        <v>75</v>
      </c>
      <c r="M15" s="29"/>
      <c r="N15" s="30"/>
      <c r="O15" s="30"/>
      <c r="P15" s="30"/>
      <c r="Q15" s="30"/>
    </row>
    <row r="16" spans="1:17" s="26" customFormat="1" x14ac:dyDescent="0.35">
      <c r="A16" s="14" t="s">
        <v>1341</v>
      </c>
      <c r="B16" s="14" t="s">
        <v>377</v>
      </c>
      <c r="D16" s="9">
        <v>44006</v>
      </c>
      <c r="E16" s="17">
        <v>44003</v>
      </c>
      <c r="F16" s="18">
        <v>44140</v>
      </c>
      <c r="H16" s="28" t="s">
        <v>42</v>
      </c>
      <c r="K16" s="26" t="s">
        <v>381</v>
      </c>
      <c r="L16" s="26">
        <v>75</v>
      </c>
      <c r="M16" s="29"/>
      <c r="N16" s="30"/>
      <c r="O16" s="30"/>
      <c r="P16" s="30"/>
      <c r="Q16" s="30"/>
    </row>
    <row r="17" spans="1:17" s="26" customFormat="1" x14ac:dyDescent="0.35">
      <c r="A17" s="14" t="s">
        <v>1341</v>
      </c>
      <c r="B17" s="14" t="s">
        <v>377</v>
      </c>
      <c r="D17" s="9">
        <v>44006</v>
      </c>
      <c r="E17" s="17">
        <v>44003</v>
      </c>
      <c r="F17" s="34">
        <v>44215</v>
      </c>
      <c r="H17" s="28" t="s">
        <v>42</v>
      </c>
      <c r="K17" s="26" t="s">
        <v>384</v>
      </c>
      <c r="L17" s="26">
        <v>25</v>
      </c>
      <c r="M17" s="29"/>
      <c r="N17" s="30"/>
      <c r="O17" s="30"/>
      <c r="P17" s="30"/>
      <c r="Q17" s="30"/>
    </row>
    <row r="18" spans="1:17" s="26" customFormat="1" x14ac:dyDescent="0.35">
      <c r="A18" s="14" t="s">
        <v>1341</v>
      </c>
      <c r="B18" s="14" t="s">
        <v>377</v>
      </c>
      <c r="D18" s="9">
        <v>44006</v>
      </c>
      <c r="E18" s="17">
        <v>44003</v>
      </c>
      <c r="F18" s="18">
        <v>44140</v>
      </c>
      <c r="H18" s="28" t="s">
        <v>43</v>
      </c>
      <c r="K18" s="26" t="s">
        <v>381</v>
      </c>
      <c r="L18" s="26">
        <v>75</v>
      </c>
      <c r="M18" s="29"/>
      <c r="N18" s="30"/>
      <c r="O18" s="30"/>
      <c r="P18" s="30"/>
      <c r="Q18" s="30"/>
    </row>
    <row r="19" spans="1:17" s="26" customFormat="1" x14ac:dyDescent="0.35">
      <c r="A19" s="14" t="s">
        <v>1341</v>
      </c>
      <c r="B19" s="14" t="s">
        <v>377</v>
      </c>
      <c r="D19" s="9">
        <v>44006</v>
      </c>
      <c r="E19" s="17">
        <v>44003</v>
      </c>
      <c r="F19" s="34">
        <v>44215</v>
      </c>
      <c r="H19" s="28" t="s">
        <v>43</v>
      </c>
      <c r="K19" s="26" t="s">
        <v>380</v>
      </c>
      <c r="L19" s="26">
        <v>300</v>
      </c>
      <c r="M19" s="29"/>
      <c r="N19" s="30"/>
      <c r="O19" s="30"/>
      <c r="P19" s="30"/>
      <c r="Q19" s="30"/>
    </row>
    <row r="20" spans="1:17" s="26" customFormat="1" x14ac:dyDescent="0.35">
      <c r="A20" s="14" t="s">
        <v>1341</v>
      </c>
      <c r="B20" s="14" t="s">
        <v>377</v>
      </c>
      <c r="D20" s="9">
        <v>44006</v>
      </c>
      <c r="E20" s="17">
        <v>44003</v>
      </c>
      <c r="F20" s="18">
        <v>44134</v>
      </c>
      <c r="H20" s="28" t="s">
        <v>25</v>
      </c>
      <c r="K20" s="26" t="s">
        <v>381</v>
      </c>
      <c r="L20" s="26">
        <v>75</v>
      </c>
      <c r="M20" s="29"/>
      <c r="N20" s="30"/>
      <c r="O20" s="30"/>
      <c r="P20" s="30"/>
      <c r="Q20" s="30"/>
    </row>
    <row r="21" spans="1:17" s="26" customFormat="1" x14ac:dyDescent="0.35">
      <c r="A21" s="14" t="s">
        <v>1341</v>
      </c>
      <c r="B21" s="14" t="s">
        <v>377</v>
      </c>
      <c r="D21" s="9">
        <v>44006</v>
      </c>
      <c r="E21" s="17">
        <v>44003</v>
      </c>
      <c r="F21" s="31">
        <v>44066</v>
      </c>
      <c r="H21" s="28" t="s">
        <v>23</v>
      </c>
      <c r="K21" s="26" t="s">
        <v>380</v>
      </c>
      <c r="L21" s="26">
        <v>25</v>
      </c>
      <c r="M21" s="29"/>
      <c r="N21" s="30"/>
      <c r="O21" s="30"/>
      <c r="P21" s="30"/>
      <c r="Q21" s="30"/>
    </row>
    <row r="22" spans="1:17" s="26" customFormat="1" x14ac:dyDescent="0.35">
      <c r="A22" s="14" t="s">
        <v>1341</v>
      </c>
      <c r="B22" s="14" t="s">
        <v>377</v>
      </c>
      <c r="D22" s="9">
        <v>44006</v>
      </c>
      <c r="E22" s="17">
        <v>44003</v>
      </c>
      <c r="F22" s="31">
        <v>44066</v>
      </c>
      <c r="H22" s="28" t="s">
        <v>24</v>
      </c>
      <c r="K22" s="26" t="s">
        <v>380</v>
      </c>
      <c r="L22" s="26">
        <v>50</v>
      </c>
      <c r="M22" s="29"/>
      <c r="N22" s="30"/>
      <c r="O22" s="30"/>
      <c r="P22" s="30"/>
      <c r="Q22" s="30"/>
    </row>
    <row r="23" spans="1:17" s="26" customFormat="1" x14ac:dyDescent="0.35">
      <c r="A23" s="14" t="s">
        <v>1341</v>
      </c>
      <c r="B23" s="14" t="s">
        <v>377</v>
      </c>
      <c r="D23" s="9">
        <v>44006</v>
      </c>
      <c r="E23" s="17">
        <v>44003</v>
      </c>
      <c r="F23" s="34">
        <v>44215</v>
      </c>
      <c r="H23" s="28" t="s">
        <v>27</v>
      </c>
      <c r="K23" s="26" t="s">
        <v>381</v>
      </c>
      <c r="L23" s="26">
        <v>75</v>
      </c>
      <c r="M23" s="29"/>
      <c r="N23" s="30"/>
      <c r="O23" s="30"/>
      <c r="P23" s="30"/>
      <c r="Q23" s="30"/>
    </row>
    <row r="24" spans="1:17" s="26" customFormat="1" x14ac:dyDescent="0.35">
      <c r="A24" s="14" t="s">
        <v>1341</v>
      </c>
      <c r="B24" s="14" t="s">
        <v>377</v>
      </c>
      <c r="D24" s="9">
        <v>44006</v>
      </c>
      <c r="E24" s="17">
        <v>44003</v>
      </c>
      <c r="F24" s="34">
        <v>44215</v>
      </c>
      <c r="H24" s="28" t="s">
        <v>160</v>
      </c>
      <c r="M24" s="29"/>
      <c r="N24" s="30"/>
      <c r="O24" s="30"/>
      <c r="P24" s="30"/>
      <c r="Q24" s="30"/>
    </row>
    <row r="25" spans="1:17" s="26" customFormat="1" x14ac:dyDescent="0.35">
      <c r="A25" s="14" t="s">
        <v>1341</v>
      </c>
      <c r="B25" s="14" t="s">
        <v>377</v>
      </c>
      <c r="D25" s="9">
        <v>44006</v>
      </c>
      <c r="E25" s="17">
        <v>44003</v>
      </c>
      <c r="F25" s="31">
        <v>44066</v>
      </c>
      <c r="H25" s="28" t="s">
        <v>30</v>
      </c>
      <c r="K25" s="26" t="s">
        <v>383</v>
      </c>
      <c r="L25" s="26">
        <v>75</v>
      </c>
      <c r="M25" s="29"/>
      <c r="N25" s="30"/>
      <c r="O25" s="30"/>
      <c r="P25" s="30"/>
      <c r="Q25" s="30"/>
    </row>
    <row r="26" spans="1:17" s="26" customFormat="1" x14ac:dyDescent="0.35">
      <c r="A26" s="14" t="s">
        <v>1341</v>
      </c>
      <c r="B26" s="14" t="s">
        <v>377</v>
      </c>
      <c r="D26" s="9">
        <v>44006</v>
      </c>
      <c r="E26" s="17">
        <v>44003</v>
      </c>
      <c r="F26" s="18">
        <v>44140</v>
      </c>
      <c r="H26" s="28" t="s">
        <v>29</v>
      </c>
      <c r="K26" s="26" t="s">
        <v>381</v>
      </c>
      <c r="L26" s="26">
        <v>75</v>
      </c>
      <c r="M26" s="29"/>
      <c r="N26" s="30"/>
      <c r="O26" s="30"/>
      <c r="P26" s="30"/>
      <c r="Q26" s="30"/>
    </row>
    <row r="27" spans="1:17" s="26" customFormat="1" x14ac:dyDescent="0.35">
      <c r="A27" s="14" t="s">
        <v>1341</v>
      </c>
      <c r="B27" s="14" t="s">
        <v>377</v>
      </c>
      <c r="D27" s="9">
        <v>44006</v>
      </c>
      <c r="E27" s="17">
        <v>44003</v>
      </c>
      <c r="F27" s="34">
        <v>44215</v>
      </c>
      <c r="H27" s="28" t="s">
        <v>188</v>
      </c>
      <c r="M27" s="29"/>
      <c r="N27" s="30"/>
      <c r="O27" s="30"/>
      <c r="P27" s="30"/>
      <c r="Q27" s="30"/>
    </row>
    <row r="28" spans="1:17" s="26" customFormat="1" x14ac:dyDescent="0.35">
      <c r="A28" s="14" t="s">
        <v>1341</v>
      </c>
      <c r="B28" s="14" t="s">
        <v>377</v>
      </c>
      <c r="D28" s="9">
        <v>44006</v>
      </c>
      <c r="E28" s="17">
        <v>44003</v>
      </c>
      <c r="F28" s="31">
        <v>44066</v>
      </c>
      <c r="H28" s="28" t="s">
        <v>194</v>
      </c>
      <c r="K28" s="26" t="s">
        <v>381</v>
      </c>
      <c r="L28" s="26">
        <v>75</v>
      </c>
      <c r="M28" s="29"/>
      <c r="N28" s="30"/>
      <c r="O28" s="30"/>
      <c r="P28" s="30"/>
      <c r="Q28" s="30"/>
    </row>
    <row r="29" spans="1:17" s="26" customFormat="1" x14ac:dyDescent="0.35">
      <c r="A29" s="14" t="s">
        <v>1341</v>
      </c>
      <c r="B29" s="14" t="s">
        <v>377</v>
      </c>
      <c r="D29" s="9">
        <v>44006</v>
      </c>
      <c r="E29" s="17">
        <v>44003</v>
      </c>
      <c r="F29" s="31">
        <v>44015</v>
      </c>
      <c r="H29" s="28" t="s">
        <v>194</v>
      </c>
      <c r="K29" s="26" t="s">
        <v>380</v>
      </c>
      <c r="L29" s="26">
        <v>150</v>
      </c>
      <c r="N29" s="30"/>
      <c r="O29" s="30"/>
      <c r="P29" s="30"/>
      <c r="Q29" s="30"/>
    </row>
    <row r="30" spans="1:17" s="26" customFormat="1" x14ac:dyDescent="0.35">
      <c r="A30" s="14" t="s">
        <v>1341</v>
      </c>
      <c r="B30" s="14" t="s">
        <v>377</v>
      </c>
      <c r="D30" s="9">
        <v>44006</v>
      </c>
      <c r="E30" s="17">
        <v>44003</v>
      </c>
      <c r="F30" s="31">
        <v>44015</v>
      </c>
      <c r="H30" s="28" t="s">
        <v>194</v>
      </c>
      <c r="K30" s="26" t="s">
        <v>386</v>
      </c>
      <c r="L30" s="26">
        <v>15</v>
      </c>
      <c r="M30" s="29"/>
      <c r="N30" s="30"/>
      <c r="O30" s="30"/>
      <c r="P30" s="30"/>
      <c r="Q30" s="30"/>
    </row>
    <row r="31" spans="1:17" s="26" customFormat="1" x14ac:dyDescent="0.35">
      <c r="A31" s="14" t="s">
        <v>1341</v>
      </c>
      <c r="B31" s="14" t="s">
        <v>377</v>
      </c>
      <c r="D31" s="9">
        <v>44006</v>
      </c>
      <c r="E31" s="17">
        <v>44003</v>
      </c>
      <c r="F31" s="34">
        <v>44215</v>
      </c>
      <c r="H31" s="28" t="s">
        <v>206</v>
      </c>
      <c r="K31" s="26" t="s">
        <v>381</v>
      </c>
      <c r="L31" s="26">
        <v>75</v>
      </c>
      <c r="M31" s="29"/>
      <c r="N31" s="30"/>
      <c r="O31" s="30"/>
      <c r="P31" s="30"/>
      <c r="Q31" s="30"/>
    </row>
    <row r="32" spans="1:17" s="26" customFormat="1" x14ac:dyDescent="0.35">
      <c r="A32" s="14" t="s">
        <v>1341</v>
      </c>
      <c r="B32" s="14" t="s">
        <v>377</v>
      </c>
      <c r="D32" s="9">
        <v>44006</v>
      </c>
      <c r="E32" s="17">
        <v>44003</v>
      </c>
      <c r="F32" s="34">
        <v>44215</v>
      </c>
      <c r="H32" s="28" t="s">
        <v>31</v>
      </c>
      <c r="K32" s="26" t="s">
        <v>381</v>
      </c>
      <c r="L32" s="26">
        <v>75</v>
      </c>
      <c r="M32" s="29"/>
      <c r="N32" s="30"/>
      <c r="O32" s="30"/>
      <c r="P32" s="30"/>
      <c r="Q32" s="30"/>
    </row>
    <row r="33" spans="1:17" s="26" customFormat="1" x14ac:dyDescent="0.35">
      <c r="A33" s="14" t="s">
        <v>1341</v>
      </c>
      <c r="B33" s="14" t="s">
        <v>377</v>
      </c>
      <c r="D33" s="9">
        <v>44006</v>
      </c>
      <c r="E33" s="17">
        <v>44003</v>
      </c>
      <c r="F33" s="34">
        <v>44215</v>
      </c>
      <c r="H33" s="28" t="s">
        <v>31</v>
      </c>
      <c r="K33" s="26" t="s">
        <v>380</v>
      </c>
      <c r="L33" s="26">
        <v>25</v>
      </c>
      <c r="M33" s="29"/>
      <c r="N33" s="30"/>
      <c r="O33" s="30"/>
      <c r="P33" s="30"/>
      <c r="Q33" s="30"/>
    </row>
    <row r="34" spans="1:17" s="26" customFormat="1" x14ac:dyDescent="0.35">
      <c r="A34" s="14" t="s">
        <v>1341</v>
      </c>
      <c r="B34" s="14" t="s">
        <v>377</v>
      </c>
      <c r="D34" s="9">
        <v>44006</v>
      </c>
      <c r="E34" s="17">
        <v>44003</v>
      </c>
      <c r="F34" s="34">
        <v>44215</v>
      </c>
      <c r="G34" s="26" t="s">
        <v>379</v>
      </c>
      <c r="H34" s="28" t="s">
        <v>22</v>
      </c>
      <c r="K34" s="26" t="s">
        <v>381</v>
      </c>
      <c r="L34" s="26">
        <v>75</v>
      </c>
      <c r="M34" s="29"/>
      <c r="N34" s="30"/>
      <c r="O34" s="30"/>
      <c r="P34" s="30"/>
      <c r="Q34" s="30"/>
    </row>
    <row r="35" spans="1:17" s="26" customFormat="1" x14ac:dyDescent="0.35">
      <c r="A35" s="14" t="s">
        <v>1341</v>
      </c>
      <c r="B35" s="14" t="s">
        <v>377</v>
      </c>
      <c r="D35" s="9">
        <v>44006</v>
      </c>
      <c r="E35" s="17">
        <v>44003</v>
      </c>
      <c r="F35" s="34">
        <v>44215</v>
      </c>
      <c r="H35" s="28" t="s">
        <v>19</v>
      </c>
      <c r="K35" s="26" t="s">
        <v>382</v>
      </c>
      <c r="L35" s="26">
        <v>1</v>
      </c>
      <c r="M35" s="29"/>
      <c r="N35" s="30"/>
      <c r="O35" s="30"/>
      <c r="P35" s="30"/>
      <c r="Q35" s="30"/>
    </row>
    <row r="36" spans="1:17" s="26" customFormat="1" x14ac:dyDescent="0.35">
      <c r="A36" s="14" t="s">
        <v>1341</v>
      </c>
      <c r="B36" s="14" t="s">
        <v>377</v>
      </c>
      <c r="D36" s="9">
        <v>44006</v>
      </c>
      <c r="E36" s="17">
        <v>44003</v>
      </c>
      <c r="F36" s="34">
        <v>44215</v>
      </c>
      <c r="H36" s="28" t="s">
        <v>249</v>
      </c>
      <c r="M36" s="29"/>
      <c r="N36" s="30"/>
      <c r="O36" s="30"/>
      <c r="P36" s="30"/>
      <c r="Q36" s="30"/>
    </row>
    <row r="37" spans="1:17" s="26" customFormat="1" x14ac:dyDescent="0.35">
      <c r="A37" s="14" t="s">
        <v>1341</v>
      </c>
      <c r="B37" s="14" t="s">
        <v>377</v>
      </c>
      <c r="D37" s="9">
        <v>44006</v>
      </c>
      <c r="E37" s="17">
        <v>44003</v>
      </c>
      <c r="F37" s="34">
        <v>44215</v>
      </c>
      <c r="H37" s="28" t="s">
        <v>17</v>
      </c>
      <c r="M37" s="29"/>
      <c r="N37" s="30"/>
      <c r="O37" s="30"/>
      <c r="P37" s="30"/>
      <c r="Q37" s="30"/>
    </row>
    <row r="38" spans="1:17" s="26" customFormat="1" x14ac:dyDescent="0.35">
      <c r="A38" s="14" t="s">
        <v>1341</v>
      </c>
      <c r="B38" s="14" t="s">
        <v>377</v>
      </c>
      <c r="D38" s="9">
        <v>44006</v>
      </c>
      <c r="E38" s="17">
        <v>44003</v>
      </c>
      <c r="F38" s="34">
        <v>44215</v>
      </c>
      <c r="H38" s="28" t="s">
        <v>36</v>
      </c>
      <c r="M38" s="29"/>
      <c r="N38" s="30"/>
      <c r="O38" s="29" t="s">
        <v>385</v>
      </c>
      <c r="P38" s="30"/>
      <c r="Q38" s="30"/>
    </row>
    <row r="39" spans="1:17" s="26" customFormat="1" x14ac:dyDescent="0.35">
      <c r="A39" s="14" t="s">
        <v>1341</v>
      </c>
      <c r="B39" s="14" t="s">
        <v>377</v>
      </c>
      <c r="D39" s="9">
        <v>44006</v>
      </c>
      <c r="E39" s="17">
        <v>44003</v>
      </c>
      <c r="F39" s="34">
        <v>44215</v>
      </c>
      <c r="H39" s="28" t="s">
        <v>16</v>
      </c>
      <c r="K39" s="26" t="s">
        <v>381</v>
      </c>
      <c r="L39" s="26">
        <v>75</v>
      </c>
      <c r="M39" s="29"/>
      <c r="N39" s="30"/>
      <c r="O39" s="30"/>
      <c r="P39" s="30"/>
      <c r="Q39" s="30"/>
    </row>
    <row r="40" spans="1:17" s="26" customFormat="1" x14ac:dyDescent="0.35">
      <c r="A40" s="14" t="s">
        <v>1341</v>
      </c>
      <c r="B40" s="14" t="s">
        <v>377</v>
      </c>
      <c r="D40" s="9">
        <v>44006</v>
      </c>
      <c r="E40" s="17">
        <v>44003</v>
      </c>
      <c r="F40" s="31">
        <v>44027</v>
      </c>
      <c r="H40" s="28" t="s">
        <v>277</v>
      </c>
      <c r="M40" s="29"/>
      <c r="N40" s="30"/>
      <c r="O40" s="30"/>
      <c r="P40" s="30"/>
      <c r="Q40" s="30"/>
    </row>
    <row r="41" spans="1:17" s="26" customFormat="1" x14ac:dyDescent="0.35">
      <c r="A41" s="14" t="s">
        <v>1341</v>
      </c>
      <c r="B41" s="14" t="s">
        <v>377</v>
      </c>
      <c r="D41" s="9">
        <v>44006</v>
      </c>
      <c r="E41" s="17">
        <v>44003</v>
      </c>
      <c r="F41" s="34">
        <v>44215</v>
      </c>
      <c r="H41" s="28" t="s">
        <v>315</v>
      </c>
      <c r="K41" s="26" t="s">
        <v>381</v>
      </c>
      <c r="L41" s="26">
        <v>75</v>
      </c>
      <c r="M41" s="29"/>
      <c r="N41" s="30"/>
      <c r="O41" s="30"/>
      <c r="P41" s="30"/>
      <c r="Q41" s="30"/>
    </row>
    <row r="42" spans="1:17" s="26" customFormat="1" x14ac:dyDescent="0.35">
      <c r="A42" s="14" t="s">
        <v>1341</v>
      </c>
      <c r="B42" s="14" t="s">
        <v>377</v>
      </c>
      <c r="D42" s="9">
        <v>44006</v>
      </c>
      <c r="E42" s="17">
        <v>44003</v>
      </c>
      <c r="F42" s="31">
        <v>44066</v>
      </c>
      <c r="H42" s="28" t="s">
        <v>32</v>
      </c>
      <c r="K42" s="26" t="s">
        <v>380</v>
      </c>
      <c r="L42" s="26">
        <v>25</v>
      </c>
      <c r="M42" s="29"/>
      <c r="N42" s="30"/>
      <c r="O42" s="30"/>
      <c r="P42" s="30"/>
      <c r="Q42" s="30"/>
    </row>
    <row r="43" spans="1:17" s="26" customFormat="1" x14ac:dyDescent="0.35">
      <c r="A43" s="14" t="s">
        <v>1341</v>
      </c>
      <c r="B43" s="14" t="s">
        <v>377</v>
      </c>
      <c r="C43" s="14"/>
      <c r="D43" s="9">
        <v>44006</v>
      </c>
      <c r="E43" s="17">
        <v>44003</v>
      </c>
      <c r="F43" s="32">
        <v>44066</v>
      </c>
      <c r="G43" s="26" t="s">
        <v>378</v>
      </c>
      <c r="H43" s="16" t="s">
        <v>60</v>
      </c>
      <c r="K43" s="14" t="s">
        <v>380</v>
      </c>
      <c r="L43" s="14">
        <v>25</v>
      </c>
      <c r="M43" s="13"/>
      <c r="N43" s="15"/>
      <c r="O43" s="30"/>
      <c r="P43" s="30"/>
      <c r="Q43" s="30"/>
    </row>
    <row r="44" spans="1:17" s="26" customFormat="1" x14ac:dyDescent="0.35">
      <c r="A44" s="14" t="s">
        <v>1341</v>
      </c>
      <c r="B44" s="14" t="s">
        <v>377</v>
      </c>
      <c r="D44" s="9">
        <v>44006</v>
      </c>
      <c r="E44" s="17">
        <v>44003</v>
      </c>
      <c r="F44" s="34">
        <v>44215</v>
      </c>
      <c r="H44" s="28" t="s">
        <v>347</v>
      </c>
      <c r="M44" s="29"/>
      <c r="N44" s="30"/>
      <c r="O44" s="30"/>
      <c r="P44" s="30"/>
      <c r="Q44" s="30"/>
    </row>
    <row r="45" spans="1:17" s="26" customFormat="1" x14ac:dyDescent="0.35">
      <c r="A45" s="14" t="s">
        <v>1341</v>
      </c>
      <c r="B45" s="14" t="s">
        <v>377</v>
      </c>
      <c r="D45" s="27">
        <v>44012</v>
      </c>
      <c r="E45" s="27">
        <v>44012</v>
      </c>
      <c r="F45" s="34">
        <v>44215</v>
      </c>
      <c r="H45" s="28" t="s">
        <v>200</v>
      </c>
      <c r="M45" s="29"/>
      <c r="N45" s="30"/>
      <c r="O45" s="30"/>
      <c r="P45" s="30"/>
      <c r="Q45" s="30"/>
    </row>
    <row r="46" spans="1:17" s="26" customFormat="1" x14ac:dyDescent="0.35">
      <c r="A46" s="14" t="s">
        <v>1341</v>
      </c>
      <c r="B46" s="14" t="s">
        <v>377</v>
      </c>
      <c r="D46" s="27">
        <v>44014</v>
      </c>
      <c r="E46" s="27">
        <v>44015</v>
      </c>
      <c r="F46" s="34">
        <v>44215</v>
      </c>
      <c r="H46" s="28" t="s">
        <v>56</v>
      </c>
      <c r="K46" s="26" t="s">
        <v>381</v>
      </c>
      <c r="L46" s="26">
        <v>75</v>
      </c>
      <c r="M46" s="29"/>
      <c r="N46" s="30"/>
      <c r="O46" s="30"/>
      <c r="P46" s="30"/>
      <c r="Q46" s="30"/>
    </row>
    <row r="47" spans="1:17" s="26" customFormat="1" x14ac:dyDescent="0.35">
      <c r="A47" s="14" t="s">
        <v>1341</v>
      </c>
      <c r="B47" s="14" t="s">
        <v>377</v>
      </c>
      <c r="D47" s="27">
        <v>44014</v>
      </c>
      <c r="E47" s="27">
        <v>44015</v>
      </c>
      <c r="F47" s="34">
        <v>44215</v>
      </c>
      <c r="H47" s="28" t="s">
        <v>387</v>
      </c>
      <c r="K47" s="26" t="s">
        <v>388</v>
      </c>
      <c r="L47" s="26">
        <v>1.5</v>
      </c>
      <c r="M47" s="29"/>
      <c r="N47" s="30"/>
      <c r="O47" s="30"/>
      <c r="P47" s="30"/>
      <c r="Q47" s="30"/>
    </row>
    <row r="48" spans="1:17" s="26" customFormat="1" x14ac:dyDescent="0.35">
      <c r="A48" s="14" t="s">
        <v>1341</v>
      </c>
      <c r="B48" s="14" t="s">
        <v>377</v>
      </c>
      <c r="D48" s="27">
        <v>44014</v>
      </c>
      <c r="E48" s="27">
        <v>44015</v>
      </c>
      <c r="F48" s="34">
        <v>44215</v>
      </c>
      <c r="H48" s="28" t="s">
        <v>345</v>
      </c>
      <c r="K48" s="26" t="s">
        <v>389</v>
      </c>
      <c r="L48" s="26">
        <v>75</v>
      </c>
      <c r="M48" s="29"/>
      <c r="N48" s="30"/>
      <c r="O48" s="30"/>
      <c r="P48" s="30"/>
      <c r="Q48" s="30"/>
    </row>
    <row r="49" spans="1:17" s="26" customFormat="1" x14ac:dyDescent="0.35">
      <c r="A49" s="14" t="s">
        <v>1341</v>
      </c>
      <c r="B49" s="14" t="s">
        <v>377</v>
      </c>
      <c r="D49" s="27">
        <v>44014</v>
      </c>
      <c r="E49" s="27">
        <v>44015</v>
      </c>
      <c r="F49" s="34">
        <v>44215</v>
      </c>
      <c r="H49" s="28" t="s">
        <v>58</v>
      </c>
      <c r="K49" s="26" t="s">
        <v>381</v>
      </c>
      <c r="L49" s="26">
        <v>75</v>
      </c>
      <c r="M49" s="29"/>
      <c r="N49" s="30"/>
      <c r="O49" s="30"/>
      <c r="P49" s="30"/>
      <c r="Q49" s="30"/>
    </row>
    <row r="50" spans="1:17" s="26" customFormat="1" x14ac:dyDescent="0.35">
      <c r="A50" s="14" t="s">
        <v>1341</v>
      </c>
      <c r="B50" s="14" t="s">
        <v>377</v>
      </c>
      <c r="D50" s="27">
        <v>44034</v>
      </c>
      <c r="E50" s="27">
        <v>44034</v>
      </c>
      <c r="F50" s="34">
        <v>44215</v>
      </c>
      <c r="H50" s="28" t="s">
        <v>18</v>
      </c>
      <c r="M50" s="29"/>
      <c r="N50" s="30"/>
      <c r="O50" s="30"/>
      <c r="P50" s="30"/>
      <c r="Q50" s="30"/>
    </row>
    <row r="51" spans="1:17" s="2" customFormat="1" x14ac:dyDescent="0.35">
      <c r="A51" s="14" t="s">
        <v>1341</v>
      </c>
      <c r="B51" s="14" t="s">
        <v>377</v>
      </c>
      <c r="C51"/>
      <c r="D51" s="18">
        <v>44065</v>
      </c>
      <c r="E51" s="18">
        <v>44066</v>
      </c>
      <c r="F51" s="34">
        <v>44215</v>
      </c>
      <c r="G51" s="25"/>
      <c r="H51" s="28" t="s">
        <v>48</v>
      </c>
      <c r="I51"/>
      <c r="J51"/>
      <c r="K51" s="26" t="s">
        <v>381</v>
      </c>
      <c r="L51" s="26">
        <v>75</v>
      </c>
      <c r="M51"/>
      <c r="N51"/>
      <c r="O51" s="4"/>
      <c r="P51" s="4"/>
      <c r="Q51" s="4"/>
    </row>
    <row r="52" spans="1:17" s="2" customFormat="1" x14ac:dyDescent="0.35">
      <c r="A52" s="14" t="s">
        <v>1341</v>
      </c>
      <c r="B52" s="14" t="s">
        <v>377</v>
      </c>
      <c r="C52"/>
      <c r="D52" s="18">
        <v>44065</v>
      </c>
      <c r="E52" s="18">
        <v>44066</v>
      </c>
      <c r="F52" s="34">
        <v>44215</v>
      </c>
      <c r="G52" s="25"/>
      <c r="H52" s="28" t="s">
        <v>48</v>
      </c>
      <c r="I52"/>
      <c r="J52"/>
      <c r="K52" s="26" t="s">
        <v>380</v>
      </c>
      <c r="L52" s="26">
        <v>750</v>
      </c>
      <c r="M52"/>
      <c r="N52"/>
      <c r="O52" s="4"/>
      <c r="P52" s="4"/>
      <c r="Q52" s="4"/>
    </row>
    <row r="53" spans="1:17" s="2" customFormat="1" x14ac:dyDescent="0.35">
      <c r="A53" s="14" t="s">
        <v>1341</v>
      </c>
      <c r="B53" s="14" t="s">
        <v>377</v>
      </c>
      <c r="C53"/>
      <c r="D53" s="18">
        <v>44065</v>
      </c>
      <c r="E53" s="18">
        <v>44066</v>
      </c>
      <c r="F53" s="34">
        <v>44215</v>
      </c>
      <c r="G53" s="25"/>
      <c r="H53" s="28" t="s">
        <v>49</v>
      </c>
      <c r="I53"/>
      <c r="J53"/>
      <c r="K53" s="26" t="s">
        <v>380</v>
      </c>
      <c r="L53" s="26">
        <v>100</v>
      </c>
      <c r="M53"/>
      <c r="N53"/>
      <c r="O53" s="4"/>
      <c r="P53" s="4"/>
      <c r="Q53" s="4"/>
    </row>
    <row r="54" spans="1:17" s="2" customFormat="1" x14ac:dyDescent="0.35">
      <c r="A54" s="14" t="s">
        <v>1341</v>
      </c>
      <c r="B54" s="14" t="s">
        <v>377</v>
      </c>
      <c r="C54" s="1"/>
      <c r="D54" s="9">
        <v>44065</v>
      </c>
      <c r="E54" s="17">
        <v>44066</v>
      </c>
      <c r="F54" s="34">
        <v>44215</v>
      </c>
      <c r="G54" s="24"/>
      <c r="H54" s="7" t="s">
        <v>144</v>
      </c>
      <c r="I54" s="1"/>
      <c r="J54" s="1"/>
      <c r="K54" s="1" t="s">
        <v>390</v>
      </c>
      <c r="L54" s="1">
        <v>100</v>
      </c>
      <c r="M54" s="3"/>
      <c r="N54" s="3"/>
      <c r="O54" s="4"/>
      <c r="P54" s="4"/>
      <c r="Q54" s="4"/>
    </row>
    <row r="55" spans="1:17" s="2" customFormat="1" x14ac:dyDescent="0.35">
      <c r="A55" s="14" t="s">
        <v>1341</v>
      </c>
      <c r="B55" s="14" t="s">
        <v>377</v>
      </c>
      <c r="C55"/>
      <c r="D55" s="9">
        <v>44065</v>
      </c>
      <c r="E55" s="17">
        <v>44066</v>
      </c>
      <c r="F55" s="34">
        <v>44215</v>
      </c>
      <c r="G55" s="25"/>
      <c r="H55" s="28" t="s">
        <v>55</v>
      </c>
      <c r="I55"/>
      <c r="J55"/>
      <c r="K55" s="26" t="s">
        <v>381</v>
      </c>
      <c r="L55" s="26">
        <v>50</v>
      </c>
      <c r="M55"/>
      <c r="N55"/>
      <c r="O55" s="4"/>
      <c r="P55" s="4"/>
      <c r="Q55" s="4"/>
    </row>
    <row r="56" spans="1:17" s="2" customFormat="1" x14ac:dyDescent="0.35">
      <c r="A56" s="14" t="s">
        <v>1341</v>
      </c>
      <c r="B56" s="14" t="s">
        <v>377</v>
      </c>
      <c r="C56"/>
      <c r="D56" s="18">
        <v>44065</v>
      </c>
      <c r="E56" s="18">
        <v>44066</v>
      </c>
      <c r="F56" s="34">
        <v>44215</v>
      </c>
      <c r="G56" s="25"/>
      <c r="H56" s="28" t="s">
        <v>23</v>
      </c>
      <c r="I56"/>
      <c r="J56"/>
      <c r="K56" s="26" t="s">
        <v>380</v>
      </c>
      <c r="L56">
        <v>10</v>
      </c>
      <c r="M56"/>
      <c r="N56"/>
      <c r="O56" s="4"/>
      <c r="P56" s="4"/>
      <c r="Q56" s="4"/>
    </row>
    <row r="57" spans="1:17" x14ac:dyDescent="0.35">
      <c r="A57" s="14" t="s">
        <v>1341</v>
      </c>
      <c r="B57" s="14" t="s">
        <v>377</v>
      </c>
      <c r="D57" s="18">
        <v>44065</v>
      </c>
      <c r="E57" s="18">
        <v>44066</v>
      </c>
      <c r="F57" s="18">
        <v>44150</v>
      </c>
      <c r="H57" s="28" t="s">
        <v>24</v>
      </c>
      <c r="K57" s="26" t="s">
        <v>380</v>
      </c>
      <c r="L57">
        <v>25</v>
      </c>
      <c r="O57" s="3"/>
      <c r="P57" s="3"/>
      <c r="Q57" s="3"/>
    </row>
    <row r="58" spans="1:17" x14ac:dyDescent="0.35">
      <c r="A58" s="14" t="s">
        <v>1341</v>
      </c>
      <c r="B58" s="14" t="s">
        <v>377</v>
      </c>
      <c r="D58" s="18">
        <v>44065</v>
      </c>
      <c r="E58" s="18">
        <v>44066</v>
      </c>
      <c r="F58" s="18">
        <v>44140</v>
      </c>
      <c r="H58" s="8" t="s">
        <v>30</v>
      </c>
      <c r="K58" s="26" t="s">
        <v>383</v>
      </c>
      <c r="L58">
        <v>50</v>
      </c>
    </row>
    <row r="59" spans="1:17" x14ac:dyDescent="0.35">
      <c r="A59" s="14" t="s">
        <v>1341</v>
      </c>
      <c r="B59" s="14" t="s">
        <v>377</v>
      </c>
      <c r="D59" s="9">
        <v>44065</v>
      </c>
      <c r="E59" s="17">
        <v>44066</v>
      </c>
      <c r="F59" s="34">
        <v>44215</v>
      </c>
      <c r="H59" s="28" t="s">
        <v>192</v>
      </c>
    </row>
    <row r="60" spans="1:17" x14ac:dyDescent="0.35">
      <c r="A60" s="14" t="s">
        <v>1341</v>
      </c>
      <c r="B60" s="14" t="s">
        <v>377</v>
      </c>
      <c r="C60" s="14"/>
      <c r="D60" s="9">
        <v>44065</v>
      </c>
      <c r="E60" s="17">
        <v>44066</v>
      </c>
      <c r="F60" s="34">
        <v>44215</v>
      </c>
      <c r="G60" s="23"/>
      <c r="H60" s="28" t="s">
        <v>194</v>
      </c>
      <c r="I60" s="14"/>
      <c r="J60" s="14"/>
      <c r="K60" s="26" t="s">
        <v>381</v>
      </c>
      <c r="L60" s="26">
        <v>50</v>
      </c>
      <c r="M60" s="15"/>
      <c r="N60" s="15"/>
    </row>
    <row r="61" spans="1:17" x14ac:dyDescent="0.35">
      <c r="A61" s="14" t="s">
        <v>1341</v>
      </c>
      <c r="B61" s="14" t="s">
        <v>377</v>
      </c>
      <c r="D61" s="18">
        <v>44065</v>
      </c>
      <c r="E61" s="18">
        <v>44066</v>
      </c>
      <c r="F61" s="34">
        <v>44215</v>
      </c>
      <c r="H61" s="28" t="s">
        <v>269</v>
      </c>
    </row>
    <row r="62" spans="1:17" x14ac:dyDescent="0.35">
      <c r="A62" s="14" t="s">
        <v>1341</v>
      </c>
      <c r="B62" s="14" t="s">
        <v>377</v>
      </c>
      <c r="D62" s="18">
        <v>44065</v>
      </c>
      <c r="E62" s="18">
        <v>44066</v>
      </c>
      <c r="F62" s="34">
        <v>44215</v>
      </c>
      <c r="H62" s="28" t="s">
        <v>277</v>
      </c>
    </row>
    <row r="63" spans="1:17" x14ac:dyDescent="0.35">
      <c r="A63" s="14" t="s">
        <v>1341</v>
      </c>
      <c r="B63" s="14" t="s">
        <v>377</v>
      </c>
      <c r="D63" s="18">
        <v>44065</v>
      </c>
      <c r="E63" s="18">
        <v>44066</v>
      </c>
      <c r="F63" s="34">
        <v>44215</v>
      </c>
      <c r="H63" s="28" t="s">
        <v>311</v>
      </c>
    </row>
    <row r="64" spans="1:17" x14ac:dyDescent="0.35">
      <c r="A64" s="14" t="s">
        <v>1341</v>
      </c>
      <c r="B64" s="14" t="s">
        <v>377</v>
      </c>
      <c r="D64" s="18">
        <v>44065</v>
      </c>
      <c r="E64" s="18">
        <v>44066</v>
      </c>
      <c r="F64" s="34">
        <v>44215</v>
      </c>
      <c r="H64" s="28" t="s">
        <v>32</v>
      </c>
      <c r="I64" s="1"/>
      <c r="K64" s="26" t="s">
        <v>380</v>
      </c>
      <c r="L64">
        <v>10</v>
      </c>
    </row>
    <row r="65" spans="1:14" x14ac:dyDescent="0.35">
      <c r="A65" s="14" t="s">
        <v>1341</v>
      </c>
      <c r="B65" s="14" t="s">
        <v>377</v>
      </c>
      <c r="C65" s="14"/>
      <c r="D65" s="9">
        <v>44065</v>
      </c>
      <c r="E65" s="17">
        <v>44066</v>
      </c>
      <c r="F65" s="34">
        <v>44215</v>
      </c>
      <c r="G65" s="23"/>
      <c r="H65" s="28" t="s">
        <v>60</v>
      </c>
      <c r="I65" s="14"/>
      <c r="J65" s="14"/>
      <c r="K65" s="14" t="s">
        <v>380</v>
      </c>
      <c r="L65" s="14">
        <v>10</v>
      </c>
      <c r="M65" s="15"/>
      <c r="N65" s="15"/>
    </row>
    <row r="66" spans="1:14" x14ac:dyDescent="0.35">
      <c r="A66" s="14" t="s">
        <v>1341</v>
      </c>
      <c r="B66" s="14" t="s">
        <v>377</v>
      </c>
      <c r="C66" s="14"/>
      <c r="D66" s="9">
        <v>44065</v>
      </c>
      <c r="E66" s="17">
        <v>44066</v>
      </c>
      <c r="F66" s="34">
        <v>44215</v>
      </c>
      <c r="G66" s="23"/>
      <c r="H66" s="28" t="s">
        <v>331</v>
      </c>
      <c r="I66" s="14"/>
      <c r="J66" s="14"/>
      <c r="K66" s="14"/>
      <c r="L66" s="14"/>
      <c r="M66" s="15"/>
      <c r="N66" s="15"/>
    </row>
    <row r="67" spans="1:14" x14ac:dyDescent="0.35">
      <c r="A67" s="14" t="s">
        <v>1341</v>
      </c>
      <c r="B67" s="14" t="s">
        <v>377</v>
      </c>
      <c r="C67" s="14"/>
      <c r="D67" s="9">
        <v>44065</v>
      </c>
      <c r="E67" s="17">
        <v>44066</v>
      </c>
      <c r="F67" s="34">
        <v>44215</v>
      </c>
      <c r="G67" s="23"/>
      <c r="H67" s="28" t="s">
        <v>335</v>
      </c>
      <c r="I67" s="14"/>
      <c r="J67" s="14"/>
      <c r="K67" s="14"/>
      <c r="L67" s="14"/>
      <c r="M67" s="15"/>
      <c r="N67" s="15"/>
    </row>
    <row r="68" spans="1:14" x14ac:dyDescent="0.35">
      <c r="A68" s="14" t="s">
        <v>1341</v>
      </c>
      <c r="B68" s="14" t="s">
        <v>377</v>
      </c>
      <c r="C68" s="14"/>
      <c r="D68" s="9">
        <v>44065</v>
      </c>
      <c r="E68" s="17">
        <v>44066</v>
      </c>
      <c r="F68" s="34">
        <v>44215</v>
      </c>
      <c r="G68" s="23"/>
      <c r="H68" s="28" t="s">
        <v>341</v>
      </c>
      <c r="I68" s="14"/>
      <c r="J68" s="14"/>
      <c r="K68" s="14"/>
      <c r="L68" s="14"/>
      <c r="M68" s="15"/>
      <c r="N68" s="15"/>
    </row>
    <row r="69" spans="1:14" x14ac:dyDescent="0.35">
      <c r="A69" s="14" t="s">
        <v>1341</v>
      </c>
      <c r="B69" s="14" t="s">
        <v>377</v>
      </c>
      <c r="C69" s="14"/>
      <c r="D69" s="9">
        <v>44065</v>
      </c>
      <c r="E69" s="17">
        <v>44066</v>
      </c>
      <c r="F69" s="34">
        <v>44215</v>
      </c>
      <c r="G69" s="23"/>
      <c r="H69" s="16" t="s">
        <v>58</v>
      </c>
      <c r="I69" s="14"/>
      <c r="J69" s="14"/>
      <c r="K69" s="14" t="s">
        <v>380</v>
      </c>
      <c r="L69" s="14">
        <v>50</v>
      </c>
      <c r="M69" s="15"/>
      <c r="N69" s="15"/>
    </row>
    <row r="70" spans="1:14" x14ac:dyDescent="0.35">
      <c r="A70" s="26" t="s">
        <v>391</v>
      </c>
      <c r="B70" s="26" t="s">
        <v>377</v>
      </c>
      <c r="C70" s="35" t="s">
        <v>392</v>
      </c>
      <c r="D70" s="36">
        <v>44074</v>
      </c>
      <c r="E70" s="36">
        <v>44070</v>
      </c>
      <c r="F70" s="34">
        <v>44085</v>
      </c>
      <c r="G70" s="37"/>
      <c r="H70" s="28" t="s">
        <v>96</v>
      </c>
      <c r="I70" s="35"/>
      <c r="J70" s="35"/>
      <c r="K70" s="35"/>
      <c r="L70" s="35"/>
      <c r="M70" s="38">
        <v>0.12</v>
      </c>
    </row>
    <row r="71" spans="1:14" x14ac:dyDescent="0.35">
      <c r="A71" s="26" t="s">
        <v>391</v>
      </c>
      <c r="B71" s="26" t="s">
        <v>377</v>
      </c>
      <c r="C71" s="35" t="s">
        <v>392</v>
      </c>
      <c r="D71" s="36">
        <v>44074</v>
      </c>
      <c r="E71" s="36">
        <v>44070</v>
      </c>
      <c r="F71" s="34">
        <v>44085</v>
      </c>
      <c r="G71" s="37"/>
      <c r="H71" s="28" t="s">
        <v>41</v>
      </c>
      <c r="I71" s="35"/>
      <c r="J71" s="35"/>
      <c r="K71" s="35" t="s">
        <v>381</v>
      </c>
      <c r="L71" s="35">
        <v>75</v>
      </c>
      <c r="M71" s="38">
        <v>0.12</v>
      </c>
    </row>
    <row r="72" spans="1:14" x14ac:dyDescent="0.35">
      <c r="A72" s="26" t="s">
        <v>391</v>
      </c>
      <c r="B72" s="26" t="s">
        <v>377</v>
      </c>
      <c r="C72" s="35" t="s">
        <v>392</v>
      </c>
      <c r="D72" s="36">
        <v>44074</v>
      </c>
      <c r="E72" s="36">
        <v>44070</v>
      </c>
      <c r="F72" s="34">
        <v>44085</v>
      </c>
      <c r="G72" s="37"/>
      <c r="H72" s="28" t="s">
        <v>39</v>
      </c>
      <c r="I72" s="35"/>
      <c r="J72" s="35"/>
      <c r="K72" s="35" t="s">
        <v>381</v>
      </c>
      <c r="L72" s="35">
        <v>50</v>
      </c>
      <c r="M72" s="38">
        <v>0.12</v>
      </c>
    </row>
    <row r="73" spans="1:14" x14ac:dyDescent="0.35">
      <c r="A73" s="26" t="s">
        <v>391</v>
      </c>
      <c r="B73" s="26" t="s">
        <v>377</v>
      </c>
      <c r="C73" s="35" t="s">
        <v>392</v>
      </c>
      <c r="D73" s="36">
        <v>44074</v>
      </c>
      <c r="E73" s="36">
        <v>44070</v>
      </c>
      <c r="F73" s="34">
        <v>44085</v>
      </c>
      <c r="G73" s="37"/>
      <c r="H73" s="28" t="s">
        <v>150</v>
      </c>
      <c r="I73" s="35"/>
      <c r="J73" s="35"/>
      <c r="K73" s="35"/>
      <c r="L73" s="35"/>
      <c r="M73" s="38">
        <v>0.12</v>
      </c>
    </row>
    <row r="74" spans="1:14" x14ac:dyDescent="0.35">
      <c r="A74" s="14" t="s">
        <v>391</v>
      </c>
      <c r="B74" s="14" t="s">
        <v>377</v>
      </c>
      <c r="C74" t="s">
        <v>392</v>
      </c>
      <c r="D74" s="18">
        <v>44074</v>
      </c>
      <c r="E74" s="18">
        <v>44070</v>
      </c>
      <c r="F74" s="34">
        <v>44085</v>
      </c>
      <c r="H74" s="28" t="s">
        <v>42</v>
      </c>
      <c r="K74" t="s">
        <v>380</v>
      </c>
      <c r="L74">
        <v>25</v>
      </c>
      <c r="M74" s="33">
        <v>0.12</v>
      </c>
    </row>
    <row r="75" spans="1:14" x14ac:dyDescent="0.35">
      <c r="A75" s="26" t="s">
        <v>391</v>
      </c>
      <c r="B75" s="26" t="s">
        <v>377</v>
      </c>
      <c r="C75" s="35" t="s">
        <v>392</v>
      </c>
      <c r="D75" s="36">
        <v>44074</v>
      </c>
      <c r="E75" s="36">
        <v>44070</v>
      </c>
      <c r="F75" s="34">
        <v>44085</v>
      </c>
      <c r="G75" s="37"/>
      <c r="H75" s="28" t="s">
        <v>43</v>
      </c>
      <c r="I75" s="35"/>
      <c r="J75" s="35"/>
      <c r="K75" s="35" t="s">
        <v>381</v>
      </c>
      <c r="L75" s="35">
        <v>50</v>
      </c>
      <c r="M75" s="38">
        <v>0.12</v>
      </c>
    </row>
    <row r="76" spans="1:14" x14ac:dyDescent="0.35">
      <c r="A76" s="14" t="s">
        <v>391</v>
      </c>
      <c r="B76" s="14" t="s">
        <v>377</v>
      </c>
      <c r="C76" t="s">
        <v>392</v>
      </c>
      <c r="D76" s="18">
        <v>44074</v>
      </c>
      <c r="E76" s="18">
        <v>44070</v>
      </c>
      <c r="F76" s="34">
        <v>44085</v>
      </c>
      <c r="H76" s="28" t="s">
        <v>25</v>
      </c>
      <c r="K76" t="s">
        <v>381</v>
      </c>
      <c r="L76">
        <v>50</v>
      </c>
      <c r="M76" s="33">
        <v>0.12</v>
      </c>
    </row>
    <row r="77" spans="1:14" x14ac:dyDescent="0.35">
      <c r="A77" s="14" t="s">
        <v>391</v>
      </c>
      <c r="B77" s="14" t="s">
        <v>377</v>
      </c>
      <c r="C77" t="s">
        <v>392</v>
      </c>
      <c r="D77" s="18">
        <v>44074</v>
      </c>
      <c r="E77" s="18">
        <v>44070</v>
      </c>
      <c r="F77" s="34">
        <v>44085</v>
      </c>
      <c r="H77" s="28" t="s">
        <v>23</v>
      </c>
      <c r="K77" t="s">
        <v>380</v>
      </c>
      <c r="L77">
        <v>10</v>
      </c>
      <c r="M77" s="33">
        <v>0.12</v>
      </c>
    </row>
    <row r="78" spans="1:14" x14ac:dyDescent="0.35">
      <c r="A78" s="14" t="s">
        <v>391</v>
      </c>
      <c r="B78" s="14" t="s">
        <v>377</v>
      </c>
      <c r="C78" t="s">
        <v>392</v>
      </c>
      <c r="D78" s="18">
        <v>44074</v>
      </c>
      <c r="E78" s="18">
        <v>44070</v>
      </c>
      <c r="F78" s="34">
        <v>44085</v>
      </c>
      <c r="H78" s="28" t="s">
        <v>24</v>
      </c>
      <c r="K78" t="s">
        <v>380</v>
      </c>
      <c r="L78">
        <v>10</v>
      </c>
      <c r="M78" s="33">
        <v>0.12</v>
      </c>
    </row>
    <row r="79" spans="1:14" x14ac:dyDescent="0.35">
      <c r="A79" s="14" t="s">
        <v>391</v>
      </c>
      <c r="B79" s="14" t="s">
        <v>377</v>
      </c>
      <c r="C79" t="s">
        <v>392</v>
      </c>
      <c r="D79" s="18">
        <v>44074</v>
      </c>
      <c r="E79" s="18">
        <v>44070</v>
      </c>
      <c r="F79" s="34">
        <v>44085</v>
      </c>
      <c r="H79" s="28" t="s">
        <v>27</v>
      </c>
      <c r="K79" t="s">
        <v>380</v>
      </c>
      <c r="L79">
        <v>25</v>
      </c>
      <c r="M79" s="33">
        <v>0.12</v>
      </c>
    </row>
    <row r="80" spans="1:14" x14ac:dyDescent="0.35">
      <c r="A80" s="26" t="s">
        <v>391</v>
      </c>
      <c r="B80" s="26" t="s">
        <v>377</v>
      </c>
      <c r="C80" s="35" t="s">
        <v>392</v>
      </c>
      <c r="D80" s="36">
        <v>44074</v>
      </c>
      <c r="E80" s="36">
        <v>44070</v>
      </c>
      <c r="F80" s="34">
        <v>44085</v>
      </c>
      <c r="G80" s="37"/>
      <c r="H80" s="28" t="s">
        <v>176</v>
      </c>
      <c r="I80" s="35"/>
      <c r="J80" s="35"/>
      <c r="K80" s="35"/>
      <c r="L80" s="35"/>
      <c r="M80" s="38">
        <v>0.12</v>
      </c>
    </row>
    <row r="81" spans="1:13" x14ac:dyDescent="0.35">
      <c r="A81" s="26" t="s">
        <v>391</v>
      </c>
      <c r="B81" s="26" t="s">
        <v>377</v>
      </c>
      <c r="C81" s="35" t="s">
        <v>392</v>
      </c>
      <c r="D81" s="36">
        <v>44074</v>
      </c>
      <c r="E81" s="36">
        <v>44070</v>
      </c>
      <c r="F81" s="34">
        <v>44085</v>
      </c>
      <c r="G81" s="37"/>
      <c r="H81" s="28" t="s">
        <v>29</v>
      </c>
      <c r="I81" s="35"/>
      <c r="J81" s="35"/>
      <c r="K81" s="35" t="s">
        <v>381</v>
      </c>
      <c r="L81" s="35">
        <v>50</v>
      </c>
      <c r="M81" s="38">
        <v>0.12</v>
      </c>
    </row>
    <row r="82" spans="1:13" x14ac:dyDescent="0.35">
      <c r="A82" s="14" t="s">
        <v>391</v>
      </c>
      <c r="B82" s="14" t="s">
        <v>377</v>
      </c>
      <c r="C82" t="s">
        <v>392</v>
      </c>
      <c r="D82" s="18">
        <v>44074</v>
      </c>
      <c r="E82" s="18">
        <v>44070</v>
      </c>
      <c r="F82" s="34">
        <v>44085</v>
      </c>
      <c r="H82" s="28" t="s">
        <v>198</v>
      </c>
      <c r="M82" s="33">
        <v>0.12</v>
      </c>
    </row>
    <row r="83" spans="1:13" x14ac:dyDescent="0.35">
      <c r="A83" s="14" t="s">
        <v>391</v>
      </c>
      <c r="B83" s="14" t="s">
        <v>377</v>
      </c>
      <c r="C83" t="s">
        <v>392</v>
      </c>
      <c r="D83" s="18">
        <v>44074</v>
      </c>
      <c r="E83" s="18">
        <v>44070</v>
      </c>
      <c r="F83" s="34">
        <v>44085</v>
      </c>
      <c r="H83" s="28" t="s">
        <v>393</v>
      </c>
      <c r="M83" s="33">
        <v>0.12</v>
      </c>
    </row>
    <row r="84" spans="1:13" x14ac:dyDescent="0.35">
      <c r="A84" s="14" t="s">
        <v>391</v>
      </c>
      <c r="B84" s="14" t="s">
        <v>377</v>
      </c>
      <c r="C84" t="s">
        <v>392</v>
      </c>
      <c r="D84" s="18">
        <v>44074</v>
      </c>
      <c r="E84" s="18">
        <v>44070</v>
      </c>
      <c r="F84" s="34">
        <v>44085</v>
      </c>
      <c r="H84" s="28" t="s">
        <v>204</v>
      </c>
      <c r="M84" s="33">
        <v>0.12</v>
      </c>
    </row>
    <row r="85" spans="1:13" x14ac:dyDescent="0.35">
      <c r="A85" s="14" t="s">
        <v>391</v>
      </c>
      <c r="B85" s="14" t="s">
        <v>377</v>
      </c>
      <c r="C85" t="s">
        <v>392</v>
      </c>
      <c r="D85" s="18">
        <v>44074</v>
      </c>
      <c r="E85" s="18">
        <v>44070</v>
      </c>
      <c r="F85" s="34">
        <v>44085</v>
      </c>
      <c r="H85" s="28" t="s">
        <v>208</v>
      </c>
      <c r="M85" s="33">
        <v>0.12</v>
      </c>
    </row>
    <row r="86" spans="1:13" x14ac:dyDescent="0.35">
      <c r="A86" s="14" t="s">
        <v>391</v>
      </c>
      <c r="B86" s="14" t="s">
        <v>377</v>
      </c>
      <c r="C86" t="s">
        <v>392</v>
      </c>
      <c r="D86" s="18">
        <v>44074</v>
      </c>
      <c r="E86" s="18">
        <v>44070</v>
      </c>
      <c r="F86" s="34">
        <v>44085</v>
      </c>
      <c r="H86" s="28" t="s">
        <v>210</v>
      </c>
      <c r="M86" s="33">
        <v>0.12</v>
      </c>
    </row>
    <row r="87" spans="1:13" x14ac:dyDescent="0.35">
      <c r="A87" s="14" t="s">
        <v>391</v>
      </c>
      <c r="B87" s="14" t="s">
        <v>377</v>
      </c>
      <c r="C87" t="s">
        <v>392</v>
      </c>
      <c r="D87" s="18">
        <v>44074</v>
      </c>
      <c r="E87" s="18">
        <v>44070</v>
      </c>
      <c r="F87" s="34">
        <v>44085</v>
      </c>
      <c r="H87" s="28" t="s">
        <v>313</v>
      </c>
      <c r="K87" t="s">
        <v>381</v>
      </c>
      <c r="L87">
        <v>75</v>
      </c>
      <c r="M87" s="33">
        <v>0.12</v>
      </c>
    </row>
    <row r="88" spans="1:13" x14ac:dyDescent="0.35">
      <c r="A88" s="14" t="s">
        <v>391</v>
      </c>
      <c r="B88" s="14" t="s">
        <v>377</v>
      </c>
      <c r="C88" t="s">
        <v>392</v>
      </c>
      <c r="D88" s="18">
        <v>44074</v>
      </c>
      <c r="E88" s="18">
        <v>44070</v>
      </c>
      <c r="F88" s="34">
        <v>44092</v>
      </c>
      <c r="H88" s="28" t="s">
        <v>315</v>
      </c>
      <c r="K88" t="s">
        <v>381</v>
      </c>
      <c r="L88">
        <v>50</v>
      </c>
      <c r="M88" s="33">
        <v>0.12</v>
      </c>
    </row>
    <row r="89" spans="1:13" x14ac:dyDescent="0.35">
      <c r="A89" s="26" t="s">
        <v>391</v>
      </c>
      <c r="B89" s="26" t="s">
        <v>377</v>
      </c>
      <c r="C89" s="35" t="s">
        <v>392</v>
      </c>
      <c r="D89" s="36">
        <v>44074</v>
      </c>
      <c r="E89" s="36">
        <v>44070</v>
      </c>
      <c r="F89" s="34">
        <v>44085</v>
      </c>
      <c r="G89" s="37"/>
      <c r="H89" s="28" t="s">
        <v>337</v>
      </c>
      <c r="I89" s="35"/>
      <c r="J89" s="35"/>
      <c r="K89" s="35" t="s">
        <v>380</v>
      </c>
      <c r="L89" s="35">
        <v>10</v>
      </c>
      <c r="M89" s="38">
        <v>0.12</v>
      </c>
    </row>
    <row r="90" spans="1:13" x14ac:dyDescent="0.35">
      <c r="A90" s="26" t="s">
        <v>391</v>
      </c>
      <c r="B90" s="26" t="s">
        <v>377</v>
      </c>
      <c r="C90" s="35" t="s">
        <v>392</v>
      </c>
      <c r="D90" s="36">
        <v>44074</v>
      </c>
      <c r="E90" s="36">
        <v>44070</v>
      </c>
      <c r="F90" s="34">
        <v>44085</v>
      </c>
      <c r="G90" s="37"/>
      <c r="H90" s="28" t="s">
        <v>341</v>
      </c>
      <c r="I90" s="35"/>
      <c r="J90" s="35"/>
      <c r="K90" s="35"/>
      <c r="L90" s="35"/>
      <c r="M90" s="38">
        <v>0.12</v>
      </c>
    </row>
    <row r="91" spans="1:13" x14ac:dyDescent="0.35">
      <c r="A91" s="14" t="s">
        <v>391</v>
      </c>
      <c r="B91" s="14" t="s">
        <v>377</v>
      </c>
      <c r="C91" t="s">
        <v>394</v>
      </c>
      <c r="D91" s="18">
        <v>44077</v>
      </c>
      <c r="E91" s="18">
        <v>44078</v>
      </c>
      <c r="F91" s="34">
        <v>44104</v>
      </c>
      <c r="H91" s="28" t="s">
        <v>96</v>
      </c>
      <c r="M91" s="33">
        <v>0.21</v>
      </c>
    </row>
    <row r="92" spans="1:13" x14ac:dyDescent="0.35">
      <c r="A92" s="14" t="s">
        <v>391</v>
      </c>
      <c r="B92" s="14" t="s">
        <v>377</v>
      </c>
      <c r="C92" t="s">
        <v>394</v>
      </c>
      <c r="D92" s="18">
        <v>44077</v>
      </c>
      <c r="E92" s="18">
        <v>44078</v>
      </c>
      <c r="F92" s="34">
        <v>44104</v>
      </c>
      <c r="H92" s="28" t="s">
        <v>72</v>
      </c>
      <c r="M92" s="33">
        <v>0.21</v>
      </c>
    </row>
    <row r="93" spans="1:13" x14ac:dyDescent="0.35">
      <c r="A93" s="14" t="s">
        <v>391</v>
      </c>
      <c r="B93" s="14" t="s">
        <v>377</v>
      </c>
      <c r="C93" t="s">
        <v>394</v>
      </c>
      <c r="D93" s="18">
        <v>44077</v>
      </c>
      <c r="E93" s="18">
        <v>44078</v>
      </c>
      <c r="F93" s="34">
        <v>44104</v>
      </c>
      <c r="H93" s="28" t="s">
        <v>79</v>
      </c>
      <c r="M93" s="33">
        <v>0.21</v>
      </c>
    </row>
    <row r="94" spans="1:13" x14ac:dyDescent="0.35">
      <c r="A94" s="14" t="s">
        <v>391</v>
      </c>
      <c r="B94" s="14" t="s">
        <v>377</v>
      </c>
      <c r="C94" t="s">
        <v>394</v>
      </c>
      <c r="D94" s="18">
        <v>44077</v>
      </c>
      <c r="E94" s="18">
        <v>44078</v>
      </c>
      <c r="F94" s="34">
        <v>44104</v>
      </c>
      <c r="H94" s="28" t="s">
        <v>41</v>
      </c>
      <c r="K94" t="s">
        <v>381</v>
      </c>
      <c r="L94">
        <v>75</v>
      </c>
      <c r="M94" s="33">
        <v>0.21</v>
      </c>
    </row>
    <row r="95" spans="1:13" x14ac:dyDescent="0.35">
      <c r="A95" s="14" t="s">
        <v>391</v>
      </c>
      <c r="B95" s="14" t="s">
        <v>377</v>
      </c>
      <c r="C95" t="s">
        <v>394</v>
      </c>
      <c r="D95" s="18">
        <v>44077</v>
      </c>
      <c r="E95" s="18">
        <v>44078</v>
      </c>
      <c r="F95" s="34">
        <v>44104</v>
      </c>
      <c r="H95" s="28" t="s">
        <v>111</v>
      </c>
      <c r="K95" t="s">
        <v>381</v>
      </c>
      <c r="L95">
        <v>50</v>
      </c>
      <c r="M95" s="33">
        <v>0.21</v>
      </c>
    </row>
    <row r="96" spans="1:13" x14ac:dyDescent="0.35">
      <c r="A96" s="14" t="s">
        <v>391</v>
      </c>
      <c r="B96" s="14" t="s">
        <v>377</v>
      </c>
      <c r="C96" t="s">
        <v>394</v>
      </c>
      <c r="D96" s="18">
        <v>44077</v>
      </c>
      <c r="E96" s="18">
        <v>44078</v>
      </c>
      <c r="F96" s="34">
        <v>44104</v>
      </c>
      <c r="H96" s="28" t="s">
        <v>150</v>
      </c>
      <c r="M96" s="33">
        <v>0.21</v>
      </c>
    </row>
    <row r="97" spans="1:13" x14ac:dyDescent="0.35">
      <c r="A97" s="14" t="s">
        <v>391</v>
      </c>
      <c r="B97" s="14" t="s">
        <v>377</v>
      </c>
      <c r="C97" t="s">
        <v>394</v>
      </c>
      <c r="D97" s="18">
        <v>44077</v>
      </c>
      <c r="E97" s="18">
        <v>44078</v>
      </c>
      <c r="F97" s="34">
        <v>44104</v>
      </c>
      <c r="H97" s="28" t="s">
        <v>125</v>
      </c>
      <c r="M97" s="33">
        <v>0.21</v>
      </c>
    </row>
    <row r="98" spans="1:13" x14ac:dyDescent="0.35">
      <c r="A98" s="14" t="s">
        <v>391</v>
      </c>
      <c r="B98" s="14" t="s">
        <v>377</v>
      </c>
      <c r="C98" t="s">
        <v>394</v>
      </c>
      <c r="D98" s="18">
        <v>44077</v>
      </c>
      <c r="E98" s="18">
        <v>44078</v>
      </c>
      <c r="F98" s="34">
        <v>44104</v>
      </c>
      <c r="H98" s="28" t="s">
        <v>127</v>
      </c>
      <c r="M98" s="33">
        <v>0.21</v>
      </c>
    </row>
    <row r="99" spans="1:13" x14ac:dyDescent="0.35">
      <c r="A99" s="14" t="s">
        <v>391</v>
      </c>
      <c r="B99" s="14" t="s">
        <v>377</v>
      </c>
      <c r="C99" t="s">
        <v>394</v>
      </c>
      <c r="D99" s="18">
        <v>44077</v>
      </c>
      <c r="E99" s="18">
        <v>44078</v>
      </c>
      <c r="F99" s="34">
        <v>44104</v>
      </c>
      <c r="H99" s="28" t="s">
        <v>25</v>
      </c>
      <c r="K99" t="s">
        <v>381</v>
      </c>
      <c r="L99">
        <v>50</v>
      </c>
      <c r="M99" s="33">
        <v>0.21</v>
      </c>
    </row>
    <row r="100" spans="1:13" x14ac:dyDescent="0.35">
      <c r="A100" s="14" t="s">
        <v>391</v>
      </c>
      <c r="B100" s="14" t="s">
        <v>377</v>
      </c>
      <c r="C100" t="s">
        <v>394</v>
      </c>
      <c r="D100" s="18">
        <v>44077</v>
      </c>
      <c r="E100" s="18">
        <v>44078</v>
      </c>
      <c r="F100" s="34">
        <v>44104</v>
      </c>
      <c r="H100" s="28" t="s">
        <v>23</v>
      </c>
      <c r="K100" t="s">
        <v>380</v>
      </c>
      <c r="L100">
        <v>10</v>
      </c>
      <c r="M100" s="33">
        <v>0.21</v>
      </c>
    </row>
    <row r="101" spans="1:13" x14ac:dyDescent="0.35">
      <c r="A101" s="14" t="s">
        <v>391</v>
      </c>
      <c r="B101" s="14" t="s">
        <v>377</v>
      </c>
      <c r="C101" t="s">
        <v>394</v>
      </c>
      <c r="D101" s="18">
        <v>44077</v>
      </c>
      <c r="E101" s="18">
        <v>44078</v>
      </c>
      <c r="F101" s="34">
        <v>44104</v>
      </c>
      <c r="H101" s="28" t="s">
        <v>24</v>
      </c>
      <c r="K101" t="s">
        <v>380</v>
      </c>
      <c r="L101">
        <v>10</v>
      </c>
      <c r="M101" s="33">
        <v>0.21</v>
      </c>
    </row>
    <row r="102" spans="1:13" x14ac:dyDescent="0.35">
      <c r="A102" s="14" t="s">
        <v>391</v>
      </c>
      <c r="B102" s="14" t="s">
        <v>377</v>
      </c>
      <c r="C102" t="s">
        <v>394</v>
      </c>
      <c r="D102" s="18">
        <v>44077</v>
      </c>
      <c r="E102" s="18">
        <v>44078</v>
      </c>
      <c r="F102" s="34">
        <v>44104</v>
      </c>
      <c r="H102" s="28" t="s">
        <v>27</v>
      </c>
      <c r="K102" t="s">
        <v>380</v>
      </c>
      <c r="L102">
        <v>25</v>
      </c>
      <c r="M102" s="33">
        <v>0.21</v>
      </c>
    </row>
    <row r="103" spans="1:13" x14ac:dyDescent="0.35">
      <c r="A103" s="14" t="s">
        <v>391</v>
      </c>
      <c r="B103" s="14" t="s">
        <v>377</v>
      </c>
      <c r="C103" t="s">
        <v>394</v>
      </c>
      <c r="D103" s="18">
        <v>44077</v>
      </c>
      <c r="E103" s="18">
        <v>44078</v>
      </c>
      <c r="F103" s="34">
        <v>44104</v>
      </c>
      <c r="H103" s="28" t="s">
        <v>28</v>
      </c>
      <c r="K103" t="s">
        <v>380</v>
      </c>
      <c r="L103">
        <v>25</v>
      </c>
      <c r="M103" s="33">
        <v>0.21</v>
      </c>
    </row>
    <row r="104" spans="1:13" x14ac:dyDescent="0.35">
      <c r="A104" s="14" t="s">
        <v>391</v>
      </c>
      <c r="B104" s="14" t="s">
        <v>377</v>
      </c>
      <c r="C104" t="s">
        <v>394</v>
      </c>
      <c r="D104" s="18">
        <v>44077</v>
      </c>
      <c r="E104" s="18">
        <v>44078</v>
      </c>
      <c r="F104" s="34">
        <v>44104</v>
      </c>
      <c r="H104" s="28" t="s">
        <v>176</v>
      </c>
      <c r="M104" s="33">
        <v>0.21</v>
      </c>
    </row>
    <row r="105" spans="1:13" x14ac:dyDescent="0.35">
      <c r="A105" s="14" t="s">
        <v>391</v>
      </c>
      <c r="B105" s="14" t="s">
        <v>377</v>
      </c>
      <c r="C105" t="s">
        <v>394</v>
      </c>
      <c r="D105" s="18">
        <v>44077</v>
      </c>
      <c r="E105" s="18">
        <v>44078</v>
      </c>
      <c r="F105" s="34">
        <v>44104</v>
      </c>
      <c r="H105" s="28" t="s">
        <v>181</v>
      </c>
      <c r="K105" t="s">
        <v>381</v>
      </c>
      <c r="L105">
        <v>50</v>
      </c>
      <c r="M105" s="33">
        <v>0.21</v>
      </c>
    </row>
    <row r="106" spans="1:13" x14ac:dyDescent="0.35">
      <c r="A106" s="14" t="s">
        <v>391</v>
      </c>
      <c r="B106" s="14" t="s">
        <v>377</v>
      </c>
      <c r="C106" t="s">
        <v>394</v>
      </c>
      <c r="D106" s="18">
        <v>44077</v>
      </c>
      <c r="E106" s="18">
        <v>44078</v>
      </c>
      <c r="F106" s="34">
        <v>44104</v>
      </c>
      <c r="H106" s="28" t="s">
        <v>188</v>
      </c>
      <c r="M106" s="33">
        <v>0.21</v>
      </c>
    </row>
    <row r="107" spans="1:13" x14ac:dyDescent="0.35">
      <c r="A107" s="14" t="s">
        <v>391</v>
      </c>
      <c r="B107" s="14" t="s">
        <v>377</v>
      </c>
      <c r="C107" t="s">
        <v>394</v>
      </c>
      <c r="D107" s="18">
        <v>44077</v>
      </c>
      <c r="E107" s="18">
        <v>44078</v>
      </c>
      <c r="F107" s="34">
        <v>44104</v>
      </c>
      <c r="H107" s="28" t="s">
        <v>393</v>
      </c>
      <c r="M107" s="33">
        <v>0.21</v>
      </c>
    </row>
    <row r="108" spans="1:13" x14ac:dyDescent="0.35">
      <c r="A108" s="14" t="s">
        <v>391</v>
      </c>
      <c r="B108" s="14" t="s">
        <v>377</v>
      </c>
      <c r="C108" t="s">
        <v>394</v>
      </c>
      <c r="D108" s="18">
        <v>44077</v>
      </c>
      <c r="E108" s="18">
        <v>44078</v>
      </c>
      <c r="F108" s="34">
        <v>44104</v>
      </c>
      <c r="H108" s="28" t="s">
        <v>200</v>
      </c>
      <c r="M108" s="33">
        <v>0.21</v>
      </c>
    </row>
    <row r="109" spans="1:13" x14ac:dyDescent="0.35">
      <c r="A109" s="14" t="s">
        <v>391</v>
      </c>
      <c r="B109" s="14" t="s">
        <v>377</v>
      </c>
      <c r="C109" t="s">
        <v>394</v>
      </c>
      <c r="D109" s="18">
        <v>44077</v>
      </c>
      <c r="E109" s="18">
        <v>44078</v>
      </c>
      <c r="F109" s="34">
        <v>44104</v>
      </c>
      <c r="H109" s="28" t="s">
        <v>204</v>
      </c>
      <c r="M109" s="33">
        <v>0.21</v>
      </c>
    </row>
    <row r="110" spans="1:13" x14ac:dyDescent="0.35">
      <c r="A110" s="14" t="s">
        <v>391</v>
      </c>
      <c r="B110" s="14" t="s">
        <v>377</v>
      </c>
      <c r="C110" t="s">
        <v>394</v>
      </c>
      <c r="D110" s="18">
        <v>44077</v>
      </c>
      <c r="E110" s="18">
        <v>44078</v>
      </c>
      <c r="F110" s="34">
        <v>44104</v>
      </c>
      <c r="H110" s="28" t="s">
        <v>208</v>
      </c>
      <c r="M110" s="33">
        <v>0.21</v>
      </c>
    </row>
    <row r="111" spans="1:13" x14ac:dyDescent="0.35">
      <c r="A111" s="14" t="s">
        <v>391</v>
      </c>
      <c r="B111" s="14" t="s">
        <v>377</v>
      </c>
      <c r="C111" t="s">
        <v>394</v>
      </c>
      <c r="D111" s="18">
        <v>44077</v>
      </c>
      <c r="E111" s="18">
        <v>44078</v>
      </c>
      <c r="F111" s="34">
        <v>44104</v>
      </c>
      <c r="H111" s="28" t="s">
        <v>210</v>
      </c>
      <c r="M111" s="33">
        <v>0.21</v>
      </c>
    </row>
    <row r="112" spans="1:13" x14ac:dyDescent="0.35">
      <c r="A112" s="14" t="s">
        <v>391</v>
      </c>
      <c r="B112" s="14" t="s">
        <v>377</v>
      </c>
      <c r="C112" t="s">
        <v>394</v>
      </c>
      <c r="D112" s="18">
        <v>44077</v>
      </c>
      <c r="E112" s="18">
        <v>44078</v>
      </c>
      <c r="F112" s="34">
        <v>44104</v>
      </c>
      <c r="H112" s="28" t="s">
        <v>223</v>
      </c>
      <c r="M112" s="33">
        <v>0.21</v>
      </c>
    </row>
    <row r="113" spans="1:13" x14ac:dyDescent="0.35">
      <c r="A113" s="14" t="s">
        <v>391</v>
      </c>
      <c r="B113" s="14" t="s">
        <v>377</v>
      </c>
      <c r="C113" t="s">
        <v>394</v>
      </c>
      <c r="D113" s="18">
        <v>44077</v>
      </c>
      <c r="E113" s="18">
        <v>44078</v>
      </c>
      <c r="F113" s="34">
        <v>44104</v>
      </c>
      <c r="H113" s="28" t="s">
        <v>284</v>
      </c>
      <c r="M113" s="33">
        <v>0.21</v>
      </c>
    </row>
    <row r="114" spans="1:13" x14ac:dyDescent="0.35">
      <c r="A114" s="14" t="s">
        <v>391</v>
      </c>
      <c r="B114" s="14" t="s">
        <v>377</v>
      </c>
      <c r="C114" t="s">
        <v>394</v>
      </c>
      <c r="D114" s="18">
        <v>44077</v>
      </c>
      <c r="E114" s="18">
        <v>44078</v>
      </c>
      <c r="F114" s="34">
        <v>44104</v>
      </c>
      <c r="H114" s="28" t="s">
        <v>309</v>
      </c>
      <c r="M114" s="33">
        <v>0.21</v>
      </c>
    </row>
    <row r="115" spans="1:13" x14ac:dyDescent="0.35">
      <c r="A115" s="14" t="s">
        <v>391</v>
      </c>
      <c r="B115" s="14" t="s">
        <v>377</v>
      </c>
      <c r="C115" t="s">
        <v>394</v>
      </c>
      <c r="D115" s="18">
        <v>44077</v>
      </c>
      <c r="E115" s="18">
        <v>44078</v>
      </c>
      <c r="F115" s="34">
        <v>44104</v>
      </c>
      <c r="H115" s="28" t="s">
        <v>313</v>
      </c>
      <c r="K115" t="s">
        <v>381</v>
      </c>
      <c r="L115">
        <v>75</v>
      </c>
      <c r="M115" s="33">
        <v>0.21</v>
      </c>
    </row>
    <row r="116" spans="1:13" x14ac:dyDescent="0.35">
      <c r="A116" s="14" t="s">
        <v>391</v>
      </c>
      <c r="B116" s="14" t="s">
        <v>377</v>
      </c>
      <c r="C116" t="s">
        <v>394</v>
      </c>
      <c r="D116" s="18">
        <v>44077</v>
      </c>
      <c r="E116" s="18">
        <v>44078</v>
      </c>
      <c r="F116" s="34">
        <v>44104</v>
      </c>
      <c r="H116" s="28" t="s">
        <v>315</v>
      </c>
      <c r="K116" t="s">
        <v>381</v>
      </c>
      <c r="L116">
        <v>50</v>
      </c>
      <c r="M116" s="33">
        <v>0.21</v>
      </c>
    </row>
    <row r="117" spans="1:13" x14ac:dyDescent="0.35">
      <c r="A117" s="14" t="s">
        <v>391</v>
      </c>
      <c r="B117" s="14" t="s">
        <v>377</v>
      </c>
      <c r="C117" t="s">
        <v>394</v>
      </c>
      <c r="D117" s="18">
        <v>44081</v>
      </c>
      <c r="E117" s="18">
        <v>44077</v>
      </c>
      <c r="F117" s="34">
        <v>44104</v>
      </c>
      <c r="H117" s="28" t="s">
        <v>96</v>
      </c>
      <c r="M117" s="33">
        <v>0.16</v>
      </c>
    </row>
    <row r="118" spans="1:13" x14ac:dyDescent="0.35">
      <c r="A118" s="14" t="s">
        <v>391</v>
      </c>
      <c r="B118" s="14" t="s">
        <v>377</v>
      </c>
      <c r="C118" t="s">
        <v>394</v>
      </c>
      <c r="D118" s="18">
        <v>44081</v>
      </c>
      <c r="E118" s="18">
        <v>44077</v>
      </c>
      <c r="F118" s="34">
        <v>44104</v>
      </c>
      <c r="H118" s="28" t="s">
        <v>72</v>
      </c>
      <c r="M118" s="33">
        <v>0.16</v>
      </c>
    </row>
    <row r="119" spans="1:13" x14ac:dyDescent="0.35">
      <c r="A119" s="14" t="s">
        <v>391</v>
      </c>
      <c r="B119" s="14" t="s">
        <v>377</v>
      </c>
      <c r="C119" t="s">
        <v>394</v>
      </c>
      <c r="D119" s="18">
        <v>44081</v>
      </c>
      <c r="E119" s="18">
        <v>44077</v>
      </c>
      <c r="F119" s="34">
        <v>44104</v>
      </c>
      <c r="H119" s="28" t="s">
        <v>41</v>
      </c>
      <c r="K119" t="s">
        <v>381</v>
      </c>
      <c r="L119">
        <v>75</v>
      </c>
      <c r="M119" s="33">
        <v>0.16</v>
      </c>
    </row>
    <row r="120" spans="1:13" x14ac:dyDescent="0.35">
      <c r="A120" s="14" t="s">
        <v>391</v>
      </c>
      <c r="B120" s="14" t="s">
        <v>377</v>
      </c>
      <c r="C120" t="s">
        <v>394</v>
      </c>
      <c r="D120" s="18">
        <v>44081</v>
      </c>
      <c r="E120" s="18">
        <v>44077</v>
      </c>
      <c r="F120" s="34">
        <v>44104</v>
      </c>
      <c r="H120" s="28" t="s">
        <v>39</v>
      </c>
      <c r="K120" t="s">
        <v>381</v>
      </c>
      <c r="L120">
        <v>50</v>
      </c>
      <c r="M120" s="33">
        <v>0.16</v>
      </c>
    </row>
    <row r="121" spans="1:13" x14ac:dyDescent="0.35">
      <c r="A121" s="14" t="s">
        <v>391</v>
      </c>
      <c r="B121" s="14" t="s">
        <v>377</v>
      </c>
      <c r="C121" t="s">
        <v>394</v>
      </c>
      <c r="D121" s="18">
        <v>44081</v>
      </c>
      <c r="E121" s="18">
        <v>44077</v>
      </c>
      <c r="F121" s="34">
        <v>44104</v>
      </c>
      <c r="H121" s="28" t="s">
        <v>150</v>
      </c>
      <c r="M121" s="33">
        <v>0.16</v>
      </c>
    </row>
    <row r="122" spans="1:13" x14ac:dyDescent="0.35">
      <c r="A122" s="14" t="s">
        <v>391</v>
      </c>
      <c r="B122" s="14" t="s">
        <v>377</v>
      </c>
      <c r="C122" t="s">
        <v>394</v>
      </c>
      <c r="D122" s="18">
        <v>44081</v>
      </c>
      <c r="E122" s="18">
        <v>44077</v>
      </c>
      <c r="F122" s="34">
        <v>44104</v>
      </c>
      <c r="H122" s="28" t="s">
        <v>42</v>
      </c>
      <c r="K122" t="s">
        <v>381</v>
      </c>
      <c r="L122">
        <v>50</v>
      </c>
      <c r="M122" s="33">
        <v>0.16</v>
      </c>
    </row>
    <row r="123" spans="1:13" x14ac:dyDescent="0.35">
      <c r="A123" s="14" t="s">
        <v>391</v>
      </c>
      <c r="B123" s="14" t="s">
        <v>377</v>
      </c>
      <c r="C123" t="s">
        <v>394</v>
      </c>
      <c r="D123" s="18">
        <v>44081</v>
      </c>
      <c r="E123" s="18">
        <v>44077</v>
      </c>
      <c r="F123" s="34">
        <v>44104</v>
      </c>
      <c r="H123" s="28" t="s">
        <v>134</v>
      </c>
      <c r="K123" t="s">
        <v>381</v>
      </c>
      <c r="L123">
        <v>50</v>
      </c>
      <c r="M123" s="33">
        <v>0.16</v>
      </c>
    </row>
    <row r="124" spans="1:13" x14ac:dyDescent="0.35">
      <c r="A124" s="14" t="s">
        <v>391</v>
      </c>
      <c r="B124" s="14" t="s">
        <v>377</v>
      </c>
      <c r="C124" t="s">
        <v>394</v>
      </c>
      <c r="D124" s="18">
        <v>44081</v>
      </c>
      <c r="E124" s="18">
        <v>44077</v>
      </c>
      <c r="F124" s="34">
        <v>44104</v>
      </c>
      <c r="H124" s="28" t="s">
        <v>25</v>
      </c>
      <c r="K124" t="s">
        <v>381</v>
      </c>
      <c r="L124">
        <v>50</v>
      </c>
      <c r="M124" s="33">
        <v>0.16</v>
      </c>
    </row>
    <row r="125" spans="1:13" x14ac:dyDescent="0.35">
      <c r="A125" s="14" t="s">
        <v>391</v>
      </c>
      <c r="B125" s="14" t="s">
        <v>377</v>
      </c>
      <c r="C125" t="s">
        <v>394</v>
      </c>
      <c r="D125" s="18">
        <v>44081</v>
      </c>
      <c r="E125" s="18">
        <v>44077</v>
      </c>
      <c r="F125" s="34">
        <v>44104</v>
      </c>
      <c r="H125" s="28" t="s">
        <v>23</v>
      </c>
      <c r="K125" t="s">
        <v>380</v>
      </c>
      <c r="L125">
        <v>10</v>
      </c>
      <c r="M125" s="33">
        <v>0.16</v>
      </c>
    </row>
    <row r="126" spans="1:13" x14ac:dyDescent="0.35">
      <c r="A126" s="14" t="s">
        <v>391</v>
      </c>
      <c r="B126" s="14" t="s">
        <v>377</v>
      </c>
      <c r="C126" t="s">
        <v>394</v>
      </c>
      <c r="D126" s="18">
        <v>44081</v>
      </c>
      <c r="E126" s="18">
        <v>44077</v>
      </c>
      <c r="F126" s="34">
        <v>44104</v>
      </c>
      <c r="H126" s="28" t="s">
        <v>24</v>
      </c>
      <c r="K126" t="s">
        <v>380</v>
      </c>
      <c r="L126">
        <v>10</v>
      </c>
      <c r="M126" s="33">
        <v>0.16</v>
      </c>
    </row>
    <row r="127" spans="1:13" x14ac:dyDescent="0.35">
      <c r="A127" s="14" t="s">
        <v>391</v>
      </c>
      <c r="B127" s="14" t="s">
        <v>377</v>
      </c>
      <c r="C127" t="s">
        <v>394</v>
      </c>
      <c r="D127" s="18">
        <v>44081</v>
      </c>
      <c r="E127" s="18">
        <v>44077</v>
      </c>
      <c r="F127" s="34">
        <v>44104</v>
      </c>
      <c r="H127" s="28" t="s">
        <v>27</v>
      </c>
      <c r="K127" t="s">
        <v>380</v>
      </c>
      <c r="L127">
        <v>25</v>
      </c>
      <c r="M127" s="33">
        <v>0.16</v>
      </c>
    </row>
    <row r="128" spans="1:13" x14ac:dyDescent="0.35">
      <c r="A128" s="14" t="s">
        <v>391</v>
      </c>
      <c r="B128" s="14" t="s">
        <v>377</v>
      </c>
      <c r="C128" t="s">
        <v>394</v>
      </c>
      <c r="D128" s="18">
        <v>44081</v>
      </c>
      <c r="E128" s="18">
        <v>44077</v>
      </c>
      <c r="F128" s="34">
        <v>44104</v>
      </c>
      <c r="H128" s="28" t="s">
        <v>28</v>
      </c>
      <c r="K128" t="s">
        <v>380</v>
      </c>
      <c r="L128">
        <v>25</v>
      </c>
      <c r="M128" s="33">
        <v>0.16</v>
      </c>
    </row>
    <row r="129" spans="1:13" x14ac:dyDescent="0.35">
      <c r="A129" s="14" t="s">
        <v>391</v>
      </c>
      <c r="B129" s="14" t="s">
        <v>377</v>
      </c>
      <c r="C129" t="s">
        <v>394</v>
      </c>
      <c r="D129" s="18">
        <v>44081</v>
      </c>
      <c r="E129" s="18">
        <v>44077</v>
      </c>
      <c r="F129" s="34">
        <v>44104</v>
      </c>
      <c r="H129" s="28" t="s">
        <v>176</v>
      </c>
      <c r="M129" s="33">
        <v>0.16</v>
      </c>
    </row>
    <row r="130" spans="1:13" x14ac:dyDescent="0.35">
      <c r="A130" s="14" t="s">
        <v>391</v>
      </c>
      <c r="B130" s="14" t="s">
        <v>377</v>
      </c>
      <c r="C130" t="s">
        <v>394</v>
      </c>
      <c r="D130" s="18">
        <v>44081</v>
      </c>
      <c r="E130" s="18">
        <v>44077</v>
      </c>
      <c r="F130" s="34">
        <v>44104</v>
      </c>
      <c r="H130" s="28" t="s">
        <v>29</v>
      </c>
      <c r="K130" t="s">
        <v>381</v>
      </c>
      <c r="L130">
        <v>50</v>
      </c>
      <c r="M130" s="33">
        <v>0.16</v>
      </c>
    </row>
    <row r="131" spans="1:13" x14ac:dyDescent="0.35">
      <c r="A131" s="14" t="s">
        <v>391</v>
      </c>
      <c r="B131" s="14" t="s">
        <v>377</v>
      </c>
      <c r="C131" t="s">
        <v>394</v>
      </c>
      <c r="D131" s="18">
        <v>44081</v>
      </c>
      <c r="E131" s="18">
        <v>44077</v>
      </c>
      <c r="F131" s="34">
        <v>44104</v>
      </c>
      <c r="H131" s="28" t="s">
        <v>188</v>
      </c>
      <c r="M131" s="33">
        <v>0.16</v>
      </c>
    </row>
    <row r="132" spans="1:13" x14ac:dyDescent="0.35">
      <c r="A132" s="14" t="s">
        <v>391</v>
      </c>
      <c r="B132" s="14" t="s">
        <v>377</v>
      </c>
      <c r="C132" t="s">
        <v>394</v>
      </c>
      <c r="D132" s="18">
        <v>44081</v>
      </c>
      <c r="E132" s="18">
        <v>44077</v>
      </c>
      <c r="F132" s="34">
        <v>44104</v>
      </c>
      <c r="H132" s="28" t="s">
        <v>198</v>
      </c>
      <c r="M132" s="33">
        <v>0.16</v>
      </c>
    </row>
    <row r="133" spans="1:13" x14ac:dyDescent="0.35">
      <c r="A133" s="14" t="s">
        <v>391</v>
      </c>
      <c r="B133" s="14" t="s">
        <v>377</v>
      </c>
      <c r="C133" t="s">
        <v>394</v>
      </c>
      <c r="D133" s="18">
        <v>44081</v>
      </c>
      <c r="E133" s="18">
        <v>44077</v>
      </c>
      <c r="F133" s="34">
        <v>44104</v>
      </c>
      <c r="H133" s="28" t="s">
        <v>393</v>
      </c>
      <c r="M133" s="33">
        <v>0.16</v>
      </c>
    </row>
    <row r="134" spans="1:13" x14ac:dyDescent="0.35">
      <c r="A134" s="14" t="s">
        <v>391</v>
      </c>
      <c r="B134" s="14" t="s">
        <v>377</v>
      </c>
      <c r="C134" t="s">
        <v>394</v>
      </c>
      <c r="D134" s="18">
        <v>44081</v>
      </c>
      <c r="E134" s="18">
        <v>44077</v>
      </c>
      <c r="F134" s="34">
        <v>44104</v>
      </c>
      <c r="H134" s="28" t="s">
        <v>204</v>
      </c>
      <c r="M134" s="33">
        <v>0.16</v>
      </c>
    </row>
    <row r="135" spans="1:13" x14ac:dyDescent="0.35">
      <c r="A135" s="14" t="s">
        <v>391</v>
      </c>
      <c r="B135" s="14" t="s">
        <v>377</v>
      </c>
      <c r="C135" t="s">
        <v>394</v>
      </c>
      <c r="D135" s="18">
        <v>44081</v>
      </c>
      <c r="E135" s="18">
        <v>44077</v>
      </c>
      <c r="F135" s="34">
        <v>44104</v>
      </c>
      <c r="H135" s="28" t="s">
        <v>210</v>
      </c>
      <c r="M135" s="33">
        <v>0.16</v>
      </c>
    </row>
    <row r="136" spans="1:13" x14ac:dyDescent="0.35">
      <c r="A136" s="14" t="s">
        <v>391</v>
      </c>
      <c r="B136" s="14" t="s">
        <v>377</v>
      </c>
      <c r="C136" t="s">
        <v>394</v>
      </c>
      <c r="D136" s="18">
        <v>44081</v>
      </c>
      <c r="E136" s="18">
        <v>44077</v>
      </c>
      <c r="F136" s="34">
        <v>44104</v>
      </c>
      <c r="H136" s="28" t="s">
        <v>313</v>
      </c>
      <c r="K136" t="s">
        <v>381</v>
      </c>
      <c r="L136">
        <v>75</v>
      </c>
      <c r="M136" s="33">
        <v>0.16</v>
      </c>
    </row>
    <row r="137" spans="1:13" x14ac:dyDescent="0.35">
      <c r="A137" s="14" t="s">
        <v>391</v>
      </c>
      <c r="B137" s="14" t="s">
        <v>377</v>
      </c>
      <c r="C137" t="s">
        <v>394</v>
      </c>
      <c r="D137" s="18">
        <v>44081</v>
      </c>
      <c r="E137" s="18">
        <v>44077</v>
      </c>
      <c r="F137" s="34">
        <v>44104</v>
      </c>
      <c r="H137" s="28" t="s">
        <v>315</v>
      </c>
      <c r="K137" t="s">
        <v>381</v>
      </c>
      <c r="L137">
        <v>50</v>
      </c>
      <c r="M137" s="33">
        <v>0.16</v>
      </c>
    </row>
    <row r="138" spans="1:13" x14ac:dyDescent="0.35">
      <c r="A138" s="14" t="s">
        <v>391</v>
      </c>
      <c r="B138" s="14" t="s">
        <v>377</v>
      </c>
      <c r="C138" t="s">
        <v>394</v>
      </c>
      <c r="D138" s="18">
        <v>44081</v>
      </c>
      <c r="E138" s="18">
        <v>44077</v>
      </c>
      <c r="F138" s="34">
        <v>44104</v>
      </c>
      <c r="H138" s="28" t="s">
        <v>337</v>
      </c>
      <c r="K138" t="s">
        <v>380</v>
      </c>
      <c r="L138">
        <v>10</v>
      </c>
      <c r="M138" s="33">
        <v>0.16</v>
      </c>
    </row>
    <row r="139" spans="1:13" x14ac:dyDescent="0.35">
      <c r="A139" s="14" t="s">
        <v>391</v>
      </c>
      <c r="B139" s="14" t="s">
        <v>377</v>
      </c>
      <c r="C139" t="s">
        <v>394</v>
      </c>
      <c r="D139" s="18">
        <v>44081</v>
      </c>
      <c r="E139" s="18">
        <v>44077</v>
      </c>
      <c r="F139" s="34">
        <v>44104</v>
      </c>
      <c r="H139" s="28" t="s">
        <v>341</v>
      </c>
      <c r="M139" s="33">
        <v>0.16</v>
      </c>
    </row>
    <row r="140" spans="1:13" x14ac:dyDescent="0.35">
      <c r="A140" s="14" t="s">
        <v>391</v>
      </c>
      <c r="B140" s="14" t="s">
        <v>377</v>
      </c>
      <c r="C140" t="s">
        <v>395</v>
      </c>
      <c r="D140" s="18">
        <v>44083</v>
      </c>
      <c r="E140" s="18">
        <v>44084</v>
      </c>
      <c r="F140" s="34">
        <v>44459</v>
      </c>
      <c r="H140" s="28" t="s">
        <v>68</v>
      </c>
      <c r="M140" s="33">
        <v>0.16</v>
      </c>
    </row>
    <row r="141" spans="1:13" x14ac:dyDescent="0.35">
      <c r="A141" s="14" t="s">
        <v>391</v>
      </c>
      <c r="B141" s="14" t="s">
        <v>377</v>
      </c>
      <c r="C141" t="s">
        <v>395</v>
      </c>
      <c r="D141" s="18">
        <v>44083</v>
      </c>
      <c r="E141" s="18">
        <v>44084</v>
      </c>
      <c r="F141" s="34">
        <v>44459</v>
      </c>
      <c r="H141" s="28" t="s">
        <v>96</v>
      </c>
      <c r="M141" s="33">
        <v>0.16</v>
      </c>
    </row>
    <row r="142" spans="1:13" x14ac:dyDescent="0.35">
      <c r="A142" s="14" t="s">
        <v>391</v>
      </c>
      <c r="B142" s="14" t="s">
        <v>377</v>
      </c>
      <c r="C142" t="s">
        <v>395</v>
      </c>
      <c r="D142" s="18">
        <v>44083</v>
      </c>
      <c r="E142" s="18">
        <v>44084</v>
      </c>
      <c r="F142" s="34">
        <v>44459</v>
      </c>
      <c r="H142" s="28" t="s">
        <v>72</v>
      </c>
      <c r="M142" s="33">
        <v>0.16</v>
      </c>
    </row>
    <row r="143" spans="1:13" x14ac:dyDescent="0.35">
      <c r="A143" s="14" t="s">
        <v>391</v>
      </c>
      <c r="B143" s="14" t="s">
        <v>377</v>
      </c>
      <c r="C143" t="s">
        <v>395</v>
      </c>
      <c r="D143" s="18">
        <v>44083</v>
      </c>
      <c r="E143" s="18">
        <v>44084</v>
      </c>
      <c r="F143" s="34">
        <v>44459</v>
      </c>
      <c r="H143" s="28" t="s">
        <v>41</v>
      </c>
      <c r="K143" t="s">
        <v>381</v>
      </c>
      <c r="L143">
        <v>75</v>
      </c>
      <c r="M143" s="33">
        <v>0.16</v>
      </c>
    </row>
    <row r="144" spans="1:13" x14ac:dyDescent="0.35">
      <c r="A144" s="14" t="s">
        <v>391</v>
      </c>
      <c r="B144" s="14" t="s">
        <v>377</v>
      </c>
      <c r="C144" t="s">
        <v>395</v>
      </c>
      <c r="D144" s="18">
        <v>44083</v>
      </c>
      <c r="E144" s="18">
        <v>44084</v>
      </c>
      <c r="F144" s="34">
        <v>44459</v>
      </c>
      <c r="H144" s="28" t="s">
        <v>39</v>
      </c>
      <c r="K144" t="s">
        <v>381</v>
      </c>
      <c r="L144">
        <v>50</v>
      </c>
      <c r="M144" s="33">
        <v>0.16</v>
      </c>
    </row>
    <row r="145" spans="1:13" x14ac:dyDescent="0.35">
      <c r="A145" s="14" t="s">
        <v>391</v>
      </c>
      <c r="B145" s="14" t="s">
        <v>377</v>
      </c>
      <c r="C145" t="s">
        <v>395</v>
      </c>
      <c r="D145" s="18">
        <v>44083</v>
      </c>
      <c r="E145" s="18">
        <v>44084</v>
      </c>
      <c r="F145" s="34">
        <v>44459</v>
      </c>
      <c r="H145" s="28" t="s">
        <v>44</v>
      </c>
      <c r="M145" s="33">
        <v>0.16</v>
      </c>
    </row>
    <row r="146" spans="1:13" x14ac:dyDescent="0.35">
      <c r="A146" s="14" t="s">
        <v>391</v>
      </c>
      <c r="B146" s="14" t="s">
        <v>377</v>
      </c>
      <c r="C146" t="s">
        <v>395</v>
      </c>
      <c r="D146" s="18">
        <v>44083</v>
      </c>
      <c r="E146" s="18">
        <v>44084</v>
      </c>
      <c r="F146" s="34">
        <v>44459</v>
      </c>
      <c r="H146" s="28" t="s">
        <v>55</v>
      </c>
      <c r="M146" s="33">
        <v>0.16</v>
      </c>
    </row>
    <row r="147" spans="1:13" x14ac:dyDescent="0.35">
      <c r="A147" s="14" t="s">
        <v>391</v>
      </c>
      <c r="B147" s="14" t="s">
        <v>377</v>
      </c>
      <c r="C147" t="s">
        <v>395</v>
      </c>
      <c r="D147" s="18">
        <v>44083</v>
      </c>
      <c r="E147" s="18">
        <v>44084</v>
      </c>
      <c r="F147" s="34">
        <v>44459</v>
      </c>
      <c r="H147" s="28" t="s">
        <v>125</v>
      </c>
      <c r="M147" s="33">
        <v>0.16</v>
      </c>
    </row>
    <row r="148" spans="1:13" x14ac:dyDescent="0.35">
      <c r="A148" s="14" t="s">
        <v>391</v>
      </c>
      <c r="B148" s="14" t="s">
        <v>377</v>
      </c>
      <c r="C148" t="s">
        <v>395</v>
      </c>
      <c r="D148" s="18">
        <v>44083</v>
      </c>
      <c r="E148" s="18">
        <v>44084</v>
      </c>
      <c r="F148" s="34">
        <v>44459</v>
      </c>
      <c r="H148" s="28" t="s">
        <v>127</v>
      </c>
      <c r="M148" s="33">
        <v>0.16</v>
      </c>
    </row>
    <row r="149" spans="1:13" x14ac:dyDescent="0.35">
      <c r="A149" s="14" t="s">
        <v>391</v>
      </c>
      <c r="B149" s="14" t="s">
        <v>377</v>
      </c>
      <c r="C149" t="s">
        <v>395</v>
      </c>
      <c r="D149" s="18">
        <v>44083</v>
      </c>
      <c r="E149" s="18">
        <v>44084</v>
      </c>
      <c r="F149" s="34">
        <v>44459</v>
      </c>
      <c r="H149" s="28" t="s">
        <v>25</v>
      </c>
      <c r="K149" t="s">
        <v>381</v>
      </c>
      <c r="L149">
        <v>50</v>
      </c>
      <c r="M149" s="33">
        <v>0.16</v>
      </c>
    </row>
    <row r="150" spans="1:13" x14ac:dyDescent="0.35">
      <c r="A150" s="14" t="s">
        <v>391</v>
      </c>
      <c r="B150" s="14" t="s">
        <v>377</v>
      </c>
      <c r="C150" t="s">
        <v>395</v>
      </c>
      <c r="D150" s="18">
        <v>44083</v>
      </c>
      <c r="E150" s="18">
        <v>44084</v>
      </c>
      <c r="F150" s="34">
        <v>44459</v>
      </c>
      <c r="H150" s="28" t="s">
        <v>23</v>
      </c>
      <c r="K150" t="s">
        <v>381</v>
      </c>
      <c r="L150">
        <v>50</v>
      </c>
      <c r="M150" s="33">
        <v>0.16</v>
      </c>
    </row>
    <row r="151" spans="1:13" x14ac:dyDescent="0.35">
      <c r="A151" s="14" t="s">
        <v>391</v>
      </c>
      <c r="B151" s="14" t="s">
        <v>377</v>
      </c>
      <c r="C151" t="s">
        <v>395</v>
      </c>
      <c r="D151" s="18">
        <v>44083</v>
      </c>
      <c r="E151" s="18">
        <v>44084</v>
      </c>
      <c r="F151" s="34">
        <v>44459</v>
      </c>
      <c r="H151" s="28" t="s">
        <v>23</v>
      </c>
      <c r="K151" t="s">
        <v>380</v>
      </c>
      <c r="L151">
        <v>10</v>
      </c>
      <c r="M151" s="33">
        <v>0.16</v>
      </c>
    </row>
    <row r="152" spans="1:13" x14ac:dyDescent="0.35">
      <c r="A152" s="14" t="s">
        <v>391</v>
      </c>
      <c r="B152" s="14" t="s">
        <v>377</v>
      </c>
      <c r="C152" t="s">
        <v>395</v>
      </c>
      <c r="D152" s="18">
        <v>44083</v>
      </c>
      <c r="E152" s="18">
        <v>44084</v>
      </c>
      <c r="F152" s="34">
        <v>44459</v>
      </c>
      <c r="H152" s="28" t="s">
        <v>24</v>
      </c>
      <c r="K152" t="s">
        <v>381</v>
      </c>
      <c r="L152">
        <v>50</v>
      </c>
      <c r="M152" s="33">
        <v>0.16</v>
      </c>
    </row>
    <row r="153" spans="1:13" x14ac:dyDescent="0.35">
      <c r="A153" s="14" t="s">
        <v>391</v>
      </c>
      <c r="B153" s="14" t="s">
        <v>377</v>
      </c>
      <c r="C153" t="s">
        <v>395</v>
      </c>
      <c r="D153" s="18">
        <v>44083</v>
      </c>
      <c r="E153" s="18">
        <v>44084</v>
      </c>
      <c r="F153" s="34">
        <v>44459</v>
      </c>
      <c r="H153" s="28" t="s">
        <v>24</v>
      </c>
      <c r="K153" t="s">
        <v>380</v>
      </c>
      <c r="L153">
        <v>10</v>
      </c>
      <c r="M153" s="33">
        <v>0.16</v>
      </c>
    </row>
    <row r="154" spans="1:13" x14ac:dyDescent="0.35">
      <c r="A154" s="14" t="s">
        <v>391</v>
      </c>
      <c r="B154" s="14" t="s">
        <v>377</v>
      </c>
      <c r="C154" t="s">
        <v>395</v>
      </c>
      <c r="D154" s="18">
        <v>44083</v>
      </c>
      <c r="E154" s="18">
        <v>44084</v>
      </c>
      <c r="F154" s="34">
        <v>44459</v>
      </c>
      <c r="H154" s="28" t="s">
        <v>27</v>
      </c>
      <c r="K154" t="s">
        <v>381</v>
      </c>
      <c r="L154">
        <v>50</v>
      </c>
      <c r="M154" s="33">
        <v>0.16</v>
      </c>
    </row>
    <row r="155" spans="1:13" x14ac:dyDescent="0.35">
      <c r="A155" s="14" t="s">
        <v>391</v>
      </c>
      <c r="B155" s="14" t="s">
        <v>377</v>
      </c>
      <c r="C155" t="s">
        <v>395</v>
      </c>
      <c r="D155" s="18">
        <v>44083</v>
      </c>
      <c r="E155" s="18">
        <v>44084</v>
      </c>
      <c r="F155" s="34">
        <v>44459</v>
      </c>
      <c r="H155" s="28" t="s">
        <v>27</v>
      </c>
      <c r="K155" t="s">
        <v>380</v>
      </c>
      <c r="L155">
        <v>25</v>
      </c>
      <c r="M155" s="33">
        <v>0.16</v>
      </c>
    </row>
    <row r="156" spans="1:13" x14ac:dyDescent="0.35">
      <c r="A156" s="14" t="s">
        <v>391</v>
      </c>
      <c r="B156" s="14" t="s">
        <v>377</v>
      </c>
      <c r="C156" t="s">
        <v>395</v>
      </c>
      <c r="D156" s="18">
        <v>44083</v>
      </c>
      <c r="E156" s="18">
        <v>44084</v>
      </c>
      <c r="F156" s="34">
        <v>44459</v>
      </c>
      <c r="H156" s="28" t="s">
        <v>28</v>
      </c>
      <c r="K156" t="s">
        <v>381</v>
      </c>
      <c r="L156">
        <v>50</v>
      </c>
      <c r="M156" s="33">
        <v>0.16</v>
      </c>
    </row>
    <row r="157" spans="1:13" x14ac:dyDescent="0.35">
      <c r="A157" s="14" t="s">
        <v>391</v>
      </c>
      <c r="B157" s="14" t="s">
        <v>377</v>
      </c>
      <c r="C157" t="s">
        <v>395</v>
      </c>
      <c r="D157" s="18">
        <v>44083</v>
      </c>
      <c r="E157" s="18">
        <v>44084</v>
      </c>
      <c r="F157" s="34">
        <v>44459</v>
      </c>
      <c r="H157" s="28" t="s">
        <v>28</v>
      </c>
      <c r="K157" t="s">
        <v>380</v>
      </c>
      <c r="L157">
        <v>25</v>
      </c>
      <c r="M157" s="33">
        <v>0.16</v>
      </c>
    </row>
    <row r="158" spans="1:13" x14ac:dyDescent="0.35">
      <c r="A158" s="14" t="s">
        <v>391</v>
      </c>
      <c r="B158" s="14" t="s">
        <v>377</v>
      </c>
      <c r="C158" t="s">
        <v>395</v>
      </c>
      <c r="D158" s="18">
        <v>44083</v>
      </c>
      <c r="E158" s="18">
        <v>44084</v>
      </c>
      <c r="F158" s="34">
        <v>44459</v>
      </c>
      <c r="H158" s="28" t="s">
        <v>176</v>
      </c>
      <c r="M158" s="33">
        <v>0.16</v>
      </c>
    </row>
    <row r="159" spans="1:13" x14ac:dyDescent="0.35">
      <c r="A159" s="14" t="s">
        <v>391</v>
      </c>
      <c r="B159" s="14" t="s">
        <v>377</v>
      </c>
      <c r="C159" t="s">
        <v>395</v>
      </c>
      <c r="D159" s="18">
        <v>44083</v>
      </c>
      <c r="E159" s="18">
        <v>44084</v>
      </c>
      <c r="F159" s="34">
        <v>44459</v>
      </c>
      <c r="H159" s="28" t="s">
        <v>29</v>
      </c>
      <c r="K159" t="s">
        <v>381</v>
      </c>
      <c r="L159">
        <v>50</v>
      </c>
      <c r="M159" s="33">
        <v>0.16</v>
      </c>
    </row>
    <row r="160" spans="1:13" x14ac:dyDescent="0.35">
      <c r="A160" s="14" t="s">
        <v>391</v>
      </c>
      <c r="B160" s="14" t="s">
        <v>377</v>
      </c>
      <c r="C160" t="s">
        <v>395</v>
      </c>
      <c r="D160" s="18">
        <v>44083</v>
      </c>
      <c r="E160" s="18">
        <v>44084</v>
      </c>
      <c r="F160" s="34">
        <v>44459</v>
      </c>
      <c r="H160" s="28" t="s">
        <v>188</v>
      </c>
      <c r="M160" s="33">
        <v>0.16</v>
      </c>
    </row>
    <row r="161" spans="1:13" x14ac:dyDescent="0.35">
      <c r="A161" s="14" t="s">
        <v>391</v>
      </c>
      <c r="B161" s="14" t="s">
        <v>377</v>
      </c>
      <c r="C161" t="s">
        <v>395</v>
      </c>
      <c r="D161" s="18">
        <v>44083</v>
      </c>
      <c r="E161" s="18">
        <v>44084</v>
      </c>
      <c r="F161" s="34">
        <v>44459</v>
      </c>
      <c r="H161" s="28" t="s">
        <v>198</v>
      </c>
      <c r="M161" s="33">
        <v>0.16</v>
      </c>
    </row>
    <row r="162" spans="1:13" x14ac:dyDescent="0.35">
      <c r="A162" s="14" t="s">
        <v>391</v>
      </c>
      <c r="B162" s="14" t="s">
        <v>377</v>
      </c>
      <c r="C162" t="s">
        <v>395</v>
      </c>
      <c r="D162" s="18">
        <v>44083</v>
      </c>
      <c r="E162" s="18">
        <v>44084</v>
      </c>
      <c r="F162" s="34">
        <v>44459</v>
      </c>
      <c r="H162" s="28" t="s">
        <v>393</v>
      </c>
      <c r="M162" s="33">
        <v>0.16</v>
      </c>
    </row>
    <row r="163" spans="1:13" x14ac:dyDescent="0.35">
      <c r="A163" s="14" t="s">
        <v>391</v>
      </c>
      <c r="B163" s="14" t="s">
        <v>377</v>
      </c>
      <c r="C163" t="s">
        <v>395</v>
      </c>
      <c r="D163" s="18">
        <v>44083</v>
      </c>
      <c r="E163" s="18">
        <v>44084</v>
      </c>
      <c r="F163" s="34">
        <v>44459</v>
      </c>
      <c r="H163" s="28" t="s">
        <v>204</v>
      </c>
      <c r="M163" s="33">
        <v>0.16</v>
      </c>
    </row>
    <row r="164" spans="1:13" x14ac:dyDescent="0.35">
      <c r="A164" s="14" t="s">
        <v>391</v>
      </c>
      <c r="B164" s="14" t="s">
        <v>377</v>
      </c>
      <c r="C164" t="s">
        <v>395</v>
      </c>
      <c r="D164" s="18">
        <v>44083</v>
      </c>
      <c r="E164" s="18">
        <v>44084</v>
      </c>
      <c r="F164" s="34">
        <v>44459</v>
      </c>
      <c r="H164" s="28" t="s">
        <v>210</v>
      </c>
      <c r="M164" s="33">
        <v>0.16</v>
      </c>
    </row>
    <row r="165" spans="1:13" x14ac:dyDescent="0.35">
      <c r="A165" s="14" t="s">
        <v>391</v>
      </c>
      <c r="B165" s="14" t="s">
        <v>377</v>
      </c>
      <c r="C165" t="s">
        <v>395</v>
      </c>
      <c r="D165" s="18">
        <v>44083</v>
      </c>
      <c r="E165" s="18">
        <v>44084</v>
      </c>
      <c r="F165" s="34">
        <v>44459</v>
      </c>
      <c r="H165" s="28" t="s">
        <v>223</v>
      </c>
      <c r="M165" s="33">
        <v>0.16</v>
      </c>
    </row>
    <row r="166" spans="1:13" x14ac:dyDescent="0.35">
      <c r="A166" s="14" t="s">
        <v>391</v>
      </c>
      <c r="B166" s="14" t="s">
        <v>377</v>
      </c>
      <c r="C166" t="s">
        <v>395</v>
      </c>
      <c r="D166" s="18">
        <v>44083</v>
      </c>
      <c r="E166" s="18">
        <v>44084</v>
      </c>
      <c r="F166" s="34">
        <v>44459</v>
      </c>
      <c r="H166" s="28" t="s">
        <v>230</v>
      </c>
      <c r="M166" s="33">
        <v>0.16</v>
      </c>
    </row>
    <row r="167" spans="1:13" x14ac:dyDescent="0.35">
      <c r="A167" s="14" t="s">
        <v>391</v>
      </c>
      <c r="B167" s="14" t="s">
        <v>377</v>
      </c>
      <c r="C167" t="s">
        <v>395</v>
      </c>
      <c r="D167" s="18">
        <v>44083</v>
      </c>
      <c r="E167" s="18">
        <v>44084</v>
      </c>
      <c r="F167" s="34">
        <v>44459</v>
      </c>
      <c r="H167" s="28" t="s">
        <v>284</v>
      </c>
      <c r="M167" s="33">
        <v>0.16</v>
      </c>
    </row>
    <row r="168" spans="1:13" x14ac:dyDescent="0.35">
      <c r="A168" s="14" t="s">
        <v>391</v>
      </c>
      <c r="B168" s="14" t="s">
        <v>377</v>
      </c>
      <c r="C168" t="s">
        <v>395</v>
      </c>
      <c r="D168" s="18">
        <v>44083</v>
      </c>
      <c r="E168" s="18">
        <v>44084</v>
      </c>
      <c r="F168" s="34">
        <v>44459</v>
      </c>
      <c r="H168" s="28" t="s">
        <v>309</v>
      </c>
      <c r="M168" s="33">
        <v>0.16</v>
      </c>
    </row>
    <row r="169" spans="1:13" x14ac:dyDescent="0.35">
      <c r="A169" s="14" t="s">
        <v>391</v>
      </c>
      <c r="B169" s="14" t="s">
        <v>377</v>
      </c>
      <c r="C169" t="s">
        <v>395</v>
      </c>
      <c r="D169" s="18">
        <v>44083</v>
      </c>
      <c r="E169" s="18">
        <v>44084</v>
      </c>
      <c r="F169" s="34">
        <v>44459</v>
      </c>
      <c r="H169" s="28" t="s">
        <v>313</v>
      </c>
      <c r="K169" t="s">
        <v>381</v>
      </c>
      <c r="L169">
        <v>75</v>
      </c>
      <c r="M169" s="33">
        <v>0.16</v>
      </c>
    </row>
    <row r="170" spans="1:13" x14ac:dyDescent="0.35">
      <c r="A170" s="14" t="s">
        <v>391</v>
      </c>
      <c r="B170" s="14" t="s">
        <v>377</v>
      </c>
      <c r="C170" t="s">
        <v>395</v>
      </c>
      <c r="D170" s="18">
        <v>44083</v>
      </c>
      <c r="E170" s="18">
        <v>44084</v>
      </c>
      <c r="F170" s="34">
        <v>44459</v>
      </c>
      <c r="H170" s="28" t="s">
        <v>315</v>
      </c>
      <c r="K170" t="s">
        <v>381</v>
      </c>
      <c r="L170">
        <v>50</v>
      </c>
      <c r="M170" s="33">
        <v>0.16</v>
      </c>
    </row>
    <row r="171" spans="1:13" x14ac:dyDescent="0.35">
      <c r="A171" s="14" t="s">
        <v>391</v>
      </c>
      <c r="B171" s="14" t="s">
        <v>377</v>
      </c>
      <c r="C171" t="s">
        <v>395</v>
      </c>
      <c r="D171" s="18">
        <v>44083</v>
      </c>
      <c r="E171" s="18">
        <v>44084</v>
      </c>
      <c r="F171" s="34">
        <v>44459</v>
      </c>
      <c r="H171" s="28" t="s">
        <v>32</v>
      </c>
      <c r="K171" t="s">
        <v>380</v>
      </c>
      <c r="L171">
        <v>10</v>
      </c>
      <c r="M171" s="33">
        <v>0.16</v>
      </c>
    </row>
    <row r="172" spans="1:13" x14ac:dyDescent="0.35">
      <c r="A172" s="14" t="s">
        <v>391</v>
      </c>
      <c r="B172" s="14" t="s">
        <v>377</v>
      </c>
      <c r="C172" t="s">
        <v>395</v>
      </c>
      <c r="D172" s="18">
        <v>44083</v>
      </c>
      <c r="E172" s="18">
        <v>44084</v>
      </c>
      <c r="F172" s="34">
        <v>44459</v>
      </c>
      <c r="H172" s="28" t="s">
        <v>335</v>
      </c>
      <c r="M172" s="33">
        <v>0.16</v>
      </c>
    </row>
    <row r="173" spans="1:13" x14ac:dyDescent="0.35">
      <c r="A173" s="26" t="s">
        <v>391</v>
      </c>
      <c r="B173" s="26" t="s">
        <v>377</v>
      </c>
      <c r="C173" s="35" t="s">
        <v>392</v>
      </c>
      <c r="D173" s="36">
        <v>44084</v>
      </c>
      <c r="E173" s="36">
        <v>44085</v>
      </c>
      <c r="F173" s="34">
        <v>44097</v>
      </c>
      <c r="G173" s="37"/>
      <c r="H173" s="39" t="s">
        <v>68</v>
      </c>
      <c r="I173" s="35"/>
      <c r="J173" s="35"/>
      <c r="K173" s="35"/>
      <c r="L173" s="35"/>
      <c r="M173" s="38">
        <v>0.22</v>
      </c>
    </row>
    <row r="174" spans="1:13" x14ac:dyDescent="0.35">
      <c r="A174" s="26" t="s">
        <v>391</v>
      </c>
      <c r="B174" s="26" t="s">
        <v>377</v>
      </c>
      <c r="C174" s="35" t="s">
        <v>392</v>
      </c>
      <c r="D174" s="36">
        <v>44084</v>
      </c>
      <c r="E174" s="36">
        <v>44085</v>
      </c>
      <c r="F174" s="34">
        <v>44097</v>
      </c>
      <c r="G174" s="37"/>
      <c r="H174" s="39" t="s">
        <v>96</v>
      </c>
      <c r="I174" s="35"/>
      <c r="J174" s="35"/>
      <c r="K174" s="35"/>
      <c r="L174" s="35"/>
      <c r="M174" s="38">
        <v>0.22</v>
      </c>
    </row>
    <row r="175" spans="1:13" x14ac:dyDescent="0.35">
      <c r="A175" s="26" t="s">
        <v>396</v>
      </c>
      <c r="B175" s="26" t="s">
        <v>377</v>
      </c>
      <c r="C175" s="35" t="s">
        <v>392</v>
      </c>
      <c r="D175" s="36">
        <v>44084</v>
      </c>
      <c r="E175" s="36">
        <v>44082</v>
      </c>
      <c r="F175" s="34">
        <v>44119</v>
      </c>
      <c r="G175" s="37"/>
      <c r="H175" s="39" t="s">
        <v>96</v>
      </c>
      <c r="I175" s="35"/>
      <c r="J175" s="35"/>
      <c r="K175" s="35"/>
      <c r="L175" s="35"/>
      <c r="M175" s="38"/>
    </row>
    <row r="176" spans="1:13" x14ac:dyDescent="0.35">
      <c r="A176" s="26" t="s">
        <v>391</v>
      </c>
      <c r="B176" s="26" t="s">
        <v>377</v>
      </c>
      <c r="C176" s="35" t="s">
        <v>392</v>
      </c>
      <c r="D176" s="36">
        <v>44084</v>
      </c>
      <c r="E176" s="36">
        <v>44085</v>
      </c>
      <c r="F176" s="34">
        <v>44097</v>
      </c>
      <c r="G176" s="37"/>
      <c r="H176" s="39" t="s">
        <v>72</v>
      </c>
      <c r="I176" s="35"/>
      <c r="J176" s="35"/>
      <c r="K176" s="35"/>
      <c r="L176" s="35"/>
      <c r="M176" s="38">
        <v>0.22</v>
      </c>
    </row>
    <row r="177" spans="1:13" x14ac:dyDescent="0.35">
      <c r="A177" s="26" t="s">
        <v>396</v>
      </c>
      <c r="B177" s="26" t="s">
        <v>377</v>
      </c>
      <c r="C177" s="35" t="s">
        <v>392</v>
      </c>
      <c r="D177" s="36">
        <v>44084</v>
      </c>
      <c r="E177" s="36">
        <v>44082</v>
      </c>
      <c r="F177" s="34">
        <v>44119</v>
      </c>
      <c r="G177" s="37"/>
      <c r="H177" s="28" t="s">
        <v>72</v>
      </c>
      <c r="I177" s="35"/>
      <c r="J177" s="35"/>
      <c r="K177" s="35"/>
      <c r="L177" s="35"/>
      <c r="M177" s="38"/>
    </row>
    <row r="178" spans="1:13" x14ac:dyDescent="0.35">
      <c r="A178" s="26" t="s">
        <v>391</v>
      </c>
      <c r="B178" s="26" t="s">
        <v>377</v>
      </c>
      <c r="C178" s="35" t="s">
        <v>392</v>
      </c>
      <c r="D178" s="36">
        <v>44084</v>
      </c>
      <c r="E178" s="36">
        <v>44085</v>
      </c>
      <c r="F178" s="34">
        <v>44097</v>
      </c>
      <c r="G178" s="37"/>
      <c r="H178" s="39" t="s">
        <v>41</v>
      </c>
      <c r="I178" s="35"/>
      <c r="J178" s="35"/>
      <c r="K178" s="35" t="s">
        <v>381</v>
      </c>
      <c r="L178" s="35">
        <v>50</v>
      </c>
      <c r="M178" s="38">
        <v>0.22</v>
      </c>
    </row>
    <row r="179" spans="1:13" x14ac:dyDescent="0.35">
      <c r="A179" s="26" t="s">
        <v>396</v>
      </c>
      <c r="B179" s="26" t="s">
        <v>377</v>
      </c>
      <c r="C179" s="35" t="s">
        <v>392</v>
      </c>
      <c r="D179" s="36">
        <v>44084</v>
      </c>
      <c r="E179" s="36">
        <v>44082</v>
      </c>
      <c r="F179" s="34">
        <v>44119</v>
      </c>
      <c r="G179" s="37"/>
      <c r="H179" s="39" t="s">
        <v>41</v>
      </c>
      <c r="I179" s="35"/>
      <c r="J179" s="35"/>
      <c r="K179" s="35" t="s">
        <v>381</v>
      </c>
      <c r="L179" s="35">
        <v>75</v>
      </c>
      <c r="M179" s="38"/>
    </row>
    <row r="180" spans="1:13" x14ac:dyDescent="0.35">
      <c r="A180" s="26" t="s">
        <v>391</v>
      </c>
      <c r="B180" s="26" t="s">
        <v>377</v>
      </c>
      <c r="C180" s="35" t="s">
        <v>392</v>
      </c>
      <c r="D180" s="36">
        <v>44084</v>
      </c>
      <c r="E180" s="36">
        <v>44085</v>
      </c>
      <c r="F180" s="34">
        <v>44097</v>
      </c>
      <c r="G180" s="37"/>
      <c r="H180" s="28" t="s">
        <v>39</v>
      </c>
      <c r="I180" s="35"/>
      <c r="J180" s="35"/>
      <c r="K180" s="35" t="s">
        <v>381</v>
      </c>
      <c r="L180" s="35">
        <v>50</v>
      </c>
      <c r="M180" s="38">
        <v>0.22</v>
      </c>
    </row>
    <row r="181" spans="1:13" x14ac:dyDescent="0.35">
      <c r="A181" s="26" t="s">
        <v>396</v>
      </c>
      <c r="B181" s="26" t="s">
        <v>377</v>
      </c>
      <c r="C181" s="35" t="s">
        <v>392</v>
      </c>
      <c r="D181" s="36">
        <v>44084</v>
      </c>
      <c r="E181" s="36">
        <v>44082</v>
      </c>
      <c r="F181" s="34">
        <v>44119</v>
      </c>
      <c r="G181" s="37"/>
      <c r="H181" s="28" t="s">
        <v>39</v>
      </c>
      <c r="I181" s="35"/>
      <c r="J181" s="35"/>
      <c r="K181" s="35" t="s">
        <v>381</v>
      </c>
      <c r="L181" s="35">
        <v>50</v>
      </c>
      <c r="M181" s="38"/>
    </row>
    <row r="182" spans="1:13" x14ac:dyDescent="0.35">
      <c r="A182" s="26" t="s">
        <v>396</v>
      </c>
      <c r="B182" s="26" t="s">
        <v>377</v>
      </c>
      <c r="C182" s="35" t="s">
        <v>392</v>
      </c>
      <c r="D182" s="36">
        <v>44084</v>
      </c>
      <c r="E182" s="36">
        <v>44082</v>
      </c>
      <c r="F182" s="34">
        <v>44119</v>
      </c>
      <c r="G182" s="37"/>
      <c r="H182" s="28" t="s">
        <v>55</v>
      </c>
      <c r="I182" s="35"/>
      <c r="J182" s="35"/>
      <c r="K182" s="35" t="s">
        <v>381</v>
      </c>
      <c r="L182" s="35">
        <v>50</v>
      </c>
      <c r="M182" s="35"/>
    </row>
    <row r="183" spans="1:13" x14ac:dyDescent="0.35">
      <c r="A183" s="26" t="s">
        <v>391</v>
      </c>
      <c r="B183" s="26" t="s">
        <v>377</v>
      </c>
      <c r="C183" s="35" t="s">
        <v>392</v>
      </c>
      <c r="D183" s="36">
        <v>44084</v>
      </c>
      <c r="E183" s="36">
        <v>44085</v>
      </c>
      <c r="F183" s="34">
        <v>44097</v>
      </c>
      <c r="G183" s="37"/>
      <c r="H183" s="28" t="s">
        <v>150</v>
      </c>
      <c r="I183" s="35"/>
      <c r="J183" s="35"/>
      <c r="K183" s="35"/>
      <c r="L183" s="35"/>
      <c r="M183" s="38">
        <v>0.22</v>
      </c>
    </row>
    <row r="184" spans="1:13" x14ac:dyDescent="0.35">
      <c r="A184" s="26" t="s">
        <v>391</v>
      </c>
      <c r="B184" s="26" t="s">
        <v>377</v>
      </c>
      <c r="C184" s="35" t="s">
        <v>392</v>
      </c>
      <c r="D184" s="36">
        <v>44084</v>
      </c>
      <c r="E184" s="36">
        <v>44085</v>
      </c>
      <c r="F184" s="34">
        <v>44097</v>
      </c>
      <c r="G184" s="37"/>
      <c r="H184" s="28" t="s">
        <v>125</v>
      </c>
      <c r="I184" s="35"/>
      <c r="J184" s="35"/>
      <c r="K184" s="35"/>
      <c r="L184" s="35"/>
      <c r="M184" s="38">
        <v>0.22</v>
      </c>
    </row>
    <row r="185" spans="1:13" x14ac:dyDescent="0.35">
      <c r="A185" s="26" t="s">
        <v>391</v>
      </c>
      <c r="B185" s="26" t="s">
        <v>377</v>
      </c>
      <c r="C185" s="35" t="s">
        <v>392</v>
      </c>
      <c r="D185" s="36">
        <v>44084</v>
      </c>
      <c r="E185" s="36">
        <v>44085</v>
      </c>
      <c r="F185" s="34">
        <v>44097</v>
      </c>
      <c r="G185" s="37"/>
      <c r="H185" s="28" t="s">
        <v>127</v>
      </c>
      <c r="I185" s="35"/>
      <c r="J185" s="35"/>
      <c r="K185" s="35"/>
      <c r="L185" s="35"/>
      <c r="M185" s="38">
        <v>0.22</v>
      </c>
    </row>
    <row r="186" spans="1:13" x14ac:dyDescent="0.35">
      <c r="A186" s="26" t="s">
        <v>396</v>
      </c>
      <c r="B186" s="26" t="s">
        <v>377</v>
      </c>
      <c r="C186" s="35" t="s">
        <v>392</v>
      </c>
      <c r="D186" s="36">
        <v>44084</v>
      </c>
      <c r="E186" s="36">
        <v>44082</v>
      </c>
      <c r="F186" s="34">
        <v>44119</v>
      </c>
      <c r="G186" s="37"/>
      <c r="H186" s="28" t="s">
        <v>42</v>
      </c>
      <c r="I186" s="35"/>
      <c r="J186" s="35"/>
      <c r="K186" s="35" t="s">
        <v>381</v>
      </c>
      <c r="L186" s="35">
        <v>50</v>
      </c>
      <c r="M186" s="38"/>
    </row>
    <row r="187" spans="1:13" x14ac:dyDescent="0.35">
      <c r="A187" s="26" t="s">
        <v>396</v>
      </c>
      <c r="B187" s="26" t="s">
        <v>377</v>
      </c>
      <c r="C187" s="35" t="s">
        <v>392</v>
      </c>
      <c r="D187" s="36">
        <v>44084</v>
      </c>
      <c r="E187" s="36">
        <v>44082</v>
      </c>
      <c r="F187" s="34">
        <v>44119</v>
      </c>
      <c r="G187" s="37"/>
      <c r="H187" s="28" t="s">
        <v>134</v>
      </c>
      <c r="I187" s="35"/>
      <c r="J187" s="35"/>
      <c r="K187" s="35" t="s">
        <v>381</v>
      </c>
      <c r="L187" s="35">
        <v>50</v>
      </c>
      <c r="M187" s="38"/>
    </row>
    <row r="188" spans="1:13" x14ac:dyDescent="0.35">
      <c r="A188" s="26" t="s">
        <v>391</v>
      </c>
      <c r="B188" s="26" t="s">
        <v>377</v>
      </c>
      <c r="C188" s="35" t="s">
        <v>392</v>
      </c>
      <c r="D188" s="36">
        <v>44084</v>
      </c>
      <c r="E188" s="36">
        <v>44085</v>
      </c>
      <c r="F188" s="34">
        <v>44097</v>
      </c>
      <c r="G188" s="37"/>
      <c r="H188" s="28" t="s">
        <v>25</v>
      </c>
      <c r="I188" s="35"/>
      <c r="J188" s="35"/>
      <c r="K188" s="35" t="s">
        <v>381</v>
      </c>
      <c r="L188" s="35">
        <v>50</v>
      </c>
      <c r="M188" s="38">
        <v>0.22</v>
      </c>
    </row>
    <row r="189" spans="1:13" x14ac:dyDescent="0.35">
      <c r="A189" s="26" t="s">
        <v>396</v>
      </c>
      <c r="B189" s="26" t="s">
        <v>377</v>
      </c>
      <c r="C189" s="35" t="s">
        <v>392</v>
      </c>
      <c r="D189" s="36">
        <v>44084</v>
      </c>
      <c r="E189" s="36">
        <v>44082</v>
      </c>
      <c r="F189" s="34">
        <v>44119</v>
      </c>
      <c r="G189" s="37"/>
      <c r="H189" s="28" t="s">
        <v>25</v>
      </c>
      <c r="I189" s="35"/>
      <c r="J189" s="35"/>
      <c r="K189" s="35" t="s">
        <v>381</v>
      </c>
      <c r="L189" s="35">
        <v>50</v>
      </c>
      <c r="M189" s="38"/>
    </row>
    <row r="190" spans="1:13" x14ac:dyDescent="0.35">
      <c r="A190" s="26" t="s">
        <v>391</v>
      </c>
      <c r="B190" s="26" t="s">
        <v>377</v>
      </c>
      <c r="C190" s="35" t="s">
        <v>392</v>
      </c>
      <c r="D190" s="36">
        <v>44084</v>
      </c>
      <c r="E190" s="36">
        <v>44085</v>
      </c>
      <c r="F190" s="34">
        <v>44097</v>
      </c>
      <c r="G190" s="37"/>
      <c r="H190" s="28" t="s">
        <v>23</v>
      </c>
      <c r="I190" s="35"/>
      <c r="J190" s="35"/>
      <c r="K190" s="35" t="s">
        <v>380</v>
      </c>
      <c r="L190" s="35">
        <v>10</v>
      </c>
      <c r="M190" s="38">
        <v>0.22</v>
      </c>
    </row>
    <row r="191" spans="1:13" x14ac:dyDescent="0.35">
      <c r="A191" s="26" t="s">
        <v>396</v>
      </c>
      <c r="B191" s="26" t="s">
        <v>377</v>
      </c>
      <c r="C191" s="35" t="s">
        <v>392</v>
      </c>
      <c r="D191" s="36">
        <v>44084</v>
      </c>
      <c r="E191" s="36">
        <v>44082</v>
      </c>
      <c r="F191" s="34">
        <v>44119</v>
      </c>
      <c r="G191" s="37"/>
      <c r="H191" s="28" t="s">
        <v>23</v>
      </c>
      <c r="I191" s="35"/>
      <c r="J191" s="35"/>
      <c r="K191" s="35" t="s">
        <v>380</v>
      </c>
      <c r="L191" s="35">
        <v>10</v>
      </c>
      <c r="M191" s="38"/>
    </row>
    <row r="192" spans="1:13" x14ac:dyDescent="0.35">
      <c r="A192" s="26" t="s">
        <v>391</v>
      </c>
      <c r="B192" s="26" t="s">
        <v>377</v>
      </c>
      <c r="C192" s="35" t="s">
        <v>392</v>
      </c>
      <c r="D192" s="36">
        <v>44084</v>
      </c>
      <c r="E192" s="36">
        <v>44085</v>
      </c>
      <c r="F192" s="34">
        <v>44097</v>
      </c>
      <c r="G192" s="37"/>
      <c r="H192" s="28" t="s">
        <v>24</v>
      </c>
      <c r="I192" s="35"/>
      <c r="J192" s="35"/>
      <c r="K192" s="35" t="s">
        <v>380</v>
      </c>
      <c r="L192" s="35">
        <v>10</v>
      </c>
      <c r="M192" s="38">
        <v>0.22</v>
      </c>
    </row>
    <row r="193" spans="1:13" x14ac:dyDescent="0.35">
      <c r="A193" s="26" t="s">
        <v>396</v>
      </c>
      <c r="B193" s="26" t="s">
        <v>377</v>
      </c>
      <c r="C193" s="35" t="s">
        <v>392</v>
      </c>
      <c r="D193" s="36">
        <v>44084</v>
      </c>
      <c r="E193" s="36">
        <v>44082</v>
      </c>
      <c r="F193" s="34">
        <v>44119</v>
      </c>
      <c r="G193" s="37"/>
      <c r="H193" s="28" t="s">
        <v>24</v>
      </c>
      <c r="I193" s="35"/>
      <c r="J193" s="35"/>
      <c r="K193" s="35" t="s">
        <v>380</v>
      </c>
      <c r="L193" s="35">
        <v>10</v>
      </c>
      <c r="M193" s="38"/>
    </row>
    <row r="194" spans="1:13" x14ac:dyDescent="0.35">
      <c r="A194" s="26" t="s">
        <v>391</v>
      </c>
      <c r="B194" s="26" t="s">
        <v>377</v>
      </c>
      <c r="C194" s="35" t="s">
        <v>392</v>
      </c>
      <c r="D194" s="36">
        <v>44084</v>
      </c>
      <c r="E194" s="36">
        <v>44085</v>
      </c>
      <c r="F194" s="34">
        <v>44097</v>
      </c>
      <c r="G194" s="37"/>
      <c r="H194" s="28" t="s">
        <v>27</v>
      </c>
      <c r="I194" s="35"/>
      <c r="J194" s="35"/>
      <c r="K194" s="35" t="s">
        <v>380</v>
      </c>
      <c r="L194" s="35">
        <v>25</v>
      </c>
      <c r="M194" s="38">
        <v>0.22</v>
      </c>
    </row>
    <row r="195" spans="1:13" x14ac:dyDescent="0.35">
      <c r="A195" s="26" t="s">
        <v>396</v>
      </c>
      <c r="B195" s="26" t="s">
        <v>377</v>
      </c>
      <c r="C195" s="35" t="s">
        <v>392</v>
      </c>
      <c r="D195" s="36">
        <v>44084</v>
      </c>
      <c r="E195" s="36">
        <v>44082</v>
      </c>
      <c r="F195" s="34">
        <v>44119</v>
      </c>
      <c r="G195" s="37"/>
      <c r="H195" s="28" t="s">
        <v>27</v>
      </c>
      <c r="I195" s="35"/>
      <c r="J195" s="35"/>
      <c r="K195" s="35" t="s">
        <v>380</v>
      </c>
      <c r="L195" s="35">
        <v>25</v>
      </c>
      <c r="M195" s="38"/>
    </row>
    <row r="196" spans="1:13" x14ac:dyDescent="0.35">
      <c r="A196" s="26" t="s">
        <v>391</v>
      </c>
      <c r="B196" s="26" t="s">
        <v>377</v>
      </c>
      <c r="C196" s="35" t="s">
        <v>392</v>
      </c>
      <c r="D196" s="36">
        <v>44084</v>
      </c>
      <c r="E196" s="36">
        <v>44085</v>
      </c>
      <c r="F196" s="34">
        <v>44097</v>
      </c>
      <c r="G196" s="37"/>
      <c r="H196" s="28" t="s">
        <v>28</v>
      </c>
      <c r="I196" s="35"/>
      <c r="J196" s="35"/>
      <c r="K196" s="35" t="s">
        <v>380</v>
      </c>
      <c r="L196" s="35">
        <v>25</v>
      </c>
      <c r="M196" s="38">
        <v>0.22</v>
      </c>
    </row>
    <row r="197" spans="1:13" x14ac:dyDescent="0.35">
      <c r="A197" s="26" t="s">
        <v>396</v>
      </c>
      <c r="B197" s="26" t="s">
        <v>377</v>
      </c>
      <c r="C197" s="35" t="s">
        <v>392</v>
      </c>
      <c r="D197" s="36">
        <v>44084</v>
      </c>
      <c r="E197" s="36">
        <v>44082</v>
      </c>
      <c r="F197" s="34">
        <v>44119</v>
      </c>
      <c r="G197" s="37"/>
      <c r="H197" s="28" t="s">
        <v>28</v>
      </c>
      <c r="I197" s="35"/>
      <c r="J197" s="35"/>
      <c r="K197" s="35" t="s">
        <v>380</v>
      </c>
      <c r="L197" s="35">
        <v>25</v>
      </c>
      <c r="M197" s="38"/>
    </row>
    <row r="198" spans="1:13" x14ac:dyDescent="0.35">
      <c r="A198" s="26" t="s">
        <v>396</v>
      </c>
      <c r="B198" s="26" t="s">
        <v>377</v>
      </c>
      <c r="C198" s="35" t="s">
        <v>392</v>
      </c>
      <c r="D198" s="36">
        <v>44084</v>
      </c>
      <c r="E198" s="36">
        <v>44082</v>
      </c>
      <c r="F198" s="34">
        <v>44119</v>
      </c>
      <c r="G198" s="37"/>
      <c r="H198" s="28" t="s">
        <v>30</v>
      </c>
      <c r="I198" s="35"/>
      <c r="J198" s="35"/>
      <c r="K198" s="35" t="s">
        <v>381</v>
      </c>
      <c r="L198" s="35">
        <v>30</v>
      </c>
      <c r="M198" s="38"/>
    </row>
    <row r="199" spans="1:13" x14ac:dyDescent="0.35">
      <c r="A199" s="26" t="s">
        <v>391</v>
      </c>
      <c r="B199" s="26" t="s">
        <v>377</v>
      </c>
      <c r="C199" s="35" t="s">
        <v>392</v>
      </c>
      <c r="D199" s="36">
        <v>44084</v>
      </c>
      <c r="E199" s="36">
        <v>44085</v>
      </c>
      <c r="F199" s="34">
        <v>44097</v>
      </c>
      <c r="G199" s="37"/>
      <c r="H199" s="28" t="s">
        <v>176</v>
      </c>
      <c r="I199" s="35"/>
      <c r="J199" s="35"/>
      <c r="K199" s="35"/>
      <c r="L199" s="35"/>
      <c r="M199" s="38">
        <v>0.22</v>
      </c>
    </row>
    <row r="200" spans="1:13" x14ac:dyDescent="0.35">
      <c r="A200" s="26" t="s">
        <v>391</v>
      </c>
      <c r="B200" s="26" t="s">
        <v>377</v>
      </c>
      <c r="C200" s="35" t="s">
        <v>392</v>
      </c>
      <c r="D200" s="36">
        <v>44084</v>
      </c>
      <c r="E200" s="36">
        <v>44085</v>
      </c>
      <c r="F200" s="34">
        <v>44097</v>
      </c>
      <c r="G200" s="37"/>
      <c r="H200" s="28" t="s">
        <v>29</v>
      </c>
      <c r="I200" s="35"/>
      <c r="J200" s="35"/>
      <c r="K200" s="35" t="s">
        <v>381</v>
      </c>
      <c r="L200" s="35">
        <v>50</v>
      </c>
      <c r="M200" s="38">
        <v>0.22</v>
      </c>
    </row>
    <row r="201" spans="1:13" x14ac:dyDescent="0.35">
      <c r="A201" s="26" t="s">
        <v>396</v>
      </c>
      <c r="B201" s="26" t="s">
        <v>377</v>
      </c>
      <c r="C201" s="35" t="s">
        <v>392</v>
      </c>
      <c r="D201" s="36">
        <v>44084</v>
      </c>
      <c r="E201" s="36">
        <v>44082</v>
      </c>
      <c r="F201" s="34">
        <v>44119</v>
      </c>
      <c r="G201" s="37"/>
      <c r="H201" s="28" t="s">
        <v>29</v>
      </c>
      <c r="I201" s="35"/>
      <c r="J201" s="35"/>
      <c r="K201" s="35" t="s">
        <v>381</v>
      </c>
      <c r="L201" s="35">
        <v>50</v>
      </c>
      <c r="M201" s="38"/>
    </row>
    <row r="202" spans="1:13" x14ac:dyDescent="0.35">
      <c r="A202" s="26" t="s">
        <v>391</v>
      </c>
      <c r="B202" s="26" t="s">
        <v>377</v>
      </c>
      <c r="C202" s="35" t="s">
        <v>392</v>
      </c>
      <c r="D202" s="36">
        <v>44084</v>
      </c>
      <c r="E202" s="36">
        <v>44085</v>
      </c>
      <c r="F202" s="34">
        <v>44097</v>
      </c>
      <c r="G202" s="37"/>
      <c r="H202" s="28" t="s">
        <v>188</v>
      </c>
      <c r="I202" s="35"/>
      <c r="J202" s="35"/>
      <c r="K202" s="35"/>
      <c r="L202" s="35"/>
      <c r="M202" s="38">
        <v>0.22</v>
      </c>
    </row>
    <row r="203" spans="1:13" x14ac:dyDescent="0.35">
      <c r="A203" s="26" t="s">
        <v>396</v>
      </c>
      <c r="B203" s="26" t="s">
        <v>377</v>
      </c>
      <c r="C203" s="35" t="s">
        <v>392</v>
      </c>
      <c r="D203" s="36">
        <v>44084</v>
      </c>
      <c r="E203" s="36">
        <v>44082</v>
      </c>
      <c r="F203" s="34">
        <v>44119</v>
      </c>
      <c r="G203" s="37"/>
      <c r="H203" s="28" t="s">
        <v>188</v>
      </c>
      <c r="I203" s="35"/>
      <c r="J203" s="35"/>
      <c r="K203" s="35"/>
      <c r="L203" s="35"/>
      <c r="M203" s="38"/>
    </row>
    <row r="204" spans="1:13" x14ac:dyDescent="0.35">
      <c r="A204" s="26" t="s">
        <v>391</v>
      </c>
      <c r="B204" s="26" t="s">
        <v>377</v>
      </c>
      <c r="C204" s="35" t="s">
        <v>392</v>
      </c>
      <c r="D204" s="36">
        <v>44084</v>
      </c>
      <c r="E204" s="36">
        <v>44085</v>
      </c>
      <c r="F204" s="34">
        <v>44097</v>
      </c>
      <c r="G204" s="37"/>
      <c r="H204" s="28" t="s">
        <v>198</v>
      </c>
      <c r="I204" s="35"/>
      <c r="J204" s="35"/>
      <c r="K204" s="35"/>
      <c r="L204" s="35"/>
      <c r="M204" s="38">
        <v>0.22</v>
      </c>
    </row>
    <row r="205" spans="1:13" x14ac:dyDescent="0.35">
      <c r="A205" s="26" t="s">
        <v>396</v>
      </c>
      <c r="B205" s="26" t="s">
        <v>377</v>
      </c>
      <c r="C205" s="35" t="s">
        <v>392</v>
      </c>
      <c r="D205" s="36">
        <v>44084</v>
      </c>
      <c r="E205" s="36">
        <v>44082</v>
      </c>
      <c r="F205" s="34">
        <v>44119</v>
      </c>
      <c r="G205" s="37"/>
      <c r="H205" s="28" t="s">
        <v>198</v>
      </c>
      <c r="I205" s="35"/>
      <c r="J205" s="35"/>
    </row>
    <row r="206" spans="1:13" x14ac:dyDescent="0.35">
      <c r="A206" s="26" t="s">
        <v>391</v>
      </c>
      <c r="B206" s="26" t="s">
        <v>377</v>
      </c>
      <c r="C206" s="35" t="s">
        <v>392</v>
      </c>
      <c r="D206" s="36">
        <v>44084</v>
      </c>
      <c r="E206" s="36">
        <v>44085</v>
      </c>
      <c r="F206" s="34">
        <v>44097</v>
      </c>
      <c r="G206" s="37"/>
      <c r="H206" s="28" t="s">
        <v>393</v>
      </c>
      <c r="I206" s="35"/>
      <c r="J206" s="35"/>
      <c r="K206" s="35"/>
      <c r="L206" s="35"/>
      <c r="M206" s="38">
        <v>0.22</v>
      </c>
    </row>
    <row r="207" spans="1:13" x14ac:dyDescent="0.35">
      <c r="A207" s="26" t="s">
        <v>396</v>
      </c>
      <c r="B207" s="26" t="s">
        <v>377</v>
      </c>
      <c r="C207" s="35" t="s">
        <v>392</v>
      </c>
      <c r="D207" s="36">
        <v>44084</v>
      </c>
      <c r="E207" s="36">
        <v>44082</v>
      </c>
      <c r="F207" s="34">
        <v>44119</v>
      </c>
      <c r="G207" s="37"/>
      <c r="H207" s="28" t="s">
        <v>393</v>
      </c>
      <c r="I207" s="35"/>
      <c r="J207" s="35"/>
      <c r="K207" s="35"/>
      <c r="L207" s="35"/>
      <c r="M207" s="38"/>
    </row>
    <row r="208" spans="1:13" x14ac:dyDescent="0.35">
      <c r="A208" s="26" t="s">
        <v>391</v>
      </c>
      <c r="B208" s="26" t="s">
        <v>377</v>
      </c>
      <c r="C208" s="35" t="s">
        <v>392</v>
      </c>
      <c r="D208" s="36">
        <v>44084</v>
      </c>
      <c r="E208" s="36">
        <v>44085</v>
      </c>
      <c r="F208" s="34">
        <v>44097</v>
      </c>
      <c r="G208" s="37"/>
      <c r="H208" s="28" t="s">
        <v>204</v>
      </c>
      <c r="I208" s="35"/>
      <c r="J208" s="35"/>
      <c r="K208" s="35"/>
      <c r="L208" s="35"/>
      <c r="M208" s="38">
        <v>0.22</v>
      </c>
    </row>
    <row r="209" spans="1:13" x14ac:dyDescent="0.35">
      <c r="A209" s="26" t="s">
        <v>396</v>
      </c>
      <c r="B209" s="26" t="s">
        <v>377</v>
      </c>
      <c r="C209" s="35" t="s">
        <v>392</v>
      </c>
      <c r="D209" s="36">
        <v>44084</v>
      </c>
      <c r="E209" s="36">
        <v>44082</v>
      </c>
      <c r="F209" s="34">
        <v>44119</v>
      </c>
      <c r="G209" s="37"/>
      <c r="H209" s="28" t="s">
        <v>204</v>
      </c>
      <c r="I209" s="35"/>
      <c r="J209" s="35"/>
      <c r="K209" s="35"/>
      <c r="L209" s="35"/>
      <c r="M209" s="38"/>
    </row>
    <row r="210" spans="1:13" x14ac:dyDescent="0.35">
      <c r="A210" s="26" t="s">
        <v>391</v>
      </c>
      <c r="B210" s="26" t="s">
        <v>377</v>
      </c>
      <c r="C210" s="35" t="s">
        <v>392</v>
      </c>
      <c r="D210" s="36">
        <v>44084</v>
      </c>
      <c r="E210" s="36">
        <v>44085</v>
      </c>
      <c r="F210" s="34">
        <v>44097</v>
      </c>
      <c r="G210" s="37"/>
      <c r="H210" s="28" t="s">
        <v>208</v>
      </c>
      <c r="I210" s="35"/>
      <c r="J210" s="35"/>
      <c r="K210" s="35"/>
      <c r="L210" s="35"/>
      <c r="M210" s="38">
        <v>0.22</v>
      </c>
    </row>
    <row r="211" spans="1:13" x14ac:dyDescent="0.35">
      <c r="A211" s="26" t="s">
        <v>396</v>
      </c>
      <c r="B211" s="26" t="s">
        <v>377</v>
      </c>
      <c r="C211" s="35" t="s">
        <v>392</v>
      </c>
      <c r="D211" s="36">
        <v>44084</v>
      </c>
      <c r="E211" s="36">
        <v>44082</v>
      </c>
      <c r="F211" s="34">
        <v>44119</v>
      </c>
      <c r="G211" s="37"/>
      <c r="H211" s="28" t="s">
        <v>208</v>
      </c>
      <c r="I211" s="35"/>
      <c r="J211" s="35"/>
      <c r="K211" s="35"/>
      <c r="L211" s="35"/>
      <c r="M211" s="38"/>
    </row>
    <row r="212" spans="1:13" x14ac:dyDescent="0.35">
      <c r="A212" s="26" t="s">
        <v>391</v>
      </c>
      <c r="B212" s="26" t="s">
        <v>377</v>
      </c>
      <c r="C212" s="35" t="s">
        <v>392</v>
      </c>
      <c r="D212" s="36">
        <v>44084</v>
      </c>
      <c r="E212" s="36">
        <v>44085</v>
      </c>
      <c r="F212" s="34">
        <v>44097</v>
      </c>
      <c r="G212" s="37"/>
      <c r="H212" s="28" t="s">
        <v>210</v>
      </c>
      <c r="I212" s="35"/>
      <c r="J212" s="35"/>
      <c r="K212" s="35"/>
      <c r="L212" s="35"/>
      <c r="M212" s="38">
        <v>0.22</v>
      </c>
    </row>
    <row r="213" spans="1:13" x14ac:dyDescent="0.35">
      <c r="A213" s="26" t="s">
        <v>396</v>
      </c>
      <c r="B213" s="26" t="s">
        <v>377</v>
      </c>
      <c r="C213" s="35" t="s">
        <v>392</v>
      </c>
      <c r="D213" s="36">
        <v>44084</v>
      </c>
      <c r="E213" s="36">
        <v>44082</v>
      </c>
      <c r="F213" s="34">
        <v>44119</v>
      </c>
      <c r="G213" s="37"/>
      <c r="H213" s="28" t="s">
        <v>210</v>
      </c>
      <c r="I213" s="35"/>
      <c r="J213" s="35"/>
      <c r="K213" s="35"/>
      <c r="L213" s="35"/>
      <c r="M213" s="38"/>
    </row>
    <row r="214" spans="1:13" x14ac:dyDescent="0.35">
      <c r="A214" s="26" t="s">
        <v>391</v>
      </c>
      <c r="B214" s="26" t="s">
        <v>377</v>
      </c>
      <c r="C214" s="35" t="s">
        <v>392</v>
      </c>
      <c r="D214" s="36">
        <v>44084</v>
      </c>
      <c r="E214" s="36">
        <v>44085</v>
      </c>
      <c r="F214" s="34">
        <v>44097</v>
      </c>
      <c r="G214" s="37"/>
      <c r="H214" s="39" t="s">
        <v>223</v>
      </c>
      <c r="I214" s="35"/>
      <c r="J214" s="35"/>
      <c r="K214" s="35"/>
      <c r="L214" s="35"/>
      <c r="M214" s="38">
        <v>0.22</v>
      </c>
    </row>
    <row r="215" spans="1:13" x14ac:dyDescent="0.35">
      <c r="A215" s="26" t="s">
        <v>391</v>
      </c>
      <c r="B215" s="26" t="s">
        <v>377</v>
      </c>
      <c r="C215" s="35" t="s">
        <v>392</v>
      </c>
      <c r="D215" s="36">
        <v>44084</v>
      </c>
      <c r="E215" s="36">
        <v>44085</v>
      </c>
      <c r="F215" s="34">
        <v>44097</v>
      </c>
      <c r="G215" s="37"/>
      <c r="H215" s="28" t="s">
        <v>284</v>
      </c>
      <c r="I215" s="35"/>
      <c r="J215" s="35"/>
      <c r="K215" s="35"/>
      <c r="L215" s="35"/>
      <c r="M215" s="38">
        <v>0.22</v>
      </c>
    </row>
    <row r="216" spans="1:13" x14ac:dyDescent="0.35">
      <c r="A216" s="26" t="s">
        <v>391</v>
      </c>
      <c r="B216" s="26" t="s">
        <v>377</v>
      </c>
      <c r="C216" s="35" t="s">
        <v>392</v>
      </c>
      <c r="D216" s="36">
        <v>44084</v>
      </c>
      <c r="E216" s="36">
        <v>44085</v>
      </c>
      <c r="F216" s="34">
        <v>44097</v>
      </c>
      <c r="G216" s="37"/>
      <c r="H216" s="28" t="s">
        <v>309</v>
      </c>
      <c r="I216" s="35"/>
      <c r="J216" s="35"/>
      <c r="K216" s="35"/>
      <c r="L216" s="35"/>
      <c r="M216" s="38">
        <v>0.22</v>
      </c>
    </row>
    <row r="217" spans="1:13" x14ac:dyDescent="0.35">
      <c r="A217" s="26" t="s">
        <v>391</v>
      </c>
      <c r="B217" s="26" t="s">
        <v>377</v>
      </c>
      <c r="C217" s="35" t="s">
        <v>392</v>
      </c>
      <c r="D217" s="36">
        <v>44084</v>
      </c>
      <c r="E217" s="36">
        <v>44085</v>
      </c>
      <c r="F217" s="34">
        <v>44097</v>
      </c>
      <c r="G217" s="37"/>
      <c r="H217" s="28" t="s">
        <v>313</v>
      </c>
      <c r="I217" s="35"/>
      <c r="J217" s="35"/>
      <c r="K217" s="35" t="s">
        <v>381</v>
      </c>
      <c r="L217" s="35">
        <v>75</v>
      </c>
      <c r="M217" s="38">
        <v>0.22</v>
      </c>
    </row>
    <row r="218" spans="1:13" x14ac:dyDescent="0.35">
      <c r="A218" s="26" t="s">
        <v>396</v>
      </c>
      <c r="B218" s="26" t="s">
        <v>377</v>
      </c>
      <c r="C218" s="35" t="s">
        <v>392</v>
      </c>
      <c r="D218" s="36">
        <v>44084</v>
      </c>
      <c r="E218" s="36">
        <v>44082</v>
      </c>
      <c r="F218" s="34">
        <v>44119</v>
      </c>
      <c r="G218" s="37"/>
      <c r="H218" s="28" t="s">
        <v>313</v>
      </c>
      <c r="I218" s="35"/>
      <c r="J218" s="35"/>
      <c r="K218" s="35" t="s">
        <v>381</v>
      </c>
      <c r="L218" s="35">
        <v>75</v>
      </c>
      <c r="M218" s="38"/>
    </row>
    <row r="219" spans="1:13" x14ac:dyDescent="0.35">
      <c r="A219" s="26" t="s">
        <v>391</v>
      </c>
      <c r="B219" s="26" t="s">
        <v>377</v>
      </c>
      <c r="C219" s="35" t="s">
        <v>392</v>
      </c>
      <c r="D219" s="36">
        <v>44084</v>
      </c>
      <c r="E219" s="36">
        <v>44085</v>
      </c>
      <c r="F219" s="34">
        <v>44097</v>
      </c>
      <c r="G219" s="37"/>
      <c r="H219" s="28" t="s">
        <v>315</v>
      </c>
      <c r="I219" s="35"/>
      <c r="J219" s="35"/>
      <c r="K219" s="35" t="s">
        <v>381</v>
      </c>
      <c r="L219" s="35">
        <v>50</v>
      </c>
      <c r="M219" s="38">
        <v>0.22</v>
      </c>
    </row>
    <row r="220" spans="1:13" x14ac:dyDescent="0.35">
      <c r="A220" s="26" t="s">
        <v>396</v>
      </c>
      <c r="B220" s="26" t="s">
        <v>377</v>
      </c>
      <c r="C220" s="35" t="s">
        <v>392</v>
      </c>
      <c r="D220" s="36">
        <v>44084</v>
      </c>
      <c r="E220" s="36">
        <v>44082</v>
      </c>
      <c r="F220" s="34">
        <v>44119</v>
      </c>
      <c r="G220" s="37"/>
      <c r="H220" s="28" t="s">
        <v>315</v>
      </c>
      <c r="I220" s="35"/>
      <c r="J220" s="35"/>
      <c r="K220" s="35" t="s">
        <v>381</v>
      </c>
      <c r="L220" s="35">
        <v>50</v>
      </c>
      <c r="M220" s="38"/>
    </row>
    <row r="221" spans="1:13" x14ac:dyDescent="0.35">
      <c r="A221" s="26" t="s">
        <v>391</v>
      </c>
      <c r="B221" s="26" t="s">
        <v>377</v>
      </c>
      <c r="C221" s="35" t="s">
        <v>392</v>
      </c>
      <c r="D221" s="36">
        <v>44084</v>
      </c>
      <c r="E221" s="36">
        <v>44085</v>
      </c>
      <c r="F221" s="34">
        <v>44097</v>
      </c>
      <c r="G221" s="37"/>
      <c r="H221" s="28" t="s">
        <v>335</v>
      </c>
      <c r="I221" s="35"/>
      <c r="J221" s="35"/>
      <c r="K221" s="35"/>
      <c r="L221" s="35"/>
      <c r="M221" s="38">
        <v>0.22</v>
      </c>
    </row>
    <row r="222" spans="1:13" x14ac:dyDescent="0.35">
      <c r="A222" s="26" t="s">
        <v>396</v>
      </c>
      <c r="B222" s="26" t="s">
        <v>377</v>
      </c>
      <c r="C222" s="35" t="s">
        <v>392</v>
      </c>
      <c r="D222" s="36">
        <v>44084</v>
      </c>
      <c r="E222" s="36">
        <v>44082</v>
      </c>
      <c r="F222" s="34">
        <v>44119</v>
      </c>
      <c r="G222" s="37"/>
      <c r="H222" s="28" t="s">
        <v>335</v>
      </c>
      <c r="I222" s="35"/>
      <c r="J222" s="35"/>
      <c r="K222" s="35"/>
      <c r="L222" s="35"/>
      <c r="M222" s="38"/>
    </row>
    <row r="223" spans="1:13" x14ac:dyDescent="0.35">
      <c r="A223" s="26" t="s">
        <v>391</v>
      </c>
      <c r="B223" s="26" t="s">
        <v>377</v>
      </c>
      <c r="C223" s="35" t="s">
        <v>392</v>
      </c>
      <c r="D223" s="36">
        <v>44084</v>
      </c>
      <c r="E223" s="36">
        <v>44085</v>
      </c>
      <c r="F223" s="34">
        <v>44097</v>
      </c>
      <c r="G223" s="37"/>
      <c r="H223" s="28" t="s">
        <v>337</v>
      </c>
      <c r="I223" s="35"/>
      <c r="J223" s="35"/>
      <c r="K223" s="35" t="s">
        <v>380</v>
      </c>
      <c r="L223" s="35">
        <v>10</v>
      </c>
      <c r="M223" s="38">
        <v>0.22</v>
      </c>
    </row>
    <row r="224" spans="1:13" x14ac:dyDescent="0.35">
      <c r="A224" s="26" t="s">
        <v>396</v>
      </c>
      <c r="B224" s="26" t="s">
        <v>377</v>
      </c>
      <c r="C224" s="35" t="s">
        <v>392</v>
      </c>
      <c r="D224" s="36">
        <v>44084</v>
      </c>
      <c r="E224" s="36">
        <v>44082</v>
      </c>
      <c r="F224" s="34">
        <v>44119</v>
      </c>
      <c r="G224" s="37"/>
      <c r="H224" s="28" t="s">
        <v>337</v>
      </c>
      <c r="I224" s="35"/>
      <c r="J224" s="35"/>
      <c r="K224" s="35" t="s">
        <v>380</v>
      </c>
      <c r="L224" s="35">
        <v>10</v>
      </c>
      <c r="M224" s="38"/>
    </row>
    <row r="225" spans="1:13" x14ac:dyDescent="0.35">
      <c r="A225" s="26" t="s">
        <v>391</v>
      </c>
      <c r="B225" s="26" t="s">
        <v>377</v>
      </c>
      <c r="C225" s="35" t="s">
        <v>392</v>
      </c>
      <c r="D225" s="36">
        <v>44084</v>
      </c>
      <c r="E225" s="36">
        <v>44085</v>
      </c>
      <c r="F225" s="34">
        <v>44097</v>
      </c>
      <c r="G225" s="37"/>
      <c r="H225" s="28" t="s">
        <v>341</v>
      </c>
      <c r="I225" s="35"/>
      <c r="J225" s="35"/>
      <c r="K225" s="35"/>
      <c r="L225" s="35"/>
      <c r="M225" s="38">
        <v>0.22</v>
      </c>
    </row>
    <row r="226" spans="1:13" x14ac:dyDescent="0.35">
      <c r="A226" s="26" t="s">
        <v>396</v>
      </c>
      <c r="B226" s="26" t="s">
        <v>377</v>
      </c>
      <c r="C226" s="35" t="s">
        <v>392</v>
      </c>
      <c r="D226" s="36">
        <v>44084</v>
      </c>
      <c r="E226" s="36">
        <v>44082</v>
      </c>
      <c r="F226" s="34">
        <v>44119</v>
      </c>
      <c r="G226" s="37"/>
      <c r="H226" s="28" t="s">
        <v>341</v>
      </c>
      <c r="I226" s="35"/>
      <c r="J226" s="35"/>
      <c r="K226" s="35"/>
      <c r="L226" s="35"/>
      <c r="M226" s="38"/>
    </row>
    <row r="227" spans="1:13" x14ac:dyDescent="0.35">
      <c r="A227" s="26" t="s">
        <v>396</v>
      </c>
      <c r="B227" s="26" t="s">
        <v>377</v>
      </c>
      <c r="C227" s="35" t="s">
        <v>394</v>
      </c>
      <c r="D227" s="36">
        <v>44090</v>
      </c>
      <c r="E227" s="36">
        <v>44082</v>
      </c>
      <c r="F227" s="34">
        <v>44109</v>
      </c>
      <c r="G227" s="37"/>
      <c r="H227" s="39" t="s">
        <v>96</v>
      </c>
      <c r="I227" s="35"/>
      <c r="J227" s="35"/>
      <c r="K227" s="35"/>
      <c r="L227" s="35"/>
      <c r="M227" s="38"/>
    </row>
    <row r="228" spans="1:13" x14ac:dyDescent="0.35">
      <c r="A228" s="26" t="s">
        <v>396</v>
      </c>
      <c r="B228" s="26" t="s">
        <v>377</v>
      </c>
      <c r="C228" s="35" t="s">
        <v>394</v>
      </c>
      <c r="D228" s="36">
        <v>44090</v>
      </c>
      <c r="E228" s="36">
        <v>44082</v>
      </c>
      <c r="F228" s="34">
        <v>44109</v>
      </c>
      <c r="G228" s="37"/>
      <c r="H228" s="28" t="s">
        <v>72</v>
      </c>
      <c r="I228" s="35"/>
      <c r="J228" s="35"/>
      <c r="K228" s="35"/>
      <c r="L228" s="35"/>
      <c r="M228" s="38"/>
    </row>
    <row r="229" spans="1:13" x14ac:dyDescent="0.35">
      <c r="A229" s="26" t="s">
        <v>396</v>
      </c>
      <c r="B229" s="26" t="s">
        <v>377</v>
      </c>
      <c r="C229" s="35" t="s">
        <v>394</v>
      </c>
      <c r="D229" s="36">
        <v>44090</v>
      </c>
      <c r="E229" s="36">
        <v>44082</v>
      </c>
      <c r="F229" s="34">
        <v>44109</v>
      </c>
      <c r="G229" s="37"/>
      <c r="H229" s="39" t="s">
        <v>41</v>
      </c>
      <c r="I229" s="35"/>
      <c r="J229" s="35"/>
      <c r="K229" s="35" t="s">
        <v>381</v>
      </c>
      <c r="L229" s="35">
        <v>75</v>
      </c>
      <c r="M229" s="38"/>
    </row>
    <row r="230" spans="1:13" x14ac:dyDescent="0.35">
      <c r="A230" s="26" t="s">
        <v>396</v>
      </c>
      <c r="B230" s="26" t="s">
        <v>377</v>
      </c>
      <c r="C230" s="35" t="s">
        <v>394</v>
      </c>
      <c r="D230" s="36">
        <v>44090</v>
      </c>
      <c r="E230" s="36">
        <v>44082</v>
      </c>
      <c r="F230" s="34">
        <v>44109</v>
      </c>
      <c r="G230" s="37"/>
      <c r="H230" s="28" t="s">
        <v>39</v>
      </c>
      <c r="I230" s="35"/>
      <c r="J230" s="35"/>
      <c r="K230" s="35" t="s">
        <v>381</v>
      </c>
      <c r="L230" s="35">
        <v>50</v>
      </c>
      <c r="M230" s="38"/>
    </row>
    <row r="231" spans="1:13" x14ac:dyDescent="0.35">
      <c r="A231" s="26" t="s">
        <v>396</v>
      </c>
      <c r="B231" s="26" t="s">
        <v>377</v>
      </c>
      <c r="C231" s="35" t="s">
        <v>394</v>
      </c>
      <c r="D231" s="36">
        <v>44090</v>
      </c>
      <c r="E231" s="36">
        <v>44082</v>
      </c>
      <c r="F231" s="34">
        <v>44109</v>
      </c>
      <c r="G231" s="37"/>
      <c r="H231" s="28" t="s">
        <v>55</v>
      </c>
      <c r="I231" s="35"/>
      <c r="J231" s="35"/>
      <c r="K231" s="35" t="s">
        <v>381</v>
      </c>
      <c r="L231" s="35">
        <v>50</v>
      </c>
      <c r="M231" s="35"/>
    </row>
    <row r="232" spans="1:13" x14ac:dyDescent="0.35">
      <c r="A232" s="26" t="s">
        <v>396</v>
      </c>
      <c r="B232" s="26" t="s">
        <v>377</v>
      </c>
      <c r="C232" s="35" t="s">
        <v>394</v>
      </c>
      <c r="D232" s="36">
        <v>44090</v>
      </c>
      <c r="E232" s="36">
        <v>44082</v>
      </c>
      <c r="F232" s="34">
        <v>44109</v>
      </c>
      <c r="G232" s="37"/>
      <c r="H232" s="28" t="s">
        <v>42</v>
      </c>
      <c r="I232" s="35"/>
      <c r="J232" s="35"/>
      <c r="K232" s="35" t="s">
        <v>381</v>
      </c>
      <c r="L232" s="35">
        <v>50</v>
      </c>
      <c r="M232" s="38"/>
    </row>
    <row r="233" spans="1:13" x14ac:dyDescent="0.35">
      <c r="A233" s="26" t="s">
        <v>396</v>
      </c>
      <c r="B233" s="26" t="s">
        <v>377</v>
      </c>
      <c r="C233" s="35" t="s">
        <v>394</v>
      </c>
      <c r="D233" s="36">
        <v>44090</v>
      </c>
      <c r="E233" s="36">
        <v>44082</v>
      </c>
      <c r="F233" s="34">
        <v>44109</v>
      </c>
      <c r="G233" s="37"/>
      <c r="H233" s="28" t="s">
        <v>134</v>
      </c>
      <c r="I233" s="35"/>
      <c r="J233" s="35"/>
      <c r="K233" s="35" t="s">
        <v>381</v>
      </c>
      <c r="L233" s="35">
        <v>50</v>
      </c>
      <c r="M233" s="38"/>
    </row>
    <row r="234" spans="1:13" x14ac:dyDescent="0.35">
      <c r="A234" s="26" t="s">
        <v>396</v>
      </c>
      <c r="B234" s="26" t="s">
        <v>377</v>
      </c>
      <c r="C234" s="35" t="s">
        <v>394</v>
      </c>
      <c r="D234" s="36">
        <v>44090</v>
      </c>
      <c r="E234" s="36">
        <v>44082</v>
      </c>
      <c r="F234" s="34">
        <v>44109</v>
      </c>
      <c r="G234" s="37"/>
      <c r="H234" s="28" t="s">
        <v>25</v>
      </c>
      <c r="I234" s="35"/>
      <c r="J234" s="35"/>
      <c r="K234" s="35" t="s">
        <v>381</v>
      </c>
      <c r="L234" s="35">
        <v>50</v>
      </c>
      <c r="M234" s="38"/>
    </row>
    <row r="235" spans="1:13" x14ac:dyDescent="0.35">
      <c r="A235" s="26" t="s">
        <v>396</v>
      </c>
      <c r="B235" s="26" t="s">
        <v>377</v>
      </c>
      <c r="C235" s="35" t="s">
        <v>394</v>
      </c>
      <c r="D235" s="36">
        <v>44090</v>
      </c>
      <c r="E235" s="36">
        <v>44082</v>
      </c>
      <c r="F235" s="34">
        <v>44109</v>
      </c>
      <c r="G235" s="37"/>
      <c r="H235" s="28" t="s">
        <v>23</v>
      </c>
      <c r="I235" s="35"/>
      <c r="J235" s="35"/>
      <c r="K235" s="35" t="s">
        <v>380</v>
      </c>
      <c r="L235" s="35">
        <v>10</v>
      </c>
      <c r="M235" s="38"/>
    </row>
    <row r="236" spans="1:13" x14ac:dyDescent="0.35">
      <c r="A236" s="26" t="s">
        <v>396</v>
      </c>
      <c r="B236" s="26" t="s">
        <v>377</v>
      </c>
      <c r="C236" s="35" t="s">
        <v>394</v>
      </c>
      <c r="D236" s="36">
        <v>44090</v>
      </c>
      <c r="E236" s="36">
        <v>44082</v>
      </c>
      <c r="F236" s="34">
        <v>44109</v>
      </c>
      <c r="G236" s="37"/>
      <c r="H236" s="28" t="s">
        <v>24</v>
      </c>
      <c r="I236" s="35"/>
      <c r="J236" s="35"/>
      <c r="K236" s="35" t="s">
        <v>380</v>
      </c>
      <c r="L236" s="35">
        <v>10</v>
      </c>
      <c r="M236" s="38"/>
    </row>
    <row r="237" spans="1:13" x14ac:dyDescent="0.35">
      <c r="A237" s="26" t="s">
        <v>396</v>
      </c>
      <c r="B237" s="26" t="s">
        <v>377</v>
      </c>
      <c r="C237" s="35" t="s">
        <v>394</v>
      </c>
      <c r="D237" s="36">
        <v>44090</v>
      </c>
      <c r="E237" s="36">
        <v>44082</v>
      </c>
      <c r="F237" s="34">
        <v>44109</v>
      </c>
      <c r="G237" s="37"/>
      <c r="H237" s="28" t="s">
        <v>27</v>
      </c>
      <c r="I237" s="35"/>
      <c r="J237" s="35"/>
      <c r="K237" s="35" t="s">
        <v>380</v>
      </c>
      <c r="L237" s="35">
        <v>25</v>
      </c>
      <c r="M237" s="38"/>
    </row>
    <row r="238" spans="1:13" x14ac:dyDescent="0.35">
      <c r="A238" s="26" t="s">
        <v>396</v>
      </c>
      <c r="B238" s="26" t="s">
        <v>377</v>
      </c>
      <c r="C238" s="35" t="s">
        <v>394</v>
      </c>
      <c r="D238" s="36">
        <v>44090</v>
      </c>
      <c r="E238" s="36">
        <v>44082</v>
      </c>
      <c r="F238" s="34">
        <v>44109</v>
      </c>
      <c r="G238" s="37"/>
      <c r="H238" s="28" t="s">
        <v>28</v>
      </c>
      <c r="I238" s="35"/>
      <c r="J238" s="35"/>
      <c r="K238" s="35" t="s">
        <v>380</v>
      </c>
      <c r="L238" s="35">
        <v>25</v>
      </c>
      <c r="M238" s="38"/>
    </row>
    <row r="239" spans="1:13" x14ac:dyDescent="0.35">
      <c r="A239" s="26" t="s">
        <v>396</v>
      </c>
      <c r="B239" s="26" t="s">
        <v>377</v>
      </c>
      <c r="C239" s="35" t="s">
        <v>394</v>
      </c>
      <c r="D239" s="36">
        <v>44090</v>
      </c>
      <c r="E239" s="36">
        <v>44082</v>
      </c>
      <c r="F239" s="34">
        <v>44109</v>
      </c>
      <c r="G239" s="37"/>
      <c r="H239" s="28" t="s">
        <v>30</v>
      </c>
      <c r="I239" s="35"/>
      <c r="J239" s="35"/>
      <c r="K239" s="35" t="s">
        <v>381</v>
      </c>
      <c r="L239" s="35">
        <v>30</v>
      </c>
      <c r="M239" s="38"/>
    </row>
    <row r="240" spans="1:13" x14ac:dyDescent="0.35">
      <c r="A240" s="26" t="s">
        <v>396</v>
      </c>
      <c r="B240" s="26" t="s">
        <v>377</v>
      </c>
      <c r="C240" s="35" t="s">
        <v>394</v>
      </c>
      <c r="D240" s="36">
        <v>44090</v>
      </c>
      <c r="E240" s="36">
        <v>44082</v>
      </c>
      <c r="F240" s="34">
        <v>44109</v>
      </c>
      <c r="G240" s="37"/>
      <c r="H240" s="28" t="s">
        <v>29</v>
      </c>
      <c r="I240" s="35"/>
      <c r="J240" s="35"/>
      <c r="K240" s="35" t="s">
        <v>381</v>
      </c>
      <c r="L240" s="35">
        <v>50</v>
      </c>
      <c r="M240" s="38"/>
    </row>
    <row r="241" spans="1:13" x14ac:dyDescent="0.35">
      <c r="A241" s="26" t="s">
        <v>396</v>
      </c>
      <c r="B241" s="26" t="s">
        <v>377</v>
      </c>
      <c r="C241" s="35" t="s">
        <v>394</v>
      </c>
      <c r="D241" s="36">
        <v>44090</v>
      </c>
      <c r="E241" s="36">
        <v>44082</v>
      </c>
      <c r="F241" s="34">
        <v>44109</v>
      </c>
      <c r="G241" s="37"/>
      <c r="H241" s="28" t="s">
        <v>188</v>
      </c>
      <c r="I241" s="35"/>
      <c r="J241" s="35"/>
      <c r="K241" s="35"/>
      <c r="L241" s="35"/>
      <c r="M241" s="38"/>
    </row>
    <row r="242" spans="1:13" x14ac:dyDescent="0.35">
      <c r="A242" s="26" t="s">
        <v>396</v>
      </c>
      <c r="B242" s="26" t="s">
        <v>377</v>
      </c>
      <c r="C242" s="35" t="s">
        <v>394</v>
      </c>
      <c r="D242" s="36">
        <v>44090</v>
      </c>
      <c r="E242" s="36">
        <v>44082</v>
      </c>
      <c r="F242" s="34">
        <v>44109</v>
      </c>
      <c r="G242" s="37"/>
      <c r="H242" s="28" t="s">
        <v>198</v>
      </c>
      <c r="I242" s="35"/>
      <c r="J242" s="35"/>
    </row>
    <row r="243" spans="1:13" x14ac:dyDescent="0.35">
      <c r="A243" s="26" t="s">
        <v>396</v>
      </c>
      <c r="B243" s="26" t="s">
        <v>377</v>
      </c>
      <c r="C243" s="35" t="s">
        <v>394</v>
      </c>
      <c r="D243" s="36">
        <v>44090</v>
      </c>
      <c r="E243" s="36">
        <v>44082</v>
      </c>
      <c r="F243" s="34">
        <v>44109</v>
      </c>
      <c r="G243" s="37"/>
      <c r="H243" s="28" t="s">
        <v>393</v>
      </c>
      <c r="I243" s="35"/>
      <c r="J243" s="35"/>
      <c r="K243" s="35"/>
      <c r="L243" s="35"/>
      <c r="M243" s="38"/>
    </row>
    <row r="244" spans="1:13" x14ac:dyDescent="0.35">
      <c r="A244" s="26" t="s">
        <v>396</v>
      </c>
      <c r="B244" s="26" t="s">
        <v>377</v>
      </c>
      <c r="C244" s="35" t="s">
        <v>394</v>
      </c>
      <c r="D244" s="36">
        <v>44090</v>
      </c>
      <c r="E244" s="36">
        <v>44082</v>
      </c>
      <c r="F244" s="34">
        <v>44109</v>
      </c>
      <c r="G244" s="37"/>
      <c r="H244" s="28" t="s">
        <v>204</v>
      </c>
      <c r="I244" s="35"/>
      <c r="J244" s="35"/>
      <c r="K244" s="35"/>
      <c r="L244" s="35"/>
      <c r="M244" s="38"/>
    </row>
    <row r="245" spans="1:13" x14ac:dyDescent="0.35">
      <c r="A245" s="26" t="s">
        <v>396</v>
      </c>
      <c r="B245" s="26" t="s">
        <v>377</v>
      </c>
      <c r="C245" s="35" t="s">
        <v>394</v>
      </c>
      <c r="D245" s="36">
        <v>44090</v>
      </c>
      <c r="E245" s="36">
        <v>44082</v>
      </c>
      <c r="F245" s="34">
        <v>44109</v>
      </c>
      <c r="G245" s="37"/>
      <c r="H245" s="28" t="s">
        <v>208</v>
      </c>
      <c r="I245" s="35"/>
      <c r="J245" s="35"/>
      <c r="K245" s="35"/>
      <c r="L245" s="35"/>
      <c r="M245" s="38"/>
    </row>
    <row r="246" spans="1:13" x14ac:dyDescent="0.35">
      <c r="A246" s="26" t="s">
        <v>396</v>
      </c>
      <c r="B246" s="26" t="s">
        <v>377</v>
      </c>
      <c r="C246" s="35" t="s">
        <v>394</v>
      </c>
      <c r="D246" s="36">
        <v>44090</v>
      </c>
      <c r="E246" s="36">
        <v>44082</v>
      </c>
      <c r="F246" s="34">
        <v>44109</v>
      </c>
      <c r="G246" s="37"/>
      <c r="H246" s="28" t="s">
        <v>210</v>
      </c>
      <c r="I246" s="35"/>
      <c r="J246" s="35"/>
      <c r="K246" s="35"/>
      <c r="L246" s="35"/>
      <c r="M246" s="38"/>
    </row>
    <row r="247" spans="1:13" x14ac:dyDescent="0.35">
      <c r="A247" s="26" t="s">
        <v>396</v>
      </c>
      <c r="B247" s="26" t="s">
        <v>377</v>
      </c>
      <c r="C247" s="35" t="s">
        <v>394</v>
      </c>
      <c r="D247" s="36">
        <v>44090</v>
      </c>
      <c r="E247" s="36">
        <v>44082</v>
      </c>
      <c r="F247" s="34">
        <v>44109</v>
      </c>
      <c r="G247" s="37"/>
      <c r="H247" s="28" t="s">
        <v>313</v>
      </c>
      <c r="I247" s="35"/>
      <c r="J247" s="35"/>
      <c r="K247" s="35" t="s">
        <v>381</v>
      </c>
      <c r="L247" s="35">
        <v>75</v>
      </c>
      <c r="M247" s="38"/>
    </row>
    <row r="248" spans="1:13" x14ac:dyDescent="0.35">
      <c r="A248" s="26" t="s">
        <v>396</v>
      </c>
      <c r="B248" s="26" t="s">
        <v>377</v>
      </c>
      <c r="C248" s="35" t="s">
        <v>394</v>
      </c>
      <c r="D248" s="36">
        <v>44090</v>
      </c>
      <c r="E248" s="36">
        <v>44082</v>
      </c>
      <c r="F248" s="34">
        <v>44109</v>
      </c>
      <c r="G248" s="37"/>
      <c r="H248" s="28" t="s">
        <v>315</v>
      </c>
      <c r="I248" s="35"/>
      <c r="J248" s="35"/>
      <c r="K248" s="35" t="s">
        <v>381</v>
      </c>
      <c r="L248" s="35">
        <v>50</v>
      </c>
      <c r="M248" s="38"/>
    </row>
    <row r="249" spans="1:13" x14ac:dyDescent="0.35">
      <c r="A249" s="26" t="s">
        <v>396</v>
      </c>
      <c r="B249" s="26" t="s">
        <v>377</v>
      </c>
      <c r="C249" s="35" t="s">
        <v>394</v>
      </c>
      <c r="D249" s="36">
        <v>44090</v>
      </c>
      <c r="E249" s="36">
        <v>44082</v>
      </c>
      <c r="F249" s="34">
        <v>44109</v>
      </c>
      <c r="G249" s="37"/>
      <c r="H249" s="28" t="s">
        <v>335</v>
      </c>
      <c r="I249" s="35"/>
      <c r="J249" s="35"/>
      <c r="K249" s="35"/>
      <c r="L249" s="35"/>
      <c r="M249" s="38"/>
    </row>
    <row r="250" spans="1:13" x14ac:dyDescent="0.35">
      <c r="A250" s="26" t="s">
        <v>396</v>
      </c>
      <c r="B250" s="26" t="s">
        <v>377</v>
      </c>
      <c r="C250" s="35" t="s">
        <v>394</v>
      </c>
      <c r="D250" s="36">
        <v>44090</v>
      </c>
      <c r="E250" s="36">
        <v>44082</v>
      </c>
      <c r="F250" s="34">
        <v>44109</v>
      </c>
      <c r="G250" s="37"/>
      <c r="H250" s="28" t="s">
        <v>337</v>
      </c>
      <c r="I250" s="35"/>
      <c r="J250" s="35"/>
      <c r="K250" s="35" t="s">
        <v>380</v>
      </c>
      <c r="L250" s="35">
        <v>10</v>
      </c>
      <c r="M250" s="38"/>
    </row>
    <row r="251" spans="1:13" x14ac:dyDescent="0.35">
      <c r="A251" s="26" t="s">
        <v>396</v>
      </c>
      <c r="B251" s="26" t="s">
        <v>377</v>
      </c>
      <c r="C251" s="35" t="s">
        <v>394</v>
      </c>
      <c r="D251" s="36">
        <v>44090</v>
      </c>
      <c r="E251" s="36">
        <v>44082</v>
      </c>
      <c r="F251" s="34">
        <v>44109</v>
      </c>
      <c r="G251" s="37"/>
      <c r="H251" s="28" t="s">
        <v>341</v>
      </c>
      <c r="I251" s="35"/>
      <c r="J251" s="35"/>
      <c r="K251" s="35"/>
      <c r="L251" s="35"/>
      <c r="M251" s="38"/>
    </row>
    <row r="252" spans="1:13" x14ac:dyDescent="0.35">
      <c r="A252" s="26" t="s">
        <v>391</v>
      </c>
      <c r="B252" s="26" t="s">
        <v>377</v>
      </c>
      <c r="C252" s="35" t="s">
        <v>395</v>
      </c>
      <c r="D252" s="18">
        <v>44091</v>
      </c>
      <c r="E252" s="18">
        <v>44092</v>
      </c>
      <c r="F252" s="34">
        <v>44131</v>
      </c>
      <c r="H252" s="28" t="s">
        <v>96</v>
      </c>
      <c r="M252">
        <v>33</v>
      </c>
    </row>
    <row r="253" spans="1:13" x14ac:dyDescent="0.35">
      <c r="A253" s="26" t="s">
        <v>391</v>
      </c>
      <c r="B253" s="26" t="s">
        <v>377</v>
      </c>
      <c r="C253" s="35" t="s">
        <v>395</v>
      </c>
      <c r="D253" s="18">
        <v>44091</v>
      </c>
      <c r="E253" s="18">
        <v>44092</v>
      </c>
      <c r="F253" s="34">
        <v>44131</v>
      </c>
      <c r="H253" s="28" t="s">
        <v>72</v>
      </c>
      <c r="M253">
        <v>33</v>
      </c>
    </row>
    <row r="254" spans="1:13" x14ac:dyDescent="0.35">
      <c r="A254" s="26" t="s">
        <v>391</v>
      </c>
      <c r="B254" s="26" t="s">
        <v>377</v>
      </c>
      <c r="C254" s="35" t="s">
        <v>395</v>
      </c>
      <c r="D254" s="18">
        <v>44091</v>
      </c>
      <c r="E254" s="18">
        <v>44092</v>
      </c>
      <c r="F254" s="34">
        <v>44131</v>
      </c>
      <c r="H254" s="28" t="s">
        <v>41</v>
      </c>
      <c r="K254" t="s">
        <v>381</v>
      </c>
      <c r="L254">
        <v>75</v>
      </c>
      <c r="M254">
        <v>33</v>
      </c>
    </row>
    <row r="255" spans="1:13" x14ac:dyDescent="0.35">
      <c r="A255" s="26" t="s">
        <v>391</v>
      </c>
      <c r="B255" s="26" t="s">
        <v>377</v>
      </c>
      <c r="C255" s="35" t="s">
        <v>395</v>
      </c>
      <c r="D255" s="18">
        <v>44091</v>
      </c>
      <c r="E255" s="18">
        <v>44092</v>
      </c>
      <c r="F255" s="34">
        <v>44131</v>
      </c>
      <c r="H255" s="28" t="s">
        <v>150</v>
      </c>
      <c r="M255">
        <v>33</v>
      </c>
    </row>
    <row r="256" spans="1:13" x14ac:dyDescent="0.35">
      <c r="A256" s="26" t="s">
        <v>391</v>
      </c>
      <c r="B256" s="26" t="s">
        <v>377</v>
      </c>
      <c r="C256" s="35" t="s">
        <v>395</v>
      </c>
      <c r="D256" s="18">
        <v>44091</v>
      </c>
      <c r="E256" s="18">
        <v>44092</v>
      </c>
      <c r="F256" s="34">
        <v>44131</v>
      </c>
      <c r="H256" s="28" t="s">
        <v>42</v>
      </c>
      <c r="K256" t="s">
        <v>381</v>
      </c>
      <c r="L256">
        <v>50</v>
      </c>
      <c r="M256">
        <v>33</v>
      </c>
    </row>
    <row r="257" spans="1:13" x14ac:dyDescent="0.35">
      <c r="A257" s="26" t="s">
        <v>391</v>
      </c>
      <c r="B257" s="26" t="s">
        <v>377</v>
      </c>
      <c r="C257" s="35" t="s">
        <v>395</v>
      </c>
      <c r="D257" s="18">
        <v>44091</v>
      </c>
      <c r="E257" s="18">
        <v>44092</v>
      </c>
      <c r="F257" s="34">
        <v>44131</v>
      </c>
      <c r="H257" s="28" t="s">
        <v>134</v>
      </c>
      <c r="K257" t="s">
        <v>381</v>
      </c>
      <c r="L257">
        <v>50</v>
      </c>
      <c r="M257">
        <v>33</v>
      </c>
    </row>
    <row r="258" spans="1:13" x14ac:dyDescent="0.35">
      <c r="A258" s="26" t="s">
        <v>391</v>
      </c>
      <c r="B258" s="26" t="s">
        <v>377</v>
      </c>
      <c r="C258" s="35" t="s">
        <v>395</v>
      </c>
      <c r="D258" s="18">
        <v>44091</v>
      </c>
      <c r="E258" s="18">
        <v>44092</v>
      </c>
      <c r="F258" s="34">
        <v>44131</v>
      </c>
      <c r="H258" s="28" t="s">
        <v>25</v>
      </c>
      <c r="K258" t="s">
        <v>381</v>
      </c>
      <c r="L258">
        <v>50</v>
      </c>
      <c r="M258">
        <v>33</v>
      </c>
    </row>
    <row r="259" spans="1:13" x14ac:dyDescent="0.35">
      <c r="A259" s="26" t="s">
        <v>391</v>
      </c>
      <c r="B259" s="26" t="s">
        <v>377</v>
      </c>
      <c r="C259" s="35" t="s">
        <v>395</v>
      </c>
      <c r="D259" s="18">
        <v>44091</v>
      </c>
      <c r="E259" s="18">
        <v>44092</v>
      </c>
      <c r="F259" s="34">
        <v>44131</v>
      </c>
      <c r="H259" s="28" t="s">
        <v>23</v>
      </c>
      <c r="K259" t="s">
        <v>380</v>
      </c>
      <c r="L259">
        <v>10</v>
      </c>
      <c r="M259">
        <v>33</v>
      </c>
    </row>
    <row r="260" spans="1:13" x14ac:dyDescent="0.35">
      <c r="A260" s="26" t="s">
        <v>391</v>
      </c>
      <c r="B260" s="26" t="s">
        <v>377</v>
      </c>
      <c r="C260" s="35" t="s">
        <v>395</v>
      </c>
      <c r="D260" s="18">
        <v>44091</v>
      </c>
      <c r="E260" s="18">
        <v>44092</v>
      </c>
      <c r="F260" s="34">
        <v>44131</v>
      </c>
      <c r="H260" s="28" t="s">
        <v>24</v>
      </c>
      <c r="K260" t="s">
        <v>380</v>
      </c>
      <c r="L260">
        <v>10</v>
      </c>
      <c r="M260">
        <v>33</v>
      </c>
    </row>
    <row r="261" spans="1:13" x14ac:dyDescent="0.35">
      <c r="A261" s="26" t="s">
        <v>391</v>
      </c>
      <c r="B261" s="26" t="s">
        <v>377</v>
      </c>
      <c r="C261" s="35" t="s">
        <v>395</v>
      </c>
      <c r="D261" s="18">
        <v>44091</v>
      </c>
      <c r="E261" s="18">
        <v>44092</v>
      </c>
      <c r="F261" s="34">
        <v>44131</v>
      </c>
      <c r="H261" s="28" t="s">
        <v>27</v>
      </c>
      <c r="K261" t="s">
        <v>380</v>
      </c>
      <c r="L261">
        <v>25</v>
      </c>
      <c r="M261">
        <v>33</v>
      </c>
    </row>
    <row r="262" spans="1:13" x14ac:dyDescent="0.35">
      <c r="A262" s="26" t="s">
        <v>391</v>
      </c>
      <c r="B262" s="26" t="s">
        <v>377</v>
      </c>
      <c r="C262" s="35" t="s">
        <v>395</v>
      </c>
      <c r="D262" s="18">
        <v>44091</v>
      </c>
      <c r="E262" s="18">
        <v>44092</v>
      </c>
      <c r="F262" s="34">
        <v>44131</v>
      </c>
      <c r="H262" s="28" t="s">
        <v>28</v>
      </c>
      <c r="K262" t="s">
        <v>380</v>
      </c>
      <c r="L262">
        <v>25</v>
      </c>
      <c r="M262">
        <v>33</v>
      </c>
    </row>
    <row r="263" spans="1:13" x14ac:dyDescent="0.35">
      <c r="A263" s="26" t="s">
        <v>391</v>
      </c>
      <c r="B263" s="26" t="s">
        <v>377</v>
      </c>
      <c r="C263" s="35" t="s">
        <v>395</v>
      </c>
      <c r="D263" s="18">
        <v>44091</v>
      </c>
      <c r="E263" s="18">
        <v>44092</v>
      </c>
      <c r="F263" s="34">
        <v>44131</v>
      </c>
      <c r="H263" s="28" t="s">
        <v>176</v>
      </c>
      <c r="M263">
        <v>33</v>
      </c>
    </row>
    <row r="264" spans="1:13" x14ac:dyDescent="0.35">
      <c r="A264" s="26" t="s">
        <v>391</v>
      </c>
      <c r="B264" s="26" t="s">
        <v>377</v>
      </c>
      <c r="C264" s="35" t="s">
        <v>395</v>
      </c>
      <c r="D264" s="18">
        <v>44091</v>
      </c>
      <c r="E264" s="18">
        <v>44092</v>
      </c>
      <c r="F264" s="34">
        <v>44131</v>
      </c>
      <c r="H264" s="28" t="s">
        <v>29</v>
      </c>
      <c r="K264" t="s">
        <v>381</v>
      </c>
      <c r="L264">
        <v>50</v>
      </c>
      <c r="M264">
        <v>33</v>
      </c>
    </row>
    <row r="265" spans="1:13" x14ac:dyDescent="0.35">
      <c r="A265" s="26" t="s">
        <v>391</v>
      </c>
      <c r="B265" s="26" t="s">
        <v>377</v>
      </c>
      <c r="C265" s="35" t="s">
        <v>395</v>
      </c>
      <c r="D265" s="18">
        <v>44091</v>
      </c>
      <c r="E265" s="18">
        <v>44092</v>
      </c>
      <c r="F265" s="34">
        <v>44131</v>
      </c>
      <c r="H265" s="28" t="s">
        <v>188</v>
      </c>
      <c r="M265">
        <v>33</v>
      </c>
    </row>
    <row r="266" spans="1:13" x14ac:dyDescent="0.35">
      <c r="A266" s="26" t="s">
        <v>391</v>
      </c>
      <c r="B266" s="26" t="s">
        <v>377</v>
      </c>
      <c r="C266" s="35" t="s">
        <v>395</v>
      </c>
      <c r="D266" s="18">
        <v>44091</v>
      </c>
      <c r="E266" s="18">
        <v>44092</v>
      </c>
      <c r="F266" s="34">
        <v>44131</v>
      </c>
      <c r="H266" s="28" t="s">
        <v>198</v>
      </c>
      <c r="M266">
        <v>33</v>
      </c>
    </row>
    <row r="267" spans="1:13" x14ac:dyDescent="0.35">
      <c r="A267" s="26" t="s">
        <v>391</v>
      </c>
      <c r="B267" s="26" t="s">
        <v>377</v>
      </c>
      <c r="C267" s="35" t="s">
        <v>395</v>
      </c>
      <c r="D267" s="18">
        <v>44091</v>
      </c>
      <c r="E267" s="18">
        <v>44092</v>
      </c>
      <c r="F267" s="34">
        <v>44131</v>
      </c>
      <c r="H267" s="28" t="s">
        <v>393</v>
      </c>
      <c r="M267">
        <v>33</v>
      </c>
    </row>
    <row r="268" spans="1:13" x14ac:dyDescent="0.35">
      <c r="A268" s="26" t="s">
        <v>391</v>
      </c>
      <c r="B268" s="26" t="s">
        <v>377</v>
      </c>
      <c r="C268" s="35" t="s">
        <v>395</v>
      </c>
      <c r="D268" s="18">
        <v>44091</v>
      </c>
      <c r="E268" s="18">
        <v>44092</v>
      </c>
      <c r="F268" s="34">
        <v>44131</v>
      </c>
      <c r="H268" s="28" t="s">
        <v>204</v>
      </c>
      <c r="M268">
        <v>33</v>
      </c>
    </row>
    <row r="269" spans="1:13" x14ac:dyDescent="0.35">
      <c r="A269" s="26" t="s">
        <v>391</v>
      </c>
      <c r="B269" s="26" t="s">
        <v>377</v>
      </c>
      <c r="C269" s="35" t="s">
        <v>395</v>
      </c>
      <c r="D269" s="18">
        <v>44091</v>
      </c>
      <c r="E269" s="18">
        <v>44092</v>
      </c>
      <c r="F269" s="34">
        <v>44131</v>
      </c>
      <c r="H269" s="28" t="s">
        <v>210</v>
      </c>
      <c r="M269">
        <v>33</v>
      </c>
    </row>
    <row r="270" spans="1:13" x14ac:dyDescent="0.35">
      <c r="A270" s="26" t="s">
        <v>391</v>
      </c>
      <c r="B270" s="26" t="s">
        <v>377</v>
      </c>
      <c r="C270" s="35" t="s">
        <v>395</v>
      </c>
      <c r="D270" s="18">
        <v>44091</v>
      </c>
      <c r="E270" s="18">
        <v>44092</v>
      </c>
      <c r="F270" s="34">
        <v>44131</v>
      </c>
      <c r="H270" s="28" t="s">
        <v>284</v>
      </c>
      <c r="M270">
        <v>33</v>
      </c>
    </row>
    <row r="271" spans="1:13" x14ac:dyDescent="0.35">
      <c r="A271" s="26" t="s">
        <v>391</v>
      </c>
      <c r="B271" s="26" t="s">
        <v>377</v>
      </c>
      <c r="C271" s="35" t="s">
        <v>395</v>
      </c>
      <c r="D271" s="18">
        <v>44091</v>
      </c>
      <c r="E271" s="18">
        <v>44092</v>
      </c>
      <c r="F271" s="34">
        <v>44131</v>
      </c>
      <c r="H271" s="28" t="s">
        <v>313</v>
      </c>
      <c r="K271" t="s">
        <v>381</v>
      </c>
      <c r="L271">
        <v>75</v>
      </c>
      <c r="M271">
        <v>33</v>
      </c>
    </row>
    <row r="272" spans="1:13" x14ac:dyDescent="0.35">
      <c r="A272" s="26" t="s">
        <v>391</v>
      </c>
      <c r="B272" s="26" t="s">
        <v>377</v>
      </c>
      <c r="C272" s="35" t="s">
        <v>395</v>
      </c>
      <c r="D272" s="18">
        <v>44091</v>
      </c>
      <c r="E272" s="18">
        <v>44092</v>
      </c>
      <c r="F272" s="34">
        <v>44131</v>
      </c>
      <c r="H272" s="28" t="s">
        <v>315</v>
      </c>
      <c r="K272" t="s">
        <v>381</v>
      </c>
      <c r="L272">
        <v>50</v>
      </c>
      <c r="M272">
        <v>33</v>
      </c>
    </row>
    <row r="273" spans="1:13" x14ac:dyDescent="0.35">
      <c r="A273" s="26" t="s">
        <v>391</v>
      </c>
      <c r="B273" s="26" t="s">
        <v>377</v>
      </c>
      <c r="C273" s="35" t="s">
        <v>395</v>
      </c>
      <c r="D273" s="18">
        <v>44091</v>
      </c>
      <c r="E273" s="18">
        <v>44092</v>
      </c>
      <c r="F273" s="34">
        <v>44131</v>
      </c>
      <c r="H273" s="28" t="s">
        <v>335</v>
      </c>
      <c r="M273">
        <v>33</v>
      </c>
    </row>
    <row r="274" spans="1:13" x14ac:dyDescent="0.35">
      <c r="A274" s="26" t="s">
        <v>391</v>
      </c>
      <c r="B274" s="26" t="s">
        <v>377</v>
      </c>
      <c r="C274" s="35" t="s">
        <v>395</v>
      </c>
      <c r="D274" s="18">
        <v>44091</v>
      </c>
      <c r="E274" s="18">
        <v>44092</v>
      </c>
      <c r="F274" s="34">
        <v>44131</v>
      </c>
      <c r="H274" s="28" t="s">
        <v>339</v>
      </c>
      <c r="M274">
        <v>33</v>
      </c>
    </row>
    <row r="275" spans="1:13" x14ac:dyDescent="0.35">
      <c r="A275" s="26" t="s">
        <v>391</v>
      </c>
      <c r="B275" s="26" t="s">
        <v>377</v>
      </c>
      <c r="C275" s="35" t="s">
        <v>395</v>
      </c>
      <c r="D275" s="18">
        <v>44091</v>
      </c>
      <c r="E275" s="18">
        <v>44092</v>
      </c>
      <c r="F275" s="34">
        <v>44131</v>
      </c>
      <c r="H275" s="28" t="s">
        <v>341</v>
      </c>
      <c r="K275" t="s">
        <v>380</v>
      </c>
      <c r="L275">
        <v>10</v>
      </c>
      <c r="M275">
        <v>33</v>
      </c>
    </row>
    <row r="276" spans="1:13" x14ac:dyDescent="0.35">
      <c r="A276" s="14" t="s">
        <v>391</v>
      </c>
      <c r="B276" s="14" t="s">
        <v>377</v>
      </c>
      <c r="C276" t="s">
        <v>395</v>
      </c>
      <c r="D276" s="18">
        <v>44092</v>
      </c>
      <c r="E276" s="18">
        <v>44093</v>
      </c>
      <c r="F276" s="34">
        <v>44118</v>
      </c>
      <c r="H276" s="28" t="s">
        <v>68</v>
      </c>
      <c r="M276" s="33">
        <v>0.14000000000000001</v>
      </c>
    </row>
    <row r="277" spans="1:13" x14ac:dyDescent="0.35">
      <c r="A277" s="14" t="s">
        <v>391</v>
      </c>
      <c r="B277" s="14" t="s">
        <v>377</v>
      </c>
      <c r="C277" t="s">
        <v>395</v>
      </c>
      <c r="D277" s="18">
        <v>44092</v>
      </c>
      <c r="E277" s="18">
        <v>44093</v>
      </c>
      <c r="F277" s="34">
        <v>44118</v>
      </c>
      <c r="H277" s="28" t="s">
        <v>96</v>
      </c>
      <c r="M277" s="33">
        <v>0.14000000000000001</v>
      </c>
    </row>
    <row r="278" spans="1:13" x14ac:dyDescent="0.35">
      <c r="A278" s="14" t="s">
        <v>391</v>
      </c>
      <c r="B278" s="14" t="s">
        <v>377</v>
      </c>
      <c r="C278" t="s">
        <v>395</v>
      </c>
      <c r="D278" s="18">
        <v>44092</v>
      </c>
      <c r="E278" s="18">
        <v>44093</v>
      </c>
      <c r="F278" s="34">
        <v>44118</v>
      </c>
      <c r="H278" s="28" t="s">
        <v>72</v>
      </c>
      <c r="M278" s="33">
        <v>0.14000000000000001</v>
      </c>
    </row>
    <row r="279" spans="1:13" x14ac:dyDescent="0.35">
      <c r="A279" s="14" t="s">
        <v>391</v>
      </c>
      <c r="B279" s="14" t="s">
        <v>377</v>
      </c>
      <c r="C279" t="s">
        <v>395</v>
      </c>
      <c r="D279" s="18">
        <v>44092</v>
      </c>
      <c r="E279" s="18">
        <v>44093</v>
      </c>
      <c r="F279" s="34">
        <v>44118</v>
      </c>
      <c r="H279" s="28" t="s">
        <v>41</v>
      </c>
      <c r="K279" t="s">
        <v>381</v>
      </c>
      <c r="L279">
        <v>75</v>
      </c>
      <c r="M279" s="33">
        <v>0.14000000000000001</v>
      </c>
    </row>
    <row r="280" spans="1:13" x14ac:dyDescent="0.35">
      <c r="A280" s="14" t="s">
        <v>391</v>
      </c>
      <c r="B280" s="14" t="s">
        <v>377</v>
      </c>
      <c r="C280" t="s">
        <v>395</v>
      </c>
      <c r="D280" s="18">
        <v>44092</v>
      </c>
      <c r="E280" s="18">
        <v>44093</v>
      </c>
      <c r="F280" s="34">
        <v>44118</v>
      </c>
      <c r="H280" s="28" t="s">
        <v>39</v>
      </c>
      <c r="K280" t="s">
        <v>381</v>
      </c>
      <c r="L280">
        <v>50</v>
      </c>
      <c r="M280" s="33">
        <v>0.14000000000000001</v>
      </c>
    </row>
    <row r="281" spans="1:13" x14ac:dyDescent="0.35">
      <c r="A281" s="14" t="s">
        <v>391</v>
      </c>
      <c r="B281" s="14" t="s">
        <v>377</v>
      </c>
      <c r="C281" t="s">
        <v>395</v>
      </c>
      <c r="D281" s="18">
        <v>44092</v>
      </c>
      <c r="E281" s="18">
        <v>44093</v>
      </c>
      <c r="F281" s="34">
        <v>44118</v>
      </c>
      <c r="H281" s="28" t="s">
        <v>44</v>
      </c>
      <c r="M281" s="33">
        <v>0.14000000000000001</v>
      </c>
    </row>
    <row r="282" spans="1:13" x14ac:dyDescent="0.35">
      <c r="A282" s="14" t="s">
        <v>391</v>
      </c>
      <c r="B282" s="14" t="s">
        <v>377</v>
      </c>
      <c r="C282" t="s">
        <v>395</v>
      </c>
      <c r="D282" s="18">
        <v>44092</v>
      </c>
      <c r="E282" s="18">
        <v>44093</v>
      </c>
      <c r="F282" s="34">
        <v>44118</v>
      </c>
      <c r="H282" s="28" t="s">
        <v>55</v>
      </c>
      <c r="M282" s="33">
        <v>0.14000000000000001</v>
      </c>
    </row>
    <row r="283" spans="1:13" x14ac:dyDescent="0.35">
      <c r="A283" s="14" t="s">
        <v>391</v>
      </c>
      <c r="B283" s="14" t="s">
        <v>377</v>
      </c>
      <c r="C283" t="s">
        <v>395</v>
      </c>
      <c r="D283" s="18">
        <v>44092</v>
      </c>
      <c r="E283" s="18">
        <v>44093</v>
      </c>
      <c r="F283" s="34">
        <v>44118</v>
      </c>
      <c r="H283" s="28" t="s">
        <v>125</v>
      </c>
      <c r="M283" s="33">
        <v>0.14000000000000001</v>
      </c>
    </row>
    <row r="284" spans="1:13" x14ac:dyDescent="0.35">
      <c r="A284" s="14" t="s">
        <v>391</v>
      </c>
      <c r="B284" s="14" t="s">
        <v>377</v>
      </c>
      <c r="C284" t="s">
        <v>395</v>
      </c>
      <c r="D284" s="18">
        <v>44092</v>
      </c>
      <c r="E284" s="18">
        <v>44093</v>
      </c>
      <c r="F284" s="34">
        <v>44118</v>
      </c>
      <c r="H284" s="28" t="s">
        <v>127</v>
      </c>
      <c r="M284" s="33">
        <v>0.14000000000000001</v>
      </c>
    </row>
    <row r="285" spans="1:13" x14ac:dyDescent="0.35">
      <c r="A285" s="14" t="s">
        <v>391</v>
      </c>
      <c r="B285" s="14" t="s">
        <v>377</v>
      </c>
      <c r="C285" t="s">
        <v>395</v>
      </c>
      <c r="D285" s="18">
        <v>44092</v>
      </c>
      <c r="E285" s="18">
        <v>44093</v>
      </c>
      <c r="F285" s="34">
        <v>44118</v>
      </c>
      <c r="H285" s="28" t="s">
        <v>25</v>
      </c>
      <c r="K285" t="s">
        <v>381</v>
      </c>
      <c r="L285">
        <v>50</v>
      </c>
      <c r="M285" s="33">
        <v>0.14000000000000001</v>
      </c>
    </row>
    <row r="286" spans="1:13" x14ac:dyDescent="0.35">
      <c r="A286" s="14" t="s">
        <v>391</v>
      </c>
      <c r="B286" s="14" t="s">
        <v>377</v>
      </c>
      <c r="C286" t="s">
        <v>395</v>
      </c>
      <c r="D286" s="18">
        <v>44092</v>
      </c>
      <c r="E286" s="18">
        <v>44093</v>
      </c>
      <c r="F286" s="34">
        <v>44118</v>
      </c>
      <c r="H286" s="28" t="s">
        <v>23</v>
      </c>
      <c r="K286" t="s">
        <v>381</v>
      </c>
      <c r="L286">
        <v>50</v>
      </c>
      <c r="M286" s="33">
        <v>0.14000000000000001</v>
      </c>
    </row>
    <row r="287" spans="1:13" x14ac:dyDescent="0.35">
      <c r="A287" s="14" t="s">
        <v>391</v>
      </c>
      <c r="B287" s="14" t="s">
        <v>377</v>
      </c>
      <c r="C287" t="s">
        <v>395</v>
      </c>
      <c r="D287" s="18">
        <v>44092</v>
      </c>
      <c r="E287" s="18">
        <v>44093</v>
      </c>
      <c r="F287" s="34">
        <v>44118</v>
      </c>
      <c r="H287" s="28" t="s">
        <v>23</v>
      </c>
      <c r="K287" t="s">
        <v>380</v>
      </c>
      <c r="L287">
        <v>10</v>
      </c>
      <c r="M287" s="33">
        <v>0.14000000000000001</v>
      </c>
    </row>
    <row r="288" spans="1:13" x14ac:dyDescent="0.35">
      <c r="A288" s="14" t="s">
        <v>391</v>
      </c>
      <c r="B288" s="14" t="s">
        <v>377</v>
      </c>
      <c r="C288" t="s">
        <v>395</v>
      </c>
      <c r="D288" s="18">
        <v>44092</v>
      </c>
      <c r="E288" s="18">
        <v>44093</v>
      </c>
      <c r="F288" s="34">
        <v>44118</v>
      </c>
      <c r="H288" s="28" t="s">
        <v>24</v>
      </c>
      <c r="K288" t="s">
        <v>381</v>
      </c>
      <c r="L288">
        <v>50</v>
      </c>
      <c r="M288" s="33">
        <v>0.14000000000000001</v>
      </c>
    </row>
    <row r="289" spans="1:13" x14ac:dyDescent="0.35">
      <c r="A289" s="14" t="s">
        <v>391</v>
      </c>
      <c r="B289" s="14" t="s">
        <v>377</v>
      </c>
      <c r="C289" t="s">
        <v>395</v>
      </c>
      <c r="D289" s="18">
        <v>44092</v>
      </c>
      <c r="E289" s="18">
        <v>44093</v>
      </c>
      <c r="F289" s="34">
        <v>44118</v>
      </c>
      <c r="H289" s="28" t="s">
        <v>24</v>
      </c>
      <c r="K289" t="s">
        <v>380</v>
      </c>
      <c r="L289">
        <v>10</v>
      </c>
      <c r="M289" s="33">
        <v>0.14000000000000001</v>
      </c>
    </row>
    <row r="290" spans="1:13" x14ac:dyDescent="0.35">
      <c r="A290" s="14" t="s">
        <v>391</v>
      </c>
      <c r="B290" s="14" t="s">
        <v>377</v>
      </c>
      <c r="C290" t="s">
        <v>395</v>
      </c>
      <c r="D290" s="18">
        <v>44092</v>
      </c>
      <c r="E290" s="18">
        <v>44093</v>
      </c>
      <c r="F290" s="34">
        <v>44118</v>
      </c>
      <c r="H290" s="28" t="s">
        <v>27</v>
      </c>
      <c r="K290" t="s">
        <v>381</v>
      </c>
      <c r="L290">
        <v>50</v>
      </c>
      <c r="M290" s="33">
        <v>0.14000000000000001</v>
      </c>
    </row>
    <row r="291" spans="1:13" x14ac:dyDescent="0.35">
      <c r="A291" s="14" t="s">
        <v>391</v>
      </c>
      <c r="B291" s="14" t="s">
        <v>377</v>
      </c>
      <c r="C291" t="s">
        <v>395</v>
      </c>
      <c r="D291" s="18">
        <v>44092</v>
      </c>
      <c r="E291" s="18">
        <v>44093</v>
      </c>
      <c r="F291" s="34">
        <v>44118</v>
      </c>
      <c r="H291" s="28" t="s">
        <v>27</v>
      </c>
      <c r="K291" t="s">
        <v>380</v>
      </c>
      <c r="L291">
        <v>25</v>
      </c>
      <c r="M291" s="33">
        <v>0.14000000000000001</v>
      </c>
    </row>
    <row r="292" spans="1:13" x14ac:dyDescent="0.35">
      <c r="A292" s="14" t="s">
        <v>391</v>
      </c>
      <c r="B292" s="14" t="s">
        <v>377</v>
      </c>
      <c r="C292" t="s">
        <v>395</v>
      </c>
      <c r="D292" s="18">
        <v>44092</v>
      </c>
      <c r="E292" s="18">
        <v>44093</v>
      </c>
      <c r="F292" s="34">
        <v>44118</v>
      </c>
      <c r="H292" s="28" t="s">
        <v>28</v>
      </c>
      <c r="K292" t="s">
        <v>381</v>
      </c>
      <c r="L292">
        <v>50</v>
      </c>
      <c r="M292" s="33">
        <v>0.14000000000000001</v>
      </c>
    </row>
    <row r="293" spans="1:13" x14ac:dyDescent="0.35">
      <c r="A293" s="14" t="s">
        <v>391</v>
      </c>
      <c r="B293" s="14" t="s">
        <v>377</v>
      </c>
      <c r="C293" t="s">
        <v>395</v>
      </c>
      <c r="D293" s="18">
        <v>44092</v>
      </c>
      <c r="E293" s="18">
        <v>44093</v>
      </c>
      <c r="F293" s="34">
        <v>44118</v>
      </c>
      <c r="H293" s="28" t="s">
        <v>28</v>
      </c>
      <c r="K293" t="s">
        <v>380</v>
      </c>
      <c r="L293">
        <v>25</v>
      </c>
      <c r="M293" s="33">
        <v>0.14000000000000001</v>
      </c>
    </row>
    <row r="294" spans="1:13" x14ac:dyDescent="0.35">
      <c r="A294" s="14" t="s">
        <v>391</v>
      </c>
      <c r="B294" s="14" t="s">
        <v>377</v>
      </c>
      <c r="C294" t="s">
        <v>395</v>
      </c>
      <c r="D294" s="18">
        <v>44092</v>
      </c>
      <c r="E294" s="18">
        <v>44093</v>
      </c>
      <c r="F294" s="34">
        <v>44118</v>
      </c>
      <c r="H294" s="28" t="s">
        <v>176</v>
      </c>
      <c r="M294" s="33">
        <v>0.14000000000000001</v>
      </c>
    </row>
    <row r="295" spans="1:13" x14ac:dyDescent="0.35">
      <c r="A295" s="14" t="s">
        <v>391</v>
      </c>
      <c r="B295" s="14" t="s">
        <v>377</v>
      </c>
      <c r="C295" t="s">
        <v>395</v>
      </c>
      <c r="D295" s="18">
        <v>44092</v>
      </c>
      <c r="E295" s="18">
        <v>44093</v>
      </c>
      <c r="F295" s="34">
        <v>44118</v>
      </c>
      <c r="H295" s="28" t="s">
        <v>29</v>
      </c>
      <c r="K295" t="s">
        <v>381</v>
      </c>
      <c r="L295">
        <v>50</v>
      </c>
      <c r="M295" s="33">
        <v>0.14000000000000001</v>
      </c>
    </row>
    <row r="296" spans="1:13" x14ac:dyDescent="0.35">
      <c r="A296" s="14" t="s">
        <v>391</v>
      </c>
      <c r="B296" s="14" t="s">
        <v>377</v>
      </c>
      <c r="C296" t="s">
        <v>395</v>
      </c>
      <c r="D296" s="18">
        <v>44092</v>
      </c>
      <c r="E296" s="18">
        <v>44093</v>
      </c>
      <c r="F296" s="34">
        <v>44118</v>
      </c>
      <c r="H296" s="28" t="s">
        <v>188</v>
      </c>
      <c r="M296" s="33">
        <v>0.14000000000000001</v>
      </c>
    </row>
    <row r="297" spans="1:13" x14ac:dyDescent="0.35">
      <c r="A297" s="14" t="s">
        <v>391</v>
      </c>
      <c r="B297" s="14" t="s">
        <v>377</v>
      </c>
      <c r="C297" t="s">
        <v>395</v>
      </c>
      <c r="D297" s="18">
        <v>44092</v>
      </c>
      <c r="E297" s="18">
        <v>44093</v>
      </c>
      <c r="F297" s="34">
        <v>44118</v>
      </c>
      <c r="H297" s="28" t="s">
        <v>198</v>
      </c>
      <c r="M297" s="33">
        <v>0.14000000000000001</v>
      </c>
    </row>
    <row r="298" spans="1:13" x14ac:dyDescent="0.35">
      <c r="A298" s="14" t="s">
        <v>391</v>
      </c>
      <c r="B298" s="14" t="s">
        <v>377</v>
      </c>
      <c r="C298" t="s">
        <v>395</v>
      </c>
      <c r="D298" s="18">
        <v>44092</v>
      </c>
      <c r="E298" s="18">
        <v>44093</v>
      </c>
      <c r="F298" s="34">
        <v>44118</v>
      </c>
      <c r="H298" s="28" t="s">
        <v>393</v>
      </c>
      <c r="M298" s="33">
        <v>0.14000000000000001</v>
      </c>
    </row>
    <row r="299" spans="1:13" x14ac:dyDescent="0.35">
      <c r="A299" s="14" t="s">
        <v>391</v>
      </c>
      <c r="B299" s="14" t="s">
        <v>377</v>
      </c>
      <c r="C299" t="s">
        <v>395</v>
      </c>
      <c r="D299" s="18">
        <v>44092</v>
      </c>
      <c r="E299" s="18">
        <v>44093</v>
      </c>
      <c r="F299" s="34">
        <v>44118</v>
      </c>
      <c r="H299" s="28" t="s">
        <v>204</v>
      </c>
      <c r="M299" s="33">
        <v>0.14000000000000001</v>
      </c>
    </row>
    <row r="300" spans="1:13" x14ac:dyDescent="0.35">
      <c r="A300" s="14" t="s">
        <v>391</v>
      </c>
      <c r="B300" s="14" t="s">
        <v>377</v>
      </c>
      <c r="C300" t="s">
        <v>395</v>
      </c>
      <c r="D300" s="18">
        <v>44092</v>
      </c>
      <c r="E300" s="18">
        <v>44093</v>
      </c>
      <c r="F300" s="34">
        <v>44118</v>
      </c>
      <c r="H300" s="28" t="s">
        <v>210</v>
      </c>
      <c r="M300" s="33">
        <v>0.14000000000000001</v>
      </c>
    </row>
    <row r="301" spans="1:13" x14ac:dyDescent="0.35">
      <c r="A301" s="14" t="s">
        <v>391</v>
      </c>
      <c r="B301" s="14" t="s">
        <v>377</v>
      </c>
      <c r="C301" t="s">
        <v>395</v>
      </c>
      <c r="D301" s="18">
        <v>44092</v>
      </c>
      <c r="E301" s="18">
        <v>44093</v>
      </c>
      <c r="F301" s="34">
        <v>44118</v>
      </c>
      <c r="H301" s="28" t="s">
        <v>223</v>
      </c>
      <c r="M301" s="33">
        <v>0.14000000000000001</v>
      </c>
    </row>
    <row r="302" spans="1:13" x14ac:dyDescent="0.35">
      <c r="A302" s="14" t="s">
        <v>391</v>
      </c>
      <c r="B302" s="14" t="s">
        <v>377</v>
      </c>
      <c r="C302" t="s">
        <v>395</v>
      </c>
      <c r="D302" s="18">
        <v>44092</v>
      </c>
      <c r="E302" s="18">
        <v>44093</v>
      </c>
      <c r="F302" s="34">
        <v>44118</v>
      </c>
      <c r="H302" s="28" t="s">
        <v>230</v>
      </c>
      <c r="M302" s="33">
        <v>0.14000000000000001</v>
      </c>
    </row>
    <row r="303" spans="1:13" x14ac:dyDescent="0.35">
      <c r="A303" s="14" t="s">
        <v>391</v>
      </c>
      <c r="B303" s="14" t="s">
        <v>377</v>
      </c>
      <c r="C303" t="s">
        <v>395</v>
      </c>
      <c r="D303" s="18">
        <v>44092</v>
      </c>
      <c r="E303" s="18">
        <v>44093</v>
      </c>
      <c r="F303" s="34">
        <v>44118</v>
      </c>
      <c r="H303" s="28" t="s">
        <v>284</v>
      </c>
      <c r="M303" s="33">
        <v>0.14000000000000001</v>
      </c>
    </row>
    <row r="304" spans="1:13" x14ac:dyDescent="0.35">
      <c r="A304" s="14" t="s">
        <v>391</v>
      </c>
      <c r="B304" s="14" t="s">
        <v>377</v>
      </c>
      <c r="C304" t="s">
        <v>395</v>
      </c>
      <c r="D304" s="18">
        <v>44092</v>
      </c>
      <c r="E304" s="18">
        <v>44093</v>
      </c>
      <c r="F304" s="34">
        <v>44118</v>
      </c>
      <c r="H304" s="28" t="s">
        <v>309</v>
      </c>
      <c r="M304" s="33">
        <v>0.14000000000000001</v>
      </c>
    </row>
    <row r="305" spans="1:13" x14ac:dyDescent="0.35">
      <c r="A305" s="14" t="s">
        <v>391</v>
      </c>
      <c r="B305" s="14" t="s">
        <v>377</v>
      </c>
      <c r="C305" t="s">
        <v>395</v>
      </c>
      <c r="D305" s="18">
        <v>44092</v>
      </c>
      <c r="E305" s="18">
        <v>44093</v>
      </c>
      <c r="F305" s="34">
        <v>44118</v>
      </c>
      <c r="H305" s="28" t="s">
        <v>313</v>
      </c>
      <c r="K305" t="s">
        <v>381</v>
      </c>
      <c r="L305">
        <v>75</v>
      </c>
      <c r="M305" s="33">
        <v>0.14000000000000001</v>
      </c>
    </row>
    <row r="306" spans="1:13" x14ac:dyDescent="0.35">
      <c r="A306" s="14" t="s">
        <v>391</v>
      </c>
      <c r="B306" s="14" t="s">
        <v>377</v>
      </c>
      <c r="C306" t="s">
        <v>395</v>
      </c>
      <c r="D306" s="18">
        <v>44092</v>
      </c>
      <c r="E306" s="18">
        <v>44093</v>
      </c>
      <c r="F306" s="34">
        <v>44118</v>
      </c>
      <c r="H306" s="28" t="s">
        <v>315</v>
      </c>
      <c r="K306" t="s">
        <v>381</v>
      </c>
      <c r="L306">
        <v>50</v>
      </c>
      <c r="M306" s="33">
        <v>0.14000000000000001</v>
      </c>
    </row>
    <row r="307" spans="1:13" x14ac:dyDescent="0.35">
      <c r="A307" s="14" t="s">
        <v>391</v>
      </c>
      <c r="B307" s="14" t="s">
        <v>377</v>
      </c>
      <c r="C307" t="s">
        <v>395</v>
      </c>
      <c r="D307" s="18">
        <v>44092</v>
      </c>
      <c r="E307" s="18">
        <v>44093</v>
      </c>
      <c r="F307" s="34">
        <v>44118</v>
      </c>
      <c r="H307" s="28" t="s">
        <v>32</v>
      </c>
      <c r="K307" t="s">
        <v>380</v>
      </c>
      <c r="L307">
        <v>10</v>
      </c>
      <c r="M307" s="33">
        <v>0.14000000000000001</v>
      </c>
    </row>
    <row r="308" spans="1:13" x14ac:dyDescent="0.35">
      <c r="A308" s="14" t="s">
        <v>391</v>
      </c>
      <c r="B308" s="14" t="s">
        <v>377</v>
      </c>
      <c r="C308" t="s">
        <v>395</v>
      </c>
      <c r="D308" s="18">
        <v>44092</v>
      </c>
      <c r="E308" s="18">
        <v>44093</v>
      </c>
      <c r="F308" s="34">
        <v>44118</v>
      </c>
      <c r="H308" s="28" t="s">
        <v>335</v>
      </c>
      <c r="M308" s="33">
        <v>0.14000000000000001</v>
      </c>
    </row>
    <row r="309" spans="1:13" x14ac:dyDescent="0.35">
      <c r="A309" s="14" t="s">
        <v>391</v>
      </c>
      <c r="B309" s="14" t="s">
        <v>377</v>
      </c>
      <c r="C309" t="s">
        <v>394</v>
      </c>
      <c r="D309" s="18">
        <v>44096</v>
      </c>
      <c r="E309" s="18">
        <v>44092</v>
      </c>
      <c r="F309" s="34">
        <v>44106</v>
      </c>
      <c r="H309" s="28" t="s">
        <v>96</v>
      </c>
      <c r="M309" s="33">
        <v>0.11</v>
      </c>
    </row>
    <row r="310" spans="1:13" x14ac:dyDescent="0.35">
      <c r="A310" s="14" t="s">
        <v>391</v>
      </c>
      <c r="B310" s="14" t="s">
        <v>377</v>
      </c>
      <c r="C310" t="s">
        <v>394</v>
      </c>
      <c r="D310" s="18">
        <v>44096</v>
      </c>
      <c r="E310" s="18">
        <v>44092</v>
      </c>
      <c r="F310" s="34">
        <v>44106</v>
      </c>
      <c r="H310" s="28" t="s">
        <v>72</v>
      </c>
      <c r="M310" s="33">
        <v>0.11</v>
      </c>
    </row>
    <row r="311" spans="1:13" x14ac:dyDescent="0.35">
      <c r="A311" s="14" t="s">
        <v>391</v>
      </c>
      <c r="B311" s="14" t="s">
        <v>377</v>
      </c>
      <c r="C311" t="s">
        <v>394</v>
      </c>
      <c r="D311" s="18">
        <v>44096</v>
      </c>
      <c r="E311" s="18">
        <v>44092</v>
      </c>
      <c r="F311" s="34">
        <v>44106</v>
      </c>
      <c r="H311" s="28" t="s">
        <v>41</v>
      </c>
      <c r="K311" t="s">
        <v>381</v>
      </c>
      <c r="L311">
        <v>75</v>
      </c>
      <c r="M311" s="33">
        <v>0.11</v>
      </c>
    </row>
    <row r="312" spans="1:13" x14ac:dyDescent="0.35">
      <c r="A312" s="14" t="s">
        <v>391</v>
      </c>
      <c r="B312" s="14" t="s">
        <v>377</v>
      </c>
      <c r="C312" t="s">
        <v>394</v>
      </c>
      <c r="D312" s="18">
        <v>44096</v>
      </c>
      <c r="E312" s="18">
        <v>44092</v>
      </c>
      <c r="F312" s="34">
        <v>44106</v>
      </c>
      <c r="H312" s="28" t="s">
        <v>39</v>
      </c>
      <c r="K312" t="s">
        <v>381</v>
      </c>
      <c r="L312">
        <v>50</v>
      </c>
      <c r="M312" s="33">
        <v>0.11</v>
      </c>
    </row>
    <row r="313" spans="1:13" x14ac:dyDescent="0.35">
      <c r="A313" s="14" t="s">
        <v>391</v>
      </c>
      <c r="B313" s="14" t="s">
        <v>377</v>
      </c>
      <c r="C313" t="s">
        <v>394</v>
      </c>
      <c r="D313" s="18">
        <v>44096</v>
      </c>
      <c r="E313" s="18">
        <v>44092</v>
      </c>
      <c r="F313" s="34">
        <v>44106</v>
      </c>
      <c r="H313" s="28" t="s">
        <v>150</v>
      </c>
      <c r="M313" s="33">
        <v>0.11</v>
      </c>
    </row>
    <row r="314" spans="1:13" x14ac:dyDescent="0.35">
      <c r="A314" s="14" t="s">
        <v>391</v>
      </c>
      <c r="B314" s="14" t="s">
        <v>377</v>
      </c>
      <c r="C314" t="s">
        <v>394</v>
      </c>
      <c r="D314" s="18">
        <v>44096</v>
      </c>
      <c r="E314" s="18">
        <v>44092</v>
      </c>
      <c r="F314" s="34">
        <v>44106</v>
      </c>
      <c r="H314" s="28" t="s">
        <v>42</v>
      </c>
      <c r="K314" t="s">
        <v>381</v>
      </c>
      <c r="L314">
        <v>50</v>
      </c>
      <c r="M314" s="33">
        <v>0.11</v>
      </c>
    </row>
    <row r="315" spans="1:13" x14ac:dyDescent="0.35">
      <c r="A315" s="14" t="s">
        <v>391</v>
      </c>
      <c r="B315" s="14" t="s">
        <v>377</v>
      </c>
      <c r="C315" t="s">
        <v>394</v>
      </c>
      <c r="D315" s="18">
        <v>44096</v>
      </c>
      <c r="E315" s="18">
        <v>44092</v>
      </c>
      <c r="F315" s="34">
        <v>44106</v>
      </c>
      <c r="H315" s="28" t="s">
        <v>134</v>
      </c>
      <c r="K315" t="s">
        <v>381</v>
      </c>
      <c r="L315">
        <v>50</v>
      </c>
      <c r="M315" s="33">
        <v>0.11</v>
      </c>
    </row>
    <row r="316" spans="1:13" x14ac:dyDescent="0.35">
      <c r="A316" s="14" t="s">
        <v>391</v>
      </c>
      <c r="B316" s="14" t="s">
        <v>377</v>
      </c>
      <c r="C316" t="s">
        <v>394</v>
      </c>
      <c r="D316" s="18">
        <v>44096</v>
      </c>
      <c r="E316" s="18">
        <v>44092</v>
      </c>
      <c r="F316" s="34">
        <v>44106</v>
      </c>
      <c r="H316" s="28" t="s">
        <v>25</v>
      </c>
      <c r="K316" t="s">
        <v>381</v>
      </c>
      <c r="L316">
        <v>50</v>
      </c>
      <c r="M316" s="33">
        <v>0.11</v>
      </c>
    </row>
    <row r="317" spans="1:13" x14ac:dyDescent="0.35">
      <c r="A317" s="14" t="s">
        <v>391</v>
      </c>
      <c r="B317" s="14" t="s">
        <v>377</v>
      </c>
      <c r="C317" t="s">
        <v>394</v>
      </c>
      <c r="D317" s="18">
        <v>44096</v>
      </c>
      <c r="E317" s="18">
        <v>44092</v>
      </c>
      <c r="F317" s="34">
        <v>44106</v>
      </c>
      <c r="H317" s="28" t="s">
        <v>23</v>
      </c>
      <c r="K317" t="s">
        <v>380</v>
      </c>
      <c r="L317">
        <v>10</v>
      </c>
      <c r="M317" s="33">
        <v>0.11</v>
      </c>
    </row>
    <row r="318" spans="1:13" x14ac:dyDescent="0.35">
      <c r="A318" s="14" t="s">
        <v>391</v>
      </c>
      <c r="B318" s="14" t="s">
        <v>377</v>
      </c>
      <c r="C318" t="s">
        <v>394</v>
      </c>
      <c r="D318" s="18">
        <v>44096</v>
      </c>
      <c r="E318" s="18">
        <v>44092</v>
      </c>
      <c r="F318" s="34">
        <v>44106</v>
      </c>
      <c r="H318" s="28" t="s">
        <v>24</v>
      </c>
      <c r="K318" t="s">
        <v>380</v>
      </c>
      <c r="L318">
        <v>10</v>
      </c>
      <c r="M318" s="33">
        <v>0.11</v>
      </c>
    </row>
    <row r="319" spans="1:13" x14ac:dyDescent="0.35">
      <c r="A319" s="14" t="s">
        <v>391</v>
      </c>
      <c r="B319" s="14" t="s">
        <v>377</v>
      </c>
      <c r="C319" t="s">
        <v>394</v>
      </c>
      <c r="D319" s="18">
        <v>44096</v>
      </c>
      <c r="E319" s="18">
        <v>44092</v>
      </c>
      <c r="F319" s="34">
        <v>44106</v>
      </c>
      <c r="H319" s="28" t="s">
        <v>27</v>
      </c>
      <c r="K319" t="s">
        <v>380</v>
      </c>
      <c r="L319">
        <v>25</v>
      </c>
      <c r="M319" s="33">
        <v>0.11</v>
      </c>
    </row>
    <row r="320" spans="1:13" x14ac:dyDescent="0.35">
      <c r="A320" s="14" t="s">
        <v>391</v>
      </c>
      <c r="B320" s="14" t="s">
        <v>377</v>
      </c>
      <c r="C320" t="s">
        <v>394</v>
      </c>
      <c r="D320" s="18">
        <v>44096</v>
      </c>
      <c r="E320" s="18">
        <v>44092</v>
      </c>
      <c r="F320" s="34">
        <v>44106</v>
      </c>
      <c r="H320" s="28" t="s">
        <v>28</v>
      </c>
      <c r="K320" t="s">
        <v>380</v>
      </c>
      <c r="L320">
        <v>25</v>
      </c>
      <c r="M320" s="33">
        <v>0.11</v>
      </c>
    </row>
    <row r="321" spans="1:13" x14ac:dyDescent="0.35">
      <c r="A321" s="14" t="s">
        <v>391</v>
      </c>
      <c r="B321" s="14" t="s">
        <v>377</v>
      </c>
      <c r="C321" t="s">
        <v>394</v>
      </c>
      <c r="D321" s="18">
        <v>44096</v>
      </c>
      <c r="E321" s="18">
        <v>44092</v>
      </c>
      <c r="F321" s="34">
        <v>44106</v>
      </c>
      <c r="H321" s="28" t="s">
        <v>176</v>
      </c>
      <c r="M321" s="33">
        <v>0.11</v>
      </c>
    </row>
    <row r="322" spans="1:13" x14ac:dyDescent="0.35">
      <c r="A322" s="14" t="s">
        <v>391</v>
      </c>
      <c r="B322" s="14" t="s">
        <v>377</v>
      </c>
      <c r="C322" t="s">
        <v>394</v>
      </c>
      <c r="D322" s="18">
        <v>44096</v>
      </c>
      <c r="E322" s="18">
        <v>44092</v>
      </c>
      <c r="F322" s="34">
        <v>44106</v>
      </c>
      <c r="H322" s="28" t="s">
        <v>29</v>
      </c>
      <c r="K322" t="s">
        <v>381</v>
      </c>
      <c r="L322">
        <v>50</v>
      </c>
      <c r="M322" s="33">
        <v>0.11</v>
      </c>
    </row>
    <row r="323" spans="1:13" x14ac:dyDescent="0.35">
      <c r="A323" s="14" t="s">
        <v>391</v>
      </c>
      <c r="B323" s="14" t="s">
        <v>377</v>
      </c>
      <c r="C323" t="s">
        <v>394</v>
      </c>
      <c r="D323" s="18">
        <v>44096</v>
      </c>
      <c r="E323" s="18">
        <v>44092</v>
      </c>
      <c r="F323" s="34">
        <v>44106</v>
      </c>
      <c r="H323" s="28" t="s">
        <v>188</v>
      </c>
      <c r="M323" s="33">
        <v>0.11</v>
      </c>
    </row>
    <row r="324" spans="1:13" x14ac:dyDescent="0.35">
      <c r="A324" s="14" t="s">
        <v>391</v>
      </c>
      <c r="B324" s="14" t="s">
        <v>377</v>
      </c>
      <c r="C324" t="s">
        <v>394</v>
      </c>
      <c r="D324" s="18">
        <v>44096</v>
      </c>
      <c r="E324" s="18">
        <v>44092</v>
      </c>
      <c r="F324" s="34">
        <v>44106</v>
      </c>
      <c r="H324" s="28" t="s">
        <v>198</v>
      </c>
      <c r="M324" s="33">
        <v>0.11</v>
      </c>
    </row>
    <row r="325" spans="1:13" x14ac:dyDescent="0.35">
      <c r="A325" s="14" t="s">
        <v>391</v>
      </c>
      <c r="B325" s="14" t="s">
        <v>377</v>
      </c>
      <c r="C325" t="s">
        <v>394</v>
      </c>
      <c r="D325" s="18">
        <v>44096</v>
      </c>
      <c r="E325" s="18">
        <v>44092</v>
      </c>
      <c r="F325" s="34">
        <v>44106</v>
      </c>
      <c r="H325" s="28" t="s">
        <v>393</v>
      </c>
      <c r="M325" s="33">
        <v>0.11</v>
      </c>
    </row>
    <row r="326" spans="1:13" x14ac:dyDescent="0.35">
      <c r="A326" s="14" t="s">
        <v>391</v>
      </c>
      <c r="B326" s="14" t="s">
        <v>377</v>
      </c>
      <c r="C326" t="s">
        <v>394</v>
      </c>
      <c r="D326" s="18">
        <v>44096</v>
      </c>
      <c r="E326" s="18">
        <v>44092</v>
      </c>
      <c r="F326" s="34">
        <v>44106</v>
      </c>
      <c r="H326" s="28" t="s">
        <v>204</v>
      </c>
      <c r="M326" s="33">
        <v>0.11</v>
      </c>
    </row>
    <row r="327" spans="1:13" x14ac:dyDescent="0.35">
      <c r="A327" s="14" t="s">
        <v>391</v>
      </c>
      <c r="B327" s="14" t="s">
        <v>377</v>
      </c>
      <c r="C327" t="s">
        <v>394</v>
      </c>
      <c r="D327" s="18">
        <v>44096</v>
      </c>
      <c r="E327" s="18">
        <v>44092</v>
      </c>
      <c r="F327" s="34">
        <v>44106</v>
      </c>
      <c r="H327" s="28" t="s">
        <v>210</v>
      </c>
      <c r="M327" s="33">
        <v>0.11</v>
      </c>
    </row>
    <row r="328" spans="1:13" x14ac:dyDescent="0.35">
      <c r="A328" s="14" t="s">
        <v>391</v>
      </c>
      <c r="B328" s="14" t="s">
        <v>377</v>
      </c>
      <c r="C328" t="s">
        <v>394</v>
      </c>
      <c r="D328" s="18">
        <v>44096</v>
      </c>
      <c r="E328" s="18">
        <v>44092</v>
      </c>
      <c r="F328" s="34">
        <v>44106</v>
      </c>
      <c r="H328" s="28" t="s">
        <v>313</v>
      </c>
      <c r="K328" t="s">
        <v>381</v>
      </c>
      <c r="L328">
        <v>75</v>
      </c>
      <c r="M328" s="33">
        <v>0.11</v>
      </c>
    </row>
    <row r="329" spans="1:13" x14ac:dyDescent="0.35">
      <c r="A329" s="14" t="s">
        <v>391</v>
      </c>
      <c r="B329" s="14" t="s">
        <v>377</v>
      </c>
      <c r="C329" t="s">
        <v>394</v>
      </c>
      <c r="D329" s="18">
        <v>44096</v>
      </c>
      <c r="E329" s="18">
        <v>44092</v>
      </c>
      <c r="F329" s="34">
        <v>44106</v>
      </c>
      <c r="H329" s="28" t="s">
        <v>315</v>
      </c>
      <c r="K329" t="s">
        <v>381</v>
      </c>
      <c r="L329">
        <v>50</v>
      </c>
      <c r="M329" s="33">
        <v>0.11</v>
      </c>
    </row>
    <row r="330" spans="1:13" x14ac:dyDescent="0.35">
      <c r="A330" s="14" t="s">
        <v>391</v>
      </c>
      <c r="B330" s="14" t="s">
        <v>377</v>
      </c>
      <c r="C330" t="s">
        <v>394</v>
      </c>
      <c r="D330" s="18">
        <v>44096</v>
      </c>
      <c r="E330" s="18">
        <v>44092</v>
      </c>
      <c r="F330" s="34">
        <v>44106</v>
      </c>
      <c r="H330" s="28" t="s">
        <v>337</v>
      </c>
      <c r="K330" t="s">
        <v>380</v>
      </c>
      <c r="L330">
        <v>10</v>
      </c>
      <c r="M330" s="33">
        <v>0.11</v>
      </c>
    </row>
    <row r="331" spans="1:13" x14ac:dyDescent="0.35">
      <c r="A331" s="14" t="s">
        <v>391</v>
      </c>
      <c r="B331" s="14" t="s">
        <v>377</v>
      </c>
      <c r="C331" t="s">
        <v>394</v>
      </c>
      <c r="D331" s="18">
        <v>44096</v>
      </c>
      <c r="E331" s="18">
        <v>44092</v>
      </c>
      <c r="F331" s="34">
        <v>44106</v>
      </c>
      <c r="H331" s="28" t="s">
        <v>341</v>
      </c>
      <c r="M331" s="33">
        <v>0.11</v>
      </c>
    </row>
    <row r="332" spans="1:13" x14ac:dyDescent="0.35">
      <c r="A332" s="14" t="s">
        <v>391</v>
      </c>
      <c r="B332" s="14" t="s">
        <v>377</v>
      </c>
      <c r="C332" t="s">
        <v>397</v>
      </c>
      <c r="D332" s="18">
        <v>44097</v>
      </c>
      <c r="E332" s="18">
        <v>44092</v>
      </c>
      <c r="F332" s="34">
        <v>44113</v>
      </c>
      <c r="H332" s="28" t="s">
        <v>96</v>
      </c>
      <c r="M332" s="33">
        <v>0.14000000000000001</v>
      </c>
    </row>
    <row r="333" spans="1:13" x14ac:dyDescent="0.35">
      <c r="A333" s="14" t="s">
        <v>391</v>
      </c>
      <c r="B333" s="14" t="s">
        <v>377</v>
      </c>
      <c r="C333" t="s">
        <v>397</v>
      </c>
      <c r="D333" s="18">
        <v>44097</v>
      </c>
      <c r="E333" s="18">
        <v>44092</v>
      </c>
      <c r="F333" s="34">
        <v>44113</v>
      </c>
      <c r="H333" s="28" t="s">
        <v>72</v>
      </c>
      <c r="M333" s="33">
        <v>0.14000000000000001</v>
      </c>
    </row>
    <row r="334" spans="1:13" x14ac:dyDescent="0.35">
      <c r="A334" s="14" t="s">
        <v>391</v>
      </c>
      <c r="B334" s="14" t="s">
        <v>377</v>
      </c>
      <c r="C334" t="s">
        <v>397</v>
      </c>
      <c r="D334" s="18">
        <v>44097</v>
      </c>
      <c r="E334" s="18">
        <v>44092</v>
      </c>
      <c r="F334" s="34">
        <v>44113</v>
      </c>
      <c r="H334" s="28" t="s">
        <v>79</v>
      </c>
      <c r="M334" s="33">
        <v>0.14000000000000001</v>
      </c>
    </row>
    <row r="335" spans="1:13" x14ac:dyDescent="0.35">
      <c r="A335" s="14" t="s">
        <v>391</v>
      </c>
      <c r="B335" s="14" t="s">
        <v>377</v>
      </c>
      <c r="C335" t="s">
        <v>397</v>
      </c>
      <c r="D335" s="18">
        <v>44097</v>
      </c>
      <c r="E335" s="18">
        <v>44092</v>
      </c>
      <c r="F335" s="34">
        <v>44113</v>
      </c>
      <c r="H335" s="28" t="s">
        <v>41</v>
      </c>
      <c r="K335" t="s">
        <v>381</v>
      </c>
      <c r="L335">
        <v>75</v>
      </c>
      <c r="M335" s="33">
        <v>0.14000000000000001</v>
      </c>
    </row>
    <row r="336" spans="1:13" x14ac:dyDescent="0.35">
      <c r="A336" s="14" t="s">
        <v>391</v>
      </c>
      <c r="B336" s="14" t="s">
        <v>377</v>
      </c>
      <c r="C336" t="s">
        <v>397</v>
      </c>
      <c r="D336" s="18">
        <v>44097</v>
      </c>
      <c r="E336" s="18">
        <v>44092</v>
      </c>
      <c r="F336" s="34">
        <v>44113</v>
      </c>
      <c r="H336" s="28" t="s">
        <v>111</v>
      </c>
      <c r="K336" t="s">
        <v>381</v>
      </c>
      <c r="L336">
        <v>50</v>
      </c>
      <c r="M336" s="33">
        <v>0.14000000000000001</v>
      </c>
    </row>
    <row r="337" spans="1:13" x14ac:dyDescent="0.35">
      <c r="A337" s="14" t="s">
        <v>391</v>
      </c>
      <c r="B337" s="14" t="s">
        <v>377</v>
      </c>
      <c r="C337" t="s">
        <v>397</v>
      </c>
      <c r="D337" s="18">
        <v>44097</v>
      </c>
      <c r="E337" s="18">
        <v>44092</v>
      </c>
      <c r="F337" s="34">
        <v>44113</v>
      </c>
      <c r="H337" s="28" t="s">
        <v>150</v>
      </c>
      <c r="M337" s="33">
        <v>0.14000000000000001</v>
      </c>
    </row>
    <row r="338" spans="1:13" x14ac:dyDescent="0.35">
      <c r="A338" s="14" t="s">
        <v>391</v>
      </c>
      <c r="B338" s="14" t="s">
        <v>377</v>
      </c>
      <c r="C338" t="s">
        <v>397</v>
      </c>
      <c r="D338" s="18">
        <v>44097</v>
      </c>
      <c r="E338" s="18">
        <v>44092</v>
      </c>
      <c r="F338" s="34">
        <v>44113</v>
      </c>
      <c r="H338" s="28" t="s">
        <v>125</v>
      </c>
      <c r="M338" s="33">
        <v>0.14000000000000001</v>
      </c>
    </row>
    <row r="339" spans="1:13" x14ac:dyDescent="0.35">
      <c r="A339" s="14" t="s">
        <v>391</v>
      </c>
      <c r="B339" s="14" t="s">
        <v>377</v>
      </c>
      <c r="C339" t="s">
        <v>397</v>
      </c>
      <c r="D339" s="18">
        <v>44097</v>
      </c>
      <c r="E339" s="18">
        <v>44092</v>
      </c>
      <c r="F339" s="34">
        <v>44113</v>
      </c>
      <c r="H339" s="28" t="s">
        <v>127</v>
      </c>
      <c r="M339" s="33">
        <v>0.14000000000000001</v>
      </c>
    </row>
    <row r="340" spans="1:13" x14ac:dyDescent="0.35">
      <c r="A340" s="14" t="s">
        <v>391</v>
      </c>
      <c r="B340" s="14" t="s">
        <v>377</v>
      </c>
      <c r="C340" t="s">
        <v>397</v>
      </c>
      <c r="D340" s="18">
        <v>44097</v>
      </c>
      <c r="E340" s="18">
        <v>44092</v>
      </c>
      <c r="F340" s="34">
        <v>44113</v>
      </c>
      <c r="H340" s="28" t="s">
        <v>25</v>
      </c>
      <c r="K340" t="s">
        <v>381</v>
      </c>
      <c r="L340">
        <v>50</v>
      </c>
      <c r="M340" s="33">
        <v>0.14000000000000001</v>
      </c>
    </row>
    <row r="341" spans="1:13" x14ac:dyDescent="0.35">
      <c r="A341" s="14" t="s">
        <v>391</v>
      </c>
      <c r="B341" s="14" t="s">
        <v>377</v>
      </c>
      <c r="C341" t="s">
        <v>397</v>
      </c>
      <c r="D341" s="18">
        <v>44097</v>
      </c>
      <c r="E341" s="18">
        <v>44092</v>
      </c>
      <c r="F341" s="34">
        <v>44113</v>
      </c>
      <c r="H341" s="28" t="s">
        <v>23</v>
      </c>
      <c r="K341" t="s">
        <v>380</v>
      </c>
      <c r="L341">
        <v>10</v>
      </c>
      <c r="M341" s="33">
        <v>0.14000000000000001</v>
      </c>
    </row>
    <row r="342" spans="1:13" x14ac:dyDescent="0.35">
      <c r="A342" s="14" t="s">
        <v>391</v>
      </c>
      <c r="B342" s="14" t="s">
        <v>377</v>
      </c>
      <c r="C342" t="s">
        <v>397</v>
      </c>
      <c r="D342" s="18">
        <v>44097</v>
      </c>
      <c r="E342" s="18">
        <v>44092</v>
      </c>
      <c r="F342" s="34">
        <v>44113</v>
      </c>
      <c r="H342" s="28" t="s">
        <v>24</v>
      </c>
      <c r="K342" t="s">
        <v>380</v>
      </c>
      <c r="L342">
        <v>10</v>
      </c>
      <c r="M342" s="33">
        <v>0.14000000000000001</v>
      </c>
    </row>
    <row r="343" spans="1:13" x14ac:dyDescent="0.35">
      <c r="A343" s="14" t="s">
        <v>391</v>
      </c>
      <c r="B343" s="14" t="s">
        <v>377</v>
      </c>
      <c r="C343" t="s">
        <v>397</v>
      </c>
      <c r="D343" s="18">
        <v>44097</v>
      </c>
      <c r="E343" s="18">
        <v>44092</v>
      </c>
      <c r="F343" s="34">
        <v>44113</v>
      </c>
      <c r="H343" s="28" t="s">
        <v>27</v>
      </c>
      <c r="K343" t="s">
        <v>380</v>
      </c>
      <c r="L343">
        <v>25</v>
      </c>
      <c r="M343" s="33">
        <v>0.14000000000000001</v>
      </c>
    </row>
    <row r="344" spans="1:13" x14ac:dyDescent="0.35">
      <c r="A344" s="14" t="s">
        <v>391</v>
      </c>
      <c r="B344" s="14" t="s">
        <v>377</v>
      </c>
      <c r="C344" t="s">
        <v>397</v>
      </c>
      <c r="D344" s="18">
        <v>44097</v>
      </c>
      <c r="E344" s="18">
        <v>44092</v>
      </c>
      <c r="F344" s="34">
        <v>44113</v>
      </c>
      <c r="H344" s="28" t="s">
        <v>28</v>
      </c>
      <c r="K344" t="s">
        <v>380</v>
      </c>
      <c r="L344">
        <v>25</v>
      </c>
      <c r="M344" s="33">
        <v>0.14000000000000001</v>
      </c>
    </row>
    <row r="345" spans="1:13" x14ac:dyDescent="0.35">
      <c r="A345" s="14" t="s">
        <v>391</v>
      </c>
      <c r="B345" s="14" t="s">
        <v>377</v>
      </c>
      <c r="C345" t="s">
        <v>397</v>
      </c>
      <c r="D345" s="18">
        <v>44097</v>
      </c>
      <c r="E345" s="18">
        <v>44092</v>
      </c>
      <c r="F345" s="34">
        <v>44113</v>
      </c>
      <c r="H345" s="28" t="s">
        <v>176</v>
      </c>
      <c r="M345" s="33">
        <v>0.14000000000000001</v>
      </c>
    </row>
    <row r="346" spans="1:13" x14ac:dyDescent="0.35">
      <c r="A346" s="14" t="s">
        <v>391</v>
      </c>
      <c r="B346" s="14" t="s">
        <v>377</v>
      </c>
      <c r="C346" t="s">
        <v>397</v>
      </c>
      <c r="D346" s="18">
        <v>44097</v>
      </c>
      <c r="E346" s="18">
        <v>44092</v>
      </c>
      <c r="F346" s="34">
        <v>44113</v>
      </c>
      <c r="H346" s="28" t="s">
        <v>181</v>
      </c>
      <c r="K346" t="s">
        <v>381</v>
      </c>
      <c r="L346">
        <v>50</v>
      </c>
      <c r="M346" s="33">
        <v>0.14000000000000001</v>
      </c>
    </row>
    <row r="347" spans="1:13" x14ac:dyDescent="0.35">
      <c r="A347" s="14" t="s">
        <v>391</v>
      </c>
      <c r="B347" s="14" t="s">
        <v>377</v>
      </c>
      <c r="C347" t="s">
        <v>397</v>
      </c>
      <c r="D347" s="18">
        <v>44097</v>
      </c>
      <c r="E347" s="18">
        <v>44092</v>
      </c>
      <c r="F347" s="34">
        <v>44113</v>
      </c>
      <c r="H347" s="28" t="s">
        <v>188</v>
      </c>
      <c r="M347" s="33">
        <v>0.14000000000000001</v>
      </c>
    </row>
    <row r="348" spans="1:13" x14ac:dyDescent="0.35">
      <c r="A348" s="14" t="s">
        <v>391</v>
      </c>
      <c r="B348" s="14" t="s">
        <v>377</v>
      </c>
      <c r="C348" t="s">
        <v>397</v>
      </c>
      <c r="D348" s="18">
        <v>44097</v>
      </c>
      <c r="E348" s="18">
        <v>44092</v>
      </c>
      <c r="F348" s="34">
        <v>44113</v>
      </c>
      <c r="H348" s="28" t="s">
        <v>393</v>
      </c>
      <c r="M348" s="33">
        <v>0.14000000000000001</v>
      </c>
    </row>
    <row r="349" spans="1:13" x14ac:dyDescent="0.35">
      <c r="A349" s="14" t="s">
        <v>391</v>
      </c>
      <c r="B349" s="14" t="s">
        <v>377</v>
      </c>
      <c r="C349" t="s">
        <v>397</v>
      </c>
      <c r="D349" s="18">
        <v>44097</v>
      </c>
      <c r="E349" s="18">
        <v>44092</v>
      </c>
      <c r="F349" s="34">
        <v>44113</v>
      </c>
      <c r="H349" s="28" t="s">
        <v>200</v>
      </c>
      <c r="M349" s="33">
        <v>0.14000000000000001</v>
      </c>
    </row>
    <row r="350" spans="1:13" x14ac:dyDescent="0.35">
      <c r="A350" s="14" t="s">
        <v>391</v>
      </c>
      <c r="B350" s="14" t="s">
        <v>377</v>
      </c>
      <c r="C350" t="s">
        <v>397</v>
      </c>
      <c r="D350" s="18">
        <v>44097</v>
      </c>
      <c r="E350" s="18">
        <v>44092</v>
      </c>
      <c r="F350" s="34">
        <v>44113</v>
      </c>
      <c r="H350" s="28" t="s">
        <v>204</v>
      </c>
      <c r="M350" s="33">
        <v>0.14000000000000001</v>
      </c>
    </row>
    <row r="351" spans="1:13" x14ac:dyDescent="0.35">
      <c r="A351" s="14" t="s">
        <v>391</v>
      </c>
      <c r="B351" s="14" t="s">
        <v>377</v>
      </c>
      <c r="C351" t="s">
        <v>397</v>
      </c>
      <c r="D351" s="18">
        <v>44097</v>
      </c>
      <c r="E351" s="18">
        <v>44092</v>
      </c>
      <c r="F351" s="34">
        <v>44113</v>
      </c>
      <c r="H351" s="28" t="s">
        <v>208</v>
      </c>
      <c r="M351" s="33">
        <v>0.14000000000000001</v>
      </c>
    </row>
    <row r="352" spans="1:13" x14ac:dyDescent="0.35">
      <c r="A352" s="14" t="s">
        <v>391</v>
      </c>
      <c r="B352" s="14" t="s">
        <v>377</v>
      </c>
      <c r="C352" t="s">
        <v>397</v>
      </c>
      <c r="D352" s="18">
        <v>44097</v>
      </c>
      <c r="E352" s="18">
        <v>44092</v>
      </c>
      <c r="F352" s="34">
        <v>44113</v>
      </c>
      <c r="H352" s="28" t="s">
        <v>210</v>
      </c>
      <c r="M352" s="33">
        <v>0.14000000000000001</v>
      </c>
    </row>
    <row r="353" spans="1:13" x14ac:dyDescent="0.35">
      <c r="A353" s="14" t="s">
        <v>391</v>
      </c>
      <c r="B353" s="14" t="s">
        <v>377</v>
      </c>
      <c r="C353" t="s">
        <v>397</v>
      </c>
      <c r="D353" s="18">
        <v>44097</v>
      </c>
      <c r="E353" s="18">
        <v>44092</v>
      </c>
      <c r="F353" s="34">
        <v>44113</v>
      </c>
      <c r="H353" s="28" t="s">
        <v>223</v>
      </c>
      <c r="M353" s="33">
        <v>0.14000000000000001</v>
      </c>
    </row>
    <row r="354" spans="1:13" x14ac:dyDescent="0.35">
      <c r="A354" s="14" t="s">
        <v>391</v>
      </c>
      <c r="B354" s="14" t="s">
        <v>377</v>
      </c>
      <c r="C354" t="s">
        <v>397</v>
      </c>
      <c r="D354" s="18">
        <v>44097</v>
      </c>
      <c r="E354" s="18">
        <v>44092</v>
      </c>
      <c r="F354" s="34">
        <v>44113</v>
      </c>
      <c r="H354" s="28" t="s">
        <v>284</v>
      </c>
      <c r="M354" s="33">
        <v>0.14000000000000001</v>
      </c>
    </row>
    <row r="355" spans="1:13" x14ac:dyDescent="0.35">
      <c r="A355" s="14" t="s">
        <v>391</v>
      </c>
      <c r="B355" s="14" t="s">
        <v>377</v>
      </c>
      <c r="C355" t="s">
        <v>397</v>
      </c>
      <c r="D355" s="18">
        <v>44097</v>
      </c>
      <c r="E355" s="18">
        <v>44092</v>
      </c>
      <c r="F355" s="34">
        <v>44113</v>
      </c>
      <c r="H355" s="28" t="s">
        <v>309</v>
      </c>
      <c r="M355" s="33">
        <v>0.14000000000000001</v>
      </c>
    </row>
    <row r="356" spans="1:13" x14ac:dyDescent="0.35">
      <c r="A356" s="14" t="s">
        <v>391</v>
      </c>
      <c r="B356" s="14" t="s">
        <v>377</v>
      </c>
      <c r="C356" t="s">
        <v>397</v>
      </c>
      <c r="D356" s="18">
        <v>44097</v>
      </c>
      <c r="E356" s="18">
        <v>44092</v>
      </c>
      <c r="F356" s="34">
        <v>44113</v>
      </c>
      <c r="H356" s="28" t="s">
        <v>313</v>
      </c>
      <c r="K356" t="s">
        <v>381</v>
      </c>
      <c r="L356">
        <v>75</v>
      </c>
      <c r="M356" s="33">
        <v>0.14000000000000001</v>
      </c>
    </row>
    <row r="357" spans="1:13" x14ac:dyDescent="0.35">
      <c r="A357" s="14" t="s">
        <v>391</v>
      </c>
      <c r="B357" s="14" t="s">
        <v>377</v>
      </c>
      <c r="C357" t="s">
        <v>397</v>
      </c>
      <c r="D357" s="18">
        <v>44097</v>
      </c>
      <c r="E357" s="18">
        <v>44092</v>
      </c>
      <c r="F357" s="34">
        <v>44113</v>
      </c>
      <c r="H357" s="28" t="s">
        <v>315</v>
      </c>
      <c r="K357" t="s">
        <v>381</v>
      </c>
      <c r="L357">
        <v>50</v>
      </c>
      <c r="M357" s="33">
        <v>0.14000000000000001</v>
      </c>
    </row>
    <row r="358" spans="1:13" x14ac:dyDescent="0.35">
      <c r="A358" s="14" t="s">
        <v>391</v>
      </c>
      <c r="B358" s="14" t="s">
        <v>377</v>
      </c>
      <c r="C358" t="s">
        <v>397</v>
      </c>
      <c r="D358" s="18">
        <v>44097</v>
      </c>
      <c r="E358" s="18">
        <v>44092</v>
      </c>
      <c r="F358" s="34">
        <v>44113</v>
      </c>
      <c r="H358" s="28" t="s">
        <v>335</v>
      </c>
      <c r="M358" s="33">
        <v>0.14000000000000001</v>
      </c>
    </row>
    <row r="359" spans="1:13" x14ac:dyDescent="0.35">
      <c r="A359" s="14" t="s">
        <v>391</v>
      </c>
      <c r="B359" s="14" t="s">
        <v>377</v>
      </c>
      <c r="C359" t="s">
        <v>394</v>
      </c>
      <c r="D359" s="18">
        <v>44106</v>
      </c>
      <c r="E359" s="18">
        <v>44103</v>
      </c>
      <c r="F359" s="34">
        <v>44135</v>
      </c>
      <c r="H359" s="28" t="s">
        <v>68</v>
      </c>
      <c r="M359" s="33">
        <v>0.25</v>
      </c>
    </row>
    <row r="360" spans="1:13" x14ac:dyDescent="0.35">
      <c r="A360" s="14" t="s">
        <v>391</v>
      </c>
      <c r="B360" s="14" t="s">
        <v>377</v>
      </c>
      <c r="C360" t="s">
        <v>394</v>
      </c>
      <c r="D360" s="18">
        <v>44106</v>
      </c>
      <c r="E360" s="18">
        <v>44103</v>
      </c>
      <c r="F360" s="34">
        <v>44135</v>
      </c>
      <c r="H360" s="28" t="s">
        <v>72</v>
      </c>
      <c r="M360" s="33">
        <v>0.25</v>
      </c>
    </row>
    <row r="361" spans="1:13" x14ac:dyDescent="0.35">
      <c r="A361" s="14" t="s">
        <v>391</v>
      </c>
      <c r="B361" s="14" t="s">
        <v>377</v>
      </c>
      <c r="C361" t="s">
        <v>394</v>
      </c>
      <c r="D361" s="18">
        <v>44106</v>
      </c>
      <c r="E361" s="18">
        <v>44103</v>
      </c>
      <c r="F361" s="34">
        <v>44135</v>
      </c>
      <c r="H361" s="28" t="s">
        <v>42</v>
      </c>
      <c r="K361" t="s">
        <v>381</v>
      </c>
      <c r="L361">
        <v>50</v>
      </c>
      <c r="M361" s="33">
        <v>0.25</v>
      </c>
    </row>
    <row r="362" spans="1:13" x14ac:dyDescent="0.35">
      <c r="A362" s="14" t="s">
        <v>391</v>
      </c>
      <c r="B362" s="14" t="s">
        <v>377</v>
      </c>
      <c r="C362" t="s">
        <v>394</v>
      </c>
      <c r="D362" s="18">
        <v>44106</v>
      </c>
      <c r="E362" s="18">
        <v>44103</v>
      </c>
      <c r="F362" s="34">
        <v>44135</v>
      </c>
      <c r="H362" s="28" t="s">
        <v>134</v>
      </c>
      <c r="K362" t="s">
        <v>381</v>
      </c>
      <c r="L362">
        <v>50</v>
      </c>
      <c r="M362" s="33">
        <v>0.25</v>
      </c>
    </row>
    <row r="363" spans="1:13" x14ac:dyDescent="0.35">
      <c r="A363" s="14" t="s">
        <v>391</v>
      </c>
      <c r="B363" s="14" t="s">
        <v>377</v>
      </c>
      <c r="C363" t="s">
        <v>394</v>
      </c>
      <c r="D363" s="18">
        <v>44106</v>
      </c>
      <c r="E363" s="18">
        <v>44103</v>
      </c>
      <c r="F363" s="34">
        <v>44135</v>
      </c>
      <c r="H363" s="28" t="s">
        <v>25</v>
      </c>
      <c r="K363" t="s">
        <v>381</v>
      </c>
      <c r="L363">
        <v>50</v>
      </c>
      <c r="M363" s="33">
        <v>0.25</v>
      </c>
    </row>
    <row r="364" spans="1:13" x14ac:dyDescent="0.35">
      <c r="A364" s="14" t="s">
        <v>391</v>
      </c>
      <c r="B364" s="14" t="s">
        <v>377</v>
      </c>
      <c r="C364" t="s">
        <v>394</v>
      </c>
      <c r="D364" s="18">
        <v>44106</v>
      </c>
      <c r="E364" s="18">
        <v>44103</v>
      </c>
      <c r="F364" s="34">
        <v>44135</v>
      </c>
      <c r="H364" s="28" t="s">
        <v>23</v>
      </c>
      <c r="K364" t="s">
        <v>380</v>
      </c>
      <c r="L364">
        <v>10</v>
      </c>
      <c r="M364" s="33">
        <v>0.25</v>
      </c>
    </row>
    <row r="365" spans="1:13" x14ac:dyDescent="0.35">
      <c r="A365" s="14" t="s">
        <v>391</v>
      </c>
      <c r="B365" s="14" t="s">
        <v>377</v>
      </c>
      <c r="C365" t="s">
        <v>394</v>
      </c>
      <c r="D365" s="18">
        <v>44106</v>
      </c>
      <c r="E365" s="18">
        <v>44103</v>
      </c>
      <c r="F365" s="34">
        <v>44135</v>
      </c>
      <c r="H365" s="28" t="s">
        <v>24</v>
      </c>
      <c r="K365" t="s">
        <v>380</v>
      </c>
      <c r="L365">
        <v>10</v>
      </c>
      <c r="M365" s="33">
        <v>0.25</v>
      </c>
    </row>
    <row r="366" spans="1:13" x14ac:dyDescent="0.35">
      <c r="A366" s="14" t="s">
        <v>391</v>
      </c>
      <c r="B366" s="14" t="s">
        <v>377</v>
      </c>
      <c r="C366" t="s">
        <v>394</v>
      </c>
      <c r="D366" s="18">
        <v>44106</v>
      </c>
      <c r="E366" s="18">
        <v>44103</v>
      </c>
      <c r="F366" s="34">
        <v>44135</v>
      </c>
      <c r="H366" s="28" t="s">
        <v>27</v>
      </c>
      <c r="K366" t="s">
        <v>380</v>
      </c>
      <c r="L366">
        <v>25</v>
      </c>
      <c r="M366" s="33">
        <v>0.25</v>
      </c>
    </row>
    <row r="367" spans="1:13" x14ac:dyDescent="0.35">
      <c r="A367" s="14" t="s">
        <v>391</v>
      </c>
      <c r="B367" s="14" t="s">
        <v>377</v>
      </c>
      <c r="C367" t="s">
        <v>394</v>
      </c>
      <c r="D367" s="18">
        <v>44106</v>
      </c>
      <c r="E367" s="18">
        <v>44103</v>
      </c>
      <c r="F367" s="34">
        <v>44135</v>
      </c>
      <c r="H367" s="28" t="s">
        <v>28</v>
      </c>
      <c r="K367" t="s">
        <v>380</v>
      </c>
      <c r="L367">
        <v>25</v>
      </c>
      <c r="M367" s="33">
        <v>0.25</v>
      </c>
    </row>
    <row r="368" spans="1:13" x14ac:dyDescent="0.35">
      <c r="A368" s="14" t="s">
        <v>391</v>
      </c>
      <c r="B368" s="14" t="s">
        <v>377</v>
      </c>
      <c r="C368" t="s">
        <v>394</v>
      </c>
      <c r="D368" s="18">
        <v>44106</v>
      </c>
      <c r="E368" s="18">
        <v>44103</v>
      </c>
      <c r="F368" s="34">
        <v>44135</v>
      </c>
      <c r="H368" s="28" t="s">
        <v>176</v>
      </c>
      <c r="M368" s="33">
        <v>0.25</v>
      </c>
    </row>
    <row r="369" spans="1:13" x14ac:dyDescent="0.35">
      <c r="A369" s="14" t="s">
        <v>391</v>
      </c>
      <c r="B369" s="14" t="s">
        <v>377</v>
      </c>
      <c r="C369" t="s">
        <v>394</v>
      </c>
      <c r="D369" s="18">
        <v>44106</v>
      </c>
      <c r="E369" s="18">
        <v>44103</v>
      </c>
      <c r="F369" s="34">
        <v>44135</v>
      </c>
      <c r="H369" s="28" t="s">
        <v>181</v>
      </c>
      <c r="K369" t="s">
        <v>381</v>
      </c>
      <c r="L369">
        <v>50</v>
      </c>
      <c r="M369" s="33">
        <v>0.25</v>
      </c>
    </row>
    <row r="370" spans="1:13" x14ac:dyDescent="0.35">
      <c r="A370" s="14" t="s">
        <v>391</v>
      </c>
      <c r="B370" s="14" t="s">
        <v>377</v>
      </c>
      <c r="C370" t="s">
        <v>394</v>
      </c>
      <c r="D370" s="18">
        <v>44106</v>
      </c>
      <c r="E370" s="18">
        <v>44103</v>
      </c>
      <c r="F370" s="34">
        <v>44135</v>
      </c>
      <c r="H370" s="28" t="s">
        <v>188</v>
      </c>
      <c r="M370" s="33">
        <v>0.25</v>
      </c>
    </row>
    <row r="371" spans="1:13" x14ac:dyDescent="0.35">
      <c r="A371" s="14" t="s">
        <v>391</v>
      </c>
      <c r="B371" s="14" t="s">
        <v>377</v>
      </c>
      <c r="C371" t="s">
        <v>394</v>
      </c>
      <c r="D371" s="18">
        <v>44106</v>
      </c>
      <c r="E371" s="18">
        <v>44103</v>
      </c>
      <c r="F371" s="34">
        <v>44135</v>
      </c>
      <c r="H371" s="28" t="s">
        <v>198</v>
      </c>
      <c r="M371" s="33">
        <v>0.25</v>
      </c>
    </row>
    <row r="372" spans="1:13" x14ac:dyDescent="0.35">
      <c r="A372" s="14" t="s">
        <v>391</v>
      </c>
      <c r="B372" s="14" t="s">
        <v>377</v>
      </c>
      <c r="C372" t="s">
        <v>394</v>
      </c>
      <c r="D372" s="18">
        <v>44106</v>
      </c>
      <c r="E372" s="18">
        <v>44103</v>
      </c>
      <c r="F372" s="34">
        <v>44135</v>
      </c>
      <c r="H372" s="28" t="s">
        <v>393</v>
      </c>
      <c r="M372" s="33">
        <v>0.25</v>
      </c>
    </row>
    <row r="373" spans="1:13" x14ac:dyDescent="0.35">
      <c r="A373" s="14" t="s">
        <v>391</v>
      </c>
      <c r="B373" s="14" t="s">
        <v>377</v>
      </c>
      <c r="C373" t="s">
        <v>394</v>
      </c>
      <c r="D373" s="18">
        <v>44106</v>
      </c>
      <c r="E373" s="18">
        <v>44103</v>
      </c>
      <c r="F373" s="34">
        <v>44135</v>
      </c>
      <c r="H373" s="28" t="s">
        <v>200</v>
      </c>
      <c r="M373" s="33">
        <v>0.25</v>
      </c>
    </row>
    <row r="374" spans="1:13" x14ac:dyDescent="0.35">
      <c r="A374" s="14" t="s">
        <v>391</v>
      </c>
      <c r="B374" s="14" t="s">
        <v>377</v>
      </c>
      <c r="C374" t="s">
        <v>394</v>
      </c>
      <c r="D374" s="18">
        <v>44106</v>
      </c>
      <c r="E374" s="18">
        <v>44103</v>
      </c>
      <c r="F374" s="34">
        <v>44135</v>
      </c>
      <c r="H374" s="28" t="s">
        <v>204</v>
      </c>
      <c r="M374" s="33">
        <v>0.25</v>
      </c>
    </row>
    <row r="375" spans="1:13" x14ac:dyDescent="0.35">
      <c r="A375" s="14" t="s">
        <v>391</v>
      </c>
      <c r="B375" s="14" t="s">
        <v>377</v>
      </c>
      <c r="C375" t="s">
        <v>394</v>
      </c>
      <c r="D375" s="18">
        <v>44106</v>
      </c>
      <c r="E375" s="18">
        <v>44103</v>
      </c>
      <c r="F375" s="34">
        <v>44135</v>
      </c>
      <c r="H375" s="28" t="s">
        <v>208</v>
      </c>
      <c r="M375" s="33">
        <v>0.25</v>
      </c>
    </row>
    <row r="376" spans="1:13" x14ac:dyDescent="0.35">
      <c r="A376" s="14" t="s">
        <v>391</v>
      </c>
      <c r="B376" s="14" t="s">
        <v>377</v>
      </c>
      <c r="C376" t="s">
        <v>394</v>
      </c>
      <c r="D376" s="18">
        <v>44106</v>
      </c>
      <c r="E376" s="18">
        <v>44103</v>
      </c>
      <c r="F376" s="34">
        <v>44135</v>
      </c>
      <c r="H376" s="28" t="s">
        <v>210</v>
      </c>
      <c r="M376" s="33">
        <v>0.25</v>
      </c>
    </row>
    <row r="377" spans="1:13" x14ac:dyDescent="0.35">
      <c r="A377" s="14" t="s">
        <v>391</v>
      </c>
      <c r="B377" s="14" t="s">
        <v>377</v>
      </c>
      <c r="C377" t="s">
        <v>394</v>
      </c>
      <c r="D377" s="18">
        <v>44106</v>
      </c>
      <c r="E377" s="18">
        <v>44103</v>
      </c>
      <c r="F377" s="34">
        <v>44135</v>
      </c>
      <c r="H377" s="28" t="s">
        <v>284</v>
      </c>
      <c r="M377" s="33">
        <v>0.25</v>
      </c>
    </row>
    <row r="378" spans="1:13" x14ac:dyDescent="0.35">
      <c r="A378" s="14" t="s">
        <v>391</v>
      </c>
      <c r="B378" s="14" t="s">
        <v>377</v>
      </c>
      <c r="C378" t="s">
        <v>394</v>
      </c>
      <c r="D378" s="18">
        <v>44106</v>
      </c>
      <c r="E378" s="18">
        <v>44103</v>
      </c>
      <c r="F378" s="34">
        <v>44135</v>
      </c>
      <c r="H378" s="28" t="s">
        <v>313</v>
      </c>
      <c r="K378" t="s">
        <v>381</v>
      </c>
      <c r="L378">
        <v>75</v>
      </c>
      <c r="M378" s="33">
        <v>0.25</v>
      </c>
    </row>
    <row r="379" spans="1:13" x14ac:dyDescent="0.35">
      <c r="A379" s="14" t="s">
        <v>391</v>
      </c>
      <c r="B379" s="14" t="s">
        <v>377</v>
      </c>
      <c r="C379" t="s">
        <v>394</v>
      </c>
      <c r="D379" s="18">
        <v>44106</v>
      </c>
      <c r="E379" s="18">
        <v>44103</v>
      </c>
      <c r="F379" s="34">
        <v>44135</v>
      </c>
      <c r="H379" s="28" t="s">
        <v>315</v>
      </c>
      <c r="K379" t="s">
        <v>381</v>
      </c>
      <c r="L379">
        <v>50</v>
      </c>
      <c r="M379" s="33">
        <v>0.25</v>
      </c>
    </row>
    <row r="380" spans="1:13" x14ac:dyDescent="0.35">
      <c r="A380" s="14" t="s">
        <v>391</v>
      </c>
      <c r="B380" s="14" t="s">
        <v>377</v>
      </c>
      <c r="C380" t="s">
        <v>394</v>
      </c>
      <c r="D380" s="18">
        <v>44106</v>
      </c>
      <c r="E380" s="18">
        <v>44103</v>
      </c>
      <c r="F380" s="34">
        <v>44135</v>
      </c>
      <c r="H380" s="28" t="s">
        <v>335</v>
      </c>
      <c r="M380" s="33">
        <v>0.25</v>
      </c>
    </row>
    <row r="381" spans="1:13" x14ac:dyDescent="0.35">
      <c r="A381" s="14" t="s">
        <v>391</v>
      </c>
      <c r="B381" s="14" t="s">
        <v>377</v>
      </c>
      <c r="C381" t="s">
        <v>394</v>
      </c>
      <c r="D381" s="18">
        <v>44106</v>
      </c>
      <c r="E381" s="18">
        <v>44103</v>
      </c>
      <c r="F381" s="34">
        <v>44135</v>
      </c>
      <c r="H381" s="28" t="s">
        <v>337</v>
      </c>
      <c r="K381" t="s">
        <v>380</v>
      </c>
      <c r="L381">
        <v>10</v>
      </c>
      <c r="M381" s="33">
        <v>0.25</v>
      </c>
    </row>
    <row r="382" spans="1:13" x14ac:dyDescent="0.35">
      <c r="A382" s="14" t="s">
        <v>391</v>
      </c>
      <c r="B382" s="14" t="s">
        <v>377</v>
      </c>
      <c r="C382" t="s">
        <v>394</v>
      </c>
      <c r="D382" s="18">
        <v>44106</v>
      </c>
      <c r="E382" s="18">
        <v>44103</v>
      </c>
      <c r="F382" s="34">
        <v>44135</v>
      </c>
      <c r="H382" s="28" t="s">
        <v>341</v>
      </c>
      <c r="M382" s="33">
        <v>0.25</v>
      </c>
    </row>
    <row r="383" spans="1:13" x14ac:dyDescent="0.35">
      <c r="A383" s="14" t="s">
        <v>391</v>
      </c>
      <c r="B383" s="14" t="s">
        <v>377</v>
      </c>
      <c r="C383" t="s">
        <v>395</v>
      </c>
      <c r="D383" s="18">
        <v>44109</v>
      </c>
      <c r="E383" s="18">
        <v>44104</v>
      </c>
      <c r="F383" s="34">
        <v>44112</v>
      </c>
      <c r="H383" s="28" t="s">
        <v>68</v>
      </c>
      <c r="M383" s="33">
        <v>0.25</v>
      </c>
    </row>
    <row r="384" spans="1:13" x14ac:dyDescent="0.35">
      <c r="A384" s="14" t="s">
        <v>391</v>
      </c>
      <c r="B384" s="14" t="s">
        <v>377</v>
      </c>
      <c r="C384" t="s">
        <v>395</v>
      </c>
      <c r="D384" s="18">
        <v>44109</v>
      </c>
      <c r="E384" s="18">
        <v>44104</v>
      </c>
      <c r="F384" s="34">
        <v>44112</v>
      </c>
      <c r="H384" s="28" t="s">
        <v>96</v>
      </c>
      <c r="M384" s="33">
        <v>0.25</v>
      </c>
    </row>
    <row r="385" spans="1:13" x14ac:dyDescent="0.35">
      <c r="A385" s="14" t="s">
        <v>391</v>
      </c>
      <c r="B385" s="14" t="s">
        <v>377</v>
      </c>
      <c r="C385" t="s">
        <v>395</v>
      </c>
      <c r="D385" s="18">
        <v>44109</v>
      </c>
      <c r="E385" s="18">
        <v>44104</v>
      </c>
      <c r="F385" s="34">
        <v>44112</v>
      </c>
      <c r="H385" s="28" t="s">
        <v>72</v>
      </c>
      <c r="M385" s="33">
        <v>0.25</v>
      </c>
    </row>
    <row r="386" spans="1:13" x14ac:dyDescent="0.35">
      <c r="A386" s="14" t="s">
        <v>391</v>
      </c>
      <c r="B386" s="14" t="s">
        <v>377</v>
      </c>
      <c r="C386" t="s">
        <v>395</v>
      </c>
      <c r="D386" s="18">
        <v>44109</v>
      </c>
      <c r="E386" s="18">
        <v>44104</v>
      </c>
      <c r="F386" s="34">
        <v>44112</v>
      </c>
      <c r="H386" s="28" t="s">
        <v>41</v>
      </c>
      <c r="K386" t="s">
        <v>381</v>
      </c>
      <c r="L386">
        <v>75</v>
      </c>
      <c r="M386" s="33">
        <v>0.25</v>
      </c>
    </row>
    <row r="387" spans="1:13" x14ac:dyDescent="0.35">
      <c r="A387" s="14" t="s">
        <v>391</v>
      </c>
      <c r="B387" s="14" t="s">
        <v>377</v>
      </c>
      <c r="C387" t="s">
        <v>395</v>
      </c>
      <c r="D387" s="18">
        <v>44109</v>
      </c>
      <c r="E387" s="18">
        <v>44104</v>
      </c>
      <c r="F387" s="34">
        <v>44112</v>
      </c>
      <c r="H387" s="28" t="s">
        <v>39</v>
      </c>
      <c r="K387" t="s">
        <v>381</v>
      </c>
      <c r="L387">
        <v>50</v>
      </c>
      <c r="M387" s="33">
        <v>0.25</v>
      </c>
    </row>
    <row r="388" spans="1:13" x14ac:dyDescent="0.35">
      <c r="A388" s="14" t="s">
        <v>391</v>
      </c>
      <c r="B388" s="14" t="s">
        <v>377</v>
      </c>
      <c r="C388" t="s">
        <v>395</v>
      </c>
      <c r="D388" s="18">
        <v>44109</v>
      </c>
      <c r="E388" s="18">
        <v>44104</v>
      </c>
      <c r="F388" s="34">
        <v>44112</v>
      </c>
      <c r="H388" s="28" t="s">
        <v>44</v>
      </c>
      <c r="M388" s="33">
        <v>0.25</v>
      </c>
    </row>
    <row r="389" spans="1:13" x14ac:dyDescent="0.35">
      <c r="A389" s="14" t="s">
        <v>391</v>
      </c>
      <c r="B389" s="14" t="s">
        <v>377</v>
      </c>
      <c r="C389" t="s">
        <v>395</v>
      </c>
      <c r="D389" s="18">
        <v>44109</v>
      </c>
      <c r="E389" s="18">
        <v>44104</v>
      </c>
      <c r="F389" s="34">
        <v>44112</v>
      </c>
      <c r="H389" s="28" t="s">
        <v>55</v>
      </c>
      <c r="M389" s="33">
        <v>0.25</v>
      </c>
    </row>
    <row r="390" spans="1:13" x14ac:dyDescent="0.35">
      <c r="A390" s="14" t="s">
        <v>391</v>
      </c>
      <c r="B390" s="14" t="s">
        <v>377</v>
      </c>
      <c r="C390" t="s">
        <v>395</v>
      </c>
      <c r="D390" s="18">
        <v>44109</v>
      </c>
      <c r="E390" s="18">
        <v>44104</v>
      </c>
      <c r="F390" s="34">
        <v>44112</v>
      </c>
      <c r="H390" s="28" t="s">
        <v>125</v>
      </c>
      <c r="M390" s="33">
        <v>0.25</v>
      </c>
    </row>
    <row r="391" spans="1:13" x14ac:dyDescent="0.35">
      <c r="A391" s="14" t="s">
        <v>391</v>
      </c>
      <c r="B391" s="14" t="s">
        <v>377</v>
      </c>
      <c r="C391" t="s">
        <v>395</v>
      </c>
      <c r="D391" s="18">
        <v>44109</v>
      </c>
      <c r="E391" s="18">
        <v>44104</v>
      </c>
      <c r="F391" s="34">
        <v>44112</v>
      </c>
      <c r="H391" s="28" t="s">
        <v>127</v>
      </c>
      <c r="M391" s="33">
        <v>0.25</v>
      </c>
    </row>
    <row r="392" spans="1:13" x14ac:dyDescent="0.35">
      <c r="A392" s="14" t="s">
        <v>391</v>
      </c>
      <c r="B392" s="14" t="s">
        <v>377</v>
      </c>
      <c r="C392" t="s">
        <v>395</v>
      </c>
      <c r="D392" s="18">
        <v>44109</v>
      </c>
      <c r="E392" s="18">
        <v>44104</v>
      </c>
      <c r="F392" s="34">
        <v>44112</v>
      </c>
      <c r="H392" s="28" t="s">
        <v>25</v>
      </c>
      <c r="K392" t="s">
        <v>381</v>
      </c>
      <c r="L392">
        <v>50</v>
      </c>
      <c r="M392" s="33">
        <v>0.25</v>
      </c>
    </row>
    <row r="393" spans="1:13" x14ac:dyDescent="0.35">
      <c r="A393" s="14" t="s">
        <v>391</v>
      </c>
      <c r="B393" s="14" t="s">
        <v>377</v>
      </c>
      <c r="C393" t="s">
        <v>395</v>
      </c>
      <c r="D393" s="18">
        <v>44109</v>
      </c>
      <c r="E393" s="18">
        <v>44104</v>
      </c>
      <c r="F393" s="34">
        <v>44112</v>
      </c>
      <c r="H393" s="28" t="s">
        <v>23</v>
      </c>
      <c r="K393" t="s">
        <v>381</v>
      </c>
      <c r="L393">
        <v>50</v>
      </c>
      <c r="M393" s="33">
        <v>0.25</v>
      </c>
    </row>
    <row r="394" spans="1:13" x14ac:dyDescent="0.35">
      <c r="A394" s="14" t="s">
        <v>391</v>
      </c>
      <c r="B394" s="14" t="s">
        <v>377</v>
      </c>
      <c r="C394" t="s">
        <v>395</v>
      </c>
      <c r="D394" s="18">
        <v>44109</v>
      </c>
      <c r="E394" s="18">
        <v>44104</v>
      </c>
      <c r="F394" s="34">
        <v>44112</v>
      </c>
      <c r="H394" s="28" t="s">
        <v>23</v>
      </c>
      <c r="K394" t="s">
        <v>380</v>
      </c>
      <c r="L394">
        <v>10</v>
      </c>
      <c r="M394" s="33">
        <v>0.25</v>
      </c>
    </row>
    <row r="395" spans="1:13" x14ac:dyDescent="0.35">
      <c r="A395" s="14" t="s">
        <v>391</v>
      </c>
      <c r="B395" s="14" t="s">
        <v>377</v>
      </c>
      <c r="C395" t="s">
        <v>395</v>
      </c>
      <c r="D395" s="18">
        <v>44109</v>
      </c>
      <c r="E395" s="18">
        <v>44104</v>
      </c>
      <c r="F395" s="34">
        <v>44112</v>
      </c>
      <c r="H395" s="28" t="s">
        <v>24</v>
      </c>
      <c r="K395" t="s">
        <v>381</v>
      </c>
      <c r="L395">
        <v>50</v>
      </c>
      <c r="M395" s="33">
        <v>0.25</v>
      </c>
    </row>
    <row r="396" spans="1:13" x14ac:dyDescent="0.35">
      <c r="A396" s="14" t="s">
        <v>391</v>
      </c>
      <c r="B396" s="14" t="s">
        <v>377</v>
      </c>
      <c r="C396" t="s">
        <v>395</v>
      </c>
      <c r="D396" s="18">
        <v>44109</v>
      </c>
      <c r="E396" s="18">
        <v>44104</v>
      </c>
      <c r="F396" s="34">
        <v>44112</v>
      </c>
      <c r="H396" s="28" t="s">
        <v>24</v>
      </c>
      <c r="K396" t="s">
        <v>380</v>
      </c>
      <c r="L396">
        <v>10</v>
      </c>
      <c r="M396" s="33">
        <v>0.25</v>
      </c>
    </row>
    <row r="397" spans="1:13" x14ac:dyDescent="0.35">
      <c r="A397" s="14" t="s">
        <v>391</v>
      </c>
      <c r="B397" s="14" t="s">
        <v>377</v>
      </c>
      <c r="C397" t="s">
        <v>395</v>
      </c>
      <c r="D397" s="18">
        <v>44109</v>
      </c>
      <c r="E397" s="18">
        <v>44104</v>
      </c>
      <c r="F397" s="34">
        <v>44112</v>
      </c>
      <c r="H397" s="28" t="s">
        <v>27</v>
      </c>
      <c r="K397" t="s">
        <v>381</v>
      </c>
      <c r="L397">
        <v>50</v>
      </c>
      <c r="M397" s="33">
        <v>0.25</v>
      </c>
    </row>
    <row r="398" spans="1:13" x14ac:dyDescent="0.35">
      <c r="A398" s="14" t="s">
        <v>391</v>
      </c>
      <c r="B398" s="14" t="s">
        <v>377</v>
      </c>
      <c r="C398" t="s">
        <v>395</v>
      </c>
      <c r="D398" s="18">
        <v>44109</v>
      </c>
      <c r="E398" s="18">
        <v>44104</v>
      </c>
      <c r="F398" s="34">
        <v>44112</v>
      </c>
      <c r="H398" s="28" t="s">
        <v>27</v>
      </c>
      <c r="K398" t="s">
        <v>380</v>
      </c>
      <c r="L398">
        <v>25</v>
      </c>
      <c r="M398" s="33">
        <v>0.25</v>
      </c>
    </row>
    <row r="399" spans="1:13" x14ac:dyDescent="0.35">
      <c r="A399" s="14" t="s">
        <v>391</v>
      </c>
      <c r="B399" s="14" t="s">
        <v>377</v>
      </c>
      <c r="C399" t="s">
        <v>395</v>
      </c>
      <c r="D399" s="18">
        <v>44109</v>
      </c>
      <c r="E399" s="18">
        <v>44104</v>
      </c>
      <c r="F399" s="34">
        <v>44112</v>
      </c>
      <c r="H399" s="28" t="s">
        <v>28</v>
      </c>
      <c r="K399" t="s">
        <v>381</v>
      </c>
      <c r="L399">
        <v>50</v>
      </c>
      <c r="M399" s="33">
        <v>0.25</v>
      </c>
    </row>
    <row r="400" spans="1:13" x14ac:dyDescent="0.35">
      <c r="A400" s="14" t="s">
        <v>391</v>
      </c>
      <c r="B400" s="14" t="s">
        <v>377</v>
      </c>
      <c r="C400" t="s">
        <v>395</v>
      </c>
      <c r="D400" s="18">
        <v>44109</v>
      </c>
      <c r="E400" s="18">
        <v>44104</v>
      </c>
      <c r="F400" s="34">
        <v>44112</v>
      </c>
      <c r="H400" s="28" t="s">
        <v>28</v>
      </c>
      <c r="K400" t="s">
        <v>380</v>
      </c>
      <c r="L400">
        <v>25</v>
      </c>
      <c r="M400" s="33">
        <v>0.25</v>
      </c>
    </row>
    <row r="401" spans="1:13" x14ac:dyDescent="0.35">
      <c r="A401" s="14" t="s">
        <v>391</v>
      </c>
      <c r="B401" s="14" t="s">
        <v>377</v>
      </c>
      <c r="C401" t="s">
        <v>395</v>
      </c>
      <c r="D401" s="18">
        <v>44109</v>
      </c>
      <c r="E401" s="18">
        <v>44104</v>
      </c>
      <c r="F401" s="34">
        <v>44112</v>
      </c>
      <c r="H401" s="28" t="s">
        <v>176</v>
      </c>
      <c r="M401" s="33">
        <v>0.25</v>
      </c>
    </row>
    <row r="402" spans="1:13" x14ac:dyDescent="0.35">
      <c r="A402" s="14" t="s">
        <v>391</v>
      </c>
      <c r="B402" s="14" t="s">
        <v>377</v>
      </c>
      <c r="C402" t="s">
        <v>395</v>
      </c>
      <c r="D402" s="18">
        <v>44109</v>
      </c>
      <c r="E402" s="18">
        <v>44104</v>
      </c>
      <c r="F402" s="34">
        <v>44112</v>
      </c>
      <c r="H402" s="28" t="s">
        <v>29</v>
      </c>
      <c r="K402" t="s">
        <v>381</v>
      </c>
      <c r="L402">
        <v>50</v>
      </c>
      <c r="M402" s="33">
        <v>0.25</v>
      </c>
    </row>
    <row r="403" spans="1:13" x14ac:dyDescent="0.35">
      <c r="A403" s="14" t="s">
        <v>391</v>
      </c>
      <c r="B403" s="14" t="s">
        <v>377</v>
      </c>
      <c r="C403" t="s">
        <v>395</v>
      </c>
      <c r="D403" s="18">
        <v>44109</v>
      </c>
      <c r="E403" s="18">
        <v>44104</v>
      </c>
      <c r="F403" s="34">
        <v>44112</v>
      </c>
      <c r="H403" s="28" t="s">
        <v>198</v>
      </c>
      <c r="M403" s="33">
        <v>0.25</v>
      </c>
    </row>
    <row r="404" spans="1:13" x14ac:dyDescent="0.35">
      <c r="A404" s="14" t="s">
        <v>391</v>
      </c>
      <c r="B404" s="14" t="s">
        <v>377</v>
      </c>
      <c r="C404" t="s">
        <v>395</v>
      </c>
      <c r="D404" s="18">
        <v>44109</v>
      </c>
      <c r="E404" s="18">
        <v>44104</v>
      </c>
      <c r="F404" s="34">
        <v>44112</v>
      </c>
      <c r="H404" s="28" t="s">
        <v>393</v>
      </c>
      <c r="M404" s="33">
        <v>0.25</v>
      </c>
    </row>
    <row r="405" spans="1:13" x14ac:dyDescent="0.35">
      <c r="A405" s="14" t="s">
        <v>391</v>
      </c>
      <c r="B405" s="14" t="s">
        <v>377</v>
      </c>
      <c r="C405" t="s">
        <v>395</v>
      </c>
      <c r="D405" s="18">
        <v>44109</v>
      </c>
      <c r="E405" s="18">
        <v>44104</v>
      </c>
      <c r="F405" s="34">
        <v>44112</v>
      </c>
      <c r="H405" s="28" t="s">
        <v>204</v>
      </c>
      <c r="M405" s="33">
        <v>0.25</v>
      </c>
    </row>
    <row r="406" spans="1:13" x14ac:dyDescent="0.35">
      <c r="A406" s="14" t="s">
        <v>391</v>
      </c>
      <c r="B406" s="14" t="s">
        <v>377</v>
      </c>
      <c r="C406" t="s">
        <v>395</v>
      </c>
      <c r="D406" s="18">
        <v>44109</v>
      </c>
      <c r="E406" s="18">
        <v>44104</v>
      </c>
      <c r="F406" s="34">
        <v>44112</v>
      </c>
      <c r="H406" s="28" t="s">
        <v>210</v>
      </c>
      <c r="M406" s="33">
        <v>0.25</v>
      </c>
    </row>
    <row r="407" spans="1:13" x14ac:dyDescent="0.35">
      <c r="A407" s="14" t="s">
        <v>391</v>
      </c>
      <c r="B407" s="14" t="s">
        <v>377</v>
      </c>
      <c r="C407" t="s">
        <v>395</v>
      </c>
      <c r="D407" s="18">
        <v>44109</v>
      </c>
      <c r="E407" s="18">
        <v>44104</v>
      </c>
      <c r="F407" s="34">
        <v>44112</v>
      </c>
      <c r="H407" s="28" t="s">
        <v>223</v>
      </c>
      <c r="M407" s="33">
        <v>0.25</v>
      </c>
    </row>
    <row r="408" spans="1:13" x14ac:dyDescent="0.35">
      <c r="A408" s="14" t="s">
        <v>391</v>
      </c>
      <c r="B408" s="14" t="s">
        <v>377</v>
      </c>
      <c r="C408" t="s">
        <v>395</v>
      </c>
      <c r="D408" s="18">
        <v>44109</v>
      </c>
      <c r="E408" s="18">
        <v>44104</v>
      </c>
      <c r="F408" s="34">
        <v>44112</v>
      </c>
      <c r="H408" s="28" t="s">
        <v>284</v>
      </c>
      <c r="M408" s="33">
        <v>0.25</v>
      </c>
    </row>
    <row r="409" spans="1:13" x14ac:dyDescent="0.35">
      <c r="A409" s="14" t="s">
        <v>391</v>
      </c>
      <c r="B409" s="14" t="s">
        <v>377</v>
      </c>
      <c r="C409" t="s">
        <v>395</v>
      </c>
      <c r="D409" s="18">
        <v>44109</v>
      </c>
      <c r="E409" s="18">
        <v>44104</v>
      </c>
      <c r="F409" s="34">
        <v>44112</v>
      </c>
      <c r="H409" s="28" t="s">
        <v>313</v>
      </c>
      <c r="K409" t="s">
        <v>381</v>
      </c>
      <c r="L409">
        <v>75</v>
      </c>
      <c r="M409" s="33">
        <v>0.25</v>
      </c>
    </row>
    <row r="410" spans="1:13" x14ac:dyDescent="0.35">
      <c r="A410" s="14" t="s">
        <v>391</v>
      </c>
      <c r="B410" s="14" t="s">
        <v>377</v>
      </c>
      <c r="C410" t="s">
        <v>395</v>
      </c>
      <c r="D410" s="18">
        <v>44109</v>
      </c>
      <c r="E410" s="18">
        <v>44104</v>
      </c>
      <c r="F410" s="34">
        <v>44112</v>
      </c>
      <c r="H410" s="28" t="s">
        <v>315</v>
      </c>
      <c r="K410" t="s">
        <v>381</v>
      </c>
      <c r="L410">
        <v>50</v>
      </c>
      <c r="M410" s="33">
        <v>0.25</v>
      </c>
    </row>
    <row r="411" spans="1:13" x14ac:dyDescent="0.35">
      <c r="A411" s="14" t="s">
        <v>391</v>
      </c>
      <c r="B411" s="14" t="s">
        <v>377</v>
      </c>
      <c r="C411" t="s">
        <v>395</v>
      </c>
      <c r="D411" s="18">
        <v>44109</v>
      </c>
      <c r="E411" s="18">
        <v>44104</v>
      </c>
      <c r="F411" s="34">
        <v>44112</v>
      </c>
      <c r="H411" s="28" t="s">
        <v>32</v>
      </c>
      <c r="K411" t="s">
        <v>380</v>
      </c>
      <c r="L411">
        <v>10</v>
      </c>
      <c r="M411" s="33">
        <v>0.25</v>
      </c>
    </row>
    <row r="412" spans="1:13" x14ac:dyDescent="0.35">
      <c r="A412" s="14" t="s">
        <v>391</v>
      </c>
      <c r="B412" s="14" t="s">
        <v>377</v>
      </c>
      <c r="C412" t="s">
        <v>395</v>
      </c>
      <c r="D412" s="18">
        <v>44109</v>
      </c>
      <c r="E412" s="18">
        <v>44104</v>
      </c>
      <c r="F412" s="34">
        <v>44112</v>
      </c>
      <c r="H412" s="28" t="s">
        <v>335</v>
      </c>
      <c r="M412" s="33">
        <v>0.25</v>
      </c>
    </row>
    <row r="413" spans="1:13" x14ac:dyDescent="0.35">
      <c r="A413" s="26" t="s">
        <v>391</v>
      </c>
      <c r="B413" s="26" t="s">
        <v>377</v>
      </c>
      <c r="C413" s="35" t="s">
        <v>392</v>
      </c>
      <c r="D413" s="18">
        <v>44109</v>
      </c>
      <c r="E413" s="18">
        <v>44103</v>
      </c>
      <c r="F413" s="34">
        <v>44124</v>
      </c>
      <c r="H413" s="28" t="s">
        <v>68</v>
      </c>
      <c r="M413" s="33">
        <v>0.28999999999999998</v>
      </c>
    </row>
    <row r="414" spans="1:13" x14ac:dyDescent="0.35">
      <c r="A414" s="26" t="s">
        <v>391</v>
      </c>
      <c r="B414" s="26" t="s">
        <v>377</v>
      </c>
      <c r="C414" s="35" t="s">
        <v>392</v>
      </c>
      <c r="D414" s="18">
        <v>44109</v>
      </c>
      <c r="E414" s="18">
        <v>44103</v>
      </c>
      <c r="F414" s="34">
        <v>44124</v>
      </c>
      <c r="H414" s="28" t="s">
        <v>72</v>
      </c>
      <c r="M414" s="33">
        <v>0.28999999999999998</v>
      </c>
    </row>
    <row r="415" spans="1:13" x14ac:dyDescent="0.35">
      <c r="A415" s="26" t="s">
        <v>391</v>
      </c>
      <c r="B415" s="26" t="s">
        <v>377</v>
      </c>
      <c r="C415" s="35" t="s">
        <v>392</v>
      </c>
      <c r="D415" s="18">
        <v>44109</v>
      </c>
      <c r="E415" s="18">
        <v>44103</v>
      </c>
      <c r="F415" s="34">
        <v>44124</v>
      </c>
      <c r="H415" s="28" t="s">
        <v>42</v>
      </c>
      <c r="K415" t="s">
        <v>381</v>
      </c>
      <c r="L415">
        <v>50</v>
      </c>
      <c r="M415" s="33">
        <v>0.28999999999999998</v>
      </c>
    </row>
    <row r="416" spans="1:13" x14ac:dyDescent="0.35">
      <c r="A416" s="26" t="s">
        <v>391</v>
      </c>
      <c r="B416" s="26" t="s">
        <v>377</v>
      </c>
      <c r="C416" s="35" t="s">
        <v>392</v>
      </c>
      <c r="D416" s="18">
        <v>44109</v>
      </c>
      <c r="E416" s="18">
        <v>44103</v>
      </c>
      <c r="F416" s="34">
        <v>44124</v>
      </c>
      <c r="H416" s="28" t="s">
        <v>134</v>
      </c>
      <c r="K416" t="s">
        <v>381</v>
      </c>
      <c r="L416">
        <v>50</v>
      </c>
      <c r="M416" s="33">
        <v>0.28999999999999998</v>
      </c>
    </row>
    <row r="417" spans="1:13" x14ac:dyDescent="0.35">
      <c r="A417" s="26" t="s">
        <v>391</v>
      </c>
      <c r="B417" s="26" t="s">
        <v>377</v>
      </c>
      <c r="C417" s="35" t="s">
        <v>392</v>
      </c>
      <c r="D417" s="18">
        <v>44109</v>
      </c>
      <c r="E417" s="18">
        <v>44103</v>
      </c>
      <c r="F417" s="34">
        <v>44124</v>
      </c>
      <c r="H417" s="28" t="s">
        <v>25</v>
      </c>
      <c r="K417" t="s">
        <v>381</v>
      </c>
      <c r="L417">
        <v>50</v>
      </c>
      <c r="M417" s="33">
        <v>0.28999999999999998</v>
      </c>
    </row>
    <row r="418" spans="1:13" x14ac:dyDescent="0.35">
      <c r="A418" s="26" t="s">
        <v>391</v>
      </c>
      <c r="B418" s="26" t="s">
        <v>377</v>
      </c>
      <c r="C418" s="35" t="s">
        <v>392</v>
      </c>
      <c r="D418" s="18">
        <v>44109</v>
      </c>
      <c r="E418" s="18">
        <v>44103</v>
      </c>
      <c r="F418" s="34">
        <v>44124</v>
      </c>
      <c r="H418" s="28" t="s">
        <v>23</v>
      </c>
      <c r="K418" t="s">
        <v>380</v>
      </c>
      <c r="L418">
        <v>10</v>
      </c>
      <c r="M418" s="33">
        <v>0.28999999999999998</v>
      </c>
    </row>
    <row r="419" spans="1:13" x14ac:dyDescent="0.35">
      <c r="A419" s="26" t="s">
        <v>391</v>
      </c>
      <c r="B419" s="26" t="s">
        <v>377</v>
      </c>
      <c r="C419" s="35" t="s">
        <v>392</v>
      </c>
      <c r="D419" s="18">
        <v>44109</v>
      </c>
      <c r="E419" s="18">
        <v>44103</v>
      </c>
      <c r="F419" s="34">
        <v>44124</v>
      </c>
      <c r="H419" s="28" t="s">
        <v>24</v>
      </c>
      <c r="K419" t="s">
        <v>380</v>
      </c>
      <c r="L419">
        <v>10</v>
      </c>
      <c r="M419" s="33">
        <v>0.28999999999999998</v>
      </c>
    </row>
    <row r="420" spans="1:13" x14ac:dyDescent="0.35">
      <c r="A420" s="26" t="s">
        <v>391</v>
      </c>
      <c r="B420" s="26" t="s">
        <v>377</v>
      </c>
      <c r="C420" s="35" t="s">
        <v>392</v>
      </c>
      <c r="D420" s="18">
        <v>44109</v>
      </c>
      <c r="E420" s="18">
        <v>44103</v>
      </c>
      <c r="F420" s="34">
        <v>44124</v>
      </c>
      <c r="H420" s="28" t="s">
        <v>27</v>
      </c>
      <c r="K420" t="s">
        <v>380</v>
      </c>
      <c r="L420">
        <v>25</v>
      </c>
      <c r="M420" s="33">
        <v>0.28999999999999998</v>
      </c>
    </row>
    <row r="421" spans="1:13" x14ac:dyDescent="0.35">
      <c r="A421" s="26" t="s">
        <v>391</v>
      </c>
      <c r="B421" s="26" t="s">
        <v>377</v>
      </c>
      <c r="C421" s="35" t="s">
        <v>392</v>
      </c>
      <c r="D421" s="18">
        <v>44109</v>
      </c>
      <c r="E421" s="18">
        <v>44103</v>
      </c>
      <c r="F421" s="34">
        <v>44124</v>
      </c>
      <c r="H421" s="28" t="s">
        <v>28</v>
      </c>
      <c r="K421" t="s">
        <v>380</v>
      </c>
      <c r="L421">
        <v>25</v>
      </c>
      <c r="M421" s="33">
        <v>0.28999999999999998</v>
      </c>
    </row>
    <row r="422" spans="1:13" x14ac:dyDescent="0.35">
      <c r="A422" s="26" t="s">
        <v>391</v>
      </c>
      <c r="B422" s="26" t="s">
        <v>377</v>
      </c>
      <c r="C422" s="35" t="s">
        <v>392</v>
      </c>
      <c r="D422" s="18">
        <v>44109</v>
      </c>
      <c r="E422" s="18">
        <v>44103</v>
      </c>
      <c r="F422" s="34">
        <v>44124</v>
      </c>
      <c r="H422" s="28" t="s">
        <v>176</v>
      </c>
      <c r="M422" s="33">
        <v>0.28999999999999998</v>
      </c>
    </row>
    <row r="423" spans="1:13" x14ac:dyDescent="0.35">
      <c r="A423" s="26" t="s">
        <v>391</v>
      </c>
      <c r="B423" s="26" t="s">
        <v>377</v>
      </c>
      <c r="C423" s="35" t="s">
        <v>392</v>
      </c>
      <c r="D423" s="18">
        <v>44109</v>
      </c>
      <c r="E423" s="18">
        <v>44103</v>
      </c>
      <c r="F423" s="34">
        <v>44124</v>
      </c>
      <c r="H423" s="28" t="s">
        <v>181</v>
      </c>
      <c r="K423" t="s">
        <v>381</v>
      </c>
      <c r="L423">
        <v>50</v>
      </c>
      <c r="M423" s="33">
        <v>0.28999999999999998</v>
      </c>
    </row>
    <row r="424" spans="1:13" x14ac:dyDescent="0.35">
      <c r="A424" s="26" t="s">
        <v>391</v>
      </c>
      <c r="B424" s="26" t="s">
        <v>377</v>
      </c>
      <c r="C424" s="35" t="s">
        <v>392</v>
      </c>
      <c r="D424" s="18">
        <v>44109</v>
      </c>
      <c r="E424" s="18">
        <v>44103</v>
      </c>
      <c r="F424" s="34">
        <v>44124</v>
      </c>
      <c r="H424" s="28" t="s">
        <v>188</v>
      </c>
      <c r="M424" s="33">
        <v>0.28999999999999998</v>
      </c>
    </row>
    <row r="425" spans="1:13" x14ac:dyDescent="0.35">
      <c r="A425" s="26" t="s">
        <v>391</v>
      </c>
      <c r="B425" s="26" t="s">
        <v>377</v>
      </c>
      <c r="C425" s="35" t="s">
        <v>392</v>
      </c>
      <c r="D425" s="18">
        <v>44109</v>
      </c>
      <c r="E425" s="18">
        <v>44103</v>
      </c>
      <c r="F425" s="34">
        <v>44124</v>
      </c>
      <c r="H425" s="28" t="s">
        <v>198</v>
      </c>
      <c r="M425" s="33">
        <v>0.28999999999999998</v>
      </c>
    </row>
    <row r="426" spans="1:13" x14ac:dyDescent="0.35">
      <c r="A426" s="26" t="s">
        <v>391</v>
      </c>
      <c r="B426" s="26" t="s">
        <v>377</v>
      </c>
      <c r="C426" s="35" t="s">
        <v>392</v>
      </c>
      <c r="D426" s="18">
        <v>44109</v>
      </c>
      <c r="E426" s="18">
        <v>44103</v>
      </c>
      <c r="F426" s="34">
        <v>44124</v>
      </c>
      <c r="H426" s="28" t="s">
        <v>393</v>
      </c>
      <c r="M426" s="33">
        <v>0.28999999999999998</v>
      </c>
    </row>
    <row r="427" spans="1:13" x14ac:dyDescent="0.35">
      <c r="A427" s="26" t="s">
        <v>391</v>
      </c>
      <c r="B427" s="26" t="s">
        <v>377</v>
      </c>
      <c r="C427" s="35" t="s">
        <v>392</v>
      </c>
      <c r="D427" s="18">
        <v>44109</v>
      </c>
      <c r="E427" s="18">
        <v>44103</v>
      </c>
      <c r="F427" s="34">
        <v>44124</v>
      </c>
      <c r="H427" s="28" t="s">
        <v>200</v>
      </c>
      <c r="M427" s="33">
        <v>0.28999999999999998</v>
      </c>
    </row>
    <row r="428" spans="1:13" x14ac:dyDescent="0.35">
      <c r="A428" s="26" t="s">
        <v>391</v>
      </c>
      <c r="B428" s="26" t="s">
        <v>377</v>
      </c>
      <c r="C428" s="35" t="s">
        <v>392</v>
      </c>
      <c r="D428" s="18">
        <v>44109</v>
      </c>
      <c r="E428" s="18">
        <v>44103</v>
      </c>
      <c r="F428" s="34">
        <v>44124</v>
      </c>
      <c r="H428" s="28" t="s">
        <v>204</v>
      </c>
      <c r="M428" s="33">
        <v>0.28999999999999998</v>
      </c>
    </row>
    <row r="429" spans="1:13" x14ac:dyDescent="0.35">
      <c r="A429" s="26" t="s">
        <v>391</v>
      </c>
      <c r="B429" s="26" t="s">
        <v>377</v>
      </c>
      <c r="C429" s="35" t="s">
        <v>392</v>
      </c>
      <c r="D429" s="18">
        <v>44109</v>
      </c>
      <c r="E429" s="18">
        <v>44103</v>
      </c>
      <c r="F429" s="34">
        <v>44124</v>
      </c>
      <c r="H429" s="28" t="s">
        <v>208</v>
      </c>
      <c r="M429" s="33">
        <v>0.28999999999999998</v>
      </c>
    </row>
    <row r="430" spans="1:13" x14ac:dyDescent="0.35">
      <c r="A430" s="26" t="s">
        <v>391</v>
      </c>
      <c r="B430" s="26" t="s">
        <v>377</v>
      </c>
      <c r="C430" s="35" t="s">
        <v>392</v>
      </c>
      <c r="D430" s="18">
        <v>44109</v>
      </c>
      <c r="E430" s="18">
        <v>44103</v>
      </c>
      <c r="F430" s="34">
        <v>44124</v>
      </c>
      <c r="H430" s="28" t="s">
        <v>210</v>
      </c>
      <c r="M430" s="33">
        <v>0.28999999999999998</v>
      </c>
    </row>
    <row r="431" spans="1:13" x14ac:dyDescent="0.35">
      <c r="A431" s="26" t="s">
        <v>391</v>
      </c>
      <c r="B431" s="26" t="s">
        <v>377</v>
      </c>
      <c r="C431" s="35" t="s">
        <v>392</v>
      </c>
      <c r="D431" s="18">
        <v>44109</v>
      </c>
      <c r="E431" s="18">
        <v>44103</v>
      </c>
      <c r="F431" s="34">
        <v>44124</v>
      </c>
      <c r="H431" s="28" t="s">
        <v>284</v>
      </c>
      <c r="M431" s="33">
        <v>0.28999999999999998</v>
      </c>
    </row>
    <row r="432" spans="1:13" x14ac:dyDescent="0.35">
      <c r="A432" s="26" t="s">
        <v>391</v>
      </c>
      <c r="B432" s="26" t="s">
        <v>377</v>
      </c>
      <c r="C432" s="35" t="s">
        <v>392</v>
      </c>
      <c r="D432" s="18">
        <v>44109</v>
      </c>
      <c r="E432" s="18">
        <v>44103</v>
      </c>
      <c r="F432" s="34">
        <v>44124</v>
      </c>
      <c r="H432" s="28" t="s">
        <v>309</v>
      </c>
      <c r="M432" s="33">
        <v>0.28999999999999998</v>
      </c>
    </row>
    <row r="433" spans="1:13" x14ac:dyDescent="0.35">
      <c r="A433" s="26" t="s">
        <v>391</v>
      </c>
      <c r="B433" s="26" t="s">
        <v>377</v>
      </c>
      <c r="C433" s="35" t="s">
        <v>392</v>
      </c>
      <c r="D433" s="18">
        <v>44109</v>
      </c>
      <c r="E433" s="18">
        <v>44103</v>
      </c>
      <c r="F433" s="34">
        <v>44124</v>
      </c>
      <c r="H433" s="28" t="s">
        <v>313</v>
      </c>
      <c r="K433" t="s">
        <v>381</v>
      </c>
      <c r="L433">
        <v>75</v>
      </c>
      <c r="M433" s="33">
        <v>0.28999999999999998</v>
      </c>
    </row>
    <row r="434" spans="1:13" x14ac:dyDescent="0.35">
      <c r="A434" s="26" t="s">
        <v>391</v>
      </c>
      <c r="B434" s="26" t="s">
        <v>377</v>
      </c>
      <c r="C434" s="35" t="s">
        <v>392</v>
      </c>
      <c r="D434" s="18">
        <v>44109</v>
      </c>
      <c r="E434" s="18">
        <v>44103</v>
      </c>
      <c r="F434" s="34">
        <v>44124</v>
      </c>
      <c r="H434" s="28" t="s">
        <v>315</v>
      </c>
      <c r="K434" t="s">
        <v>381</v>
      </c>
      <c r="L434">
        <v>50</v>
      </c>
      <c r="M434" s="33">
        <v>0.28999999999999998</v>
      </c>
    </row>
    <row r="435" spans="1:13" x14ac:dyDescent="0.35">
      <c r="A435" s="26" t="s">
        <v>391</v>
      </c>
      <c r="B435" s="26" t="s">
        <v>377</v>
      </c>
      <c r="C435" s="35" t="s">
        <v>392</v>
      </c>
      <c r="D435" s="18">
        <v>44109</v>
      </c>
      <c r="E435" s="18">
        <v>44103</v>
      </c>
      <c r="F435" s="34">
        <v>44124</v>
      </c>
      <c r="H435" s="28" t="s">
        <v>335</v>
      </c>
      <c r="M435" s="33">
        <v>0.28999999999999998</v>
      </c>
    </row>
    <row r="436" spans="1:13" x14ac:dyDescent="0.35">
      <c r="A436" s="26" t="s">
        <v>391</v>
      </c>
      <c r="B436" s="26" t="s">
        <v>377</v>
      </c>
      <c r="C436" s="35" t="s">
        <v>392</v>
      </c>
      <c r="D436" s="18">
        <v>44109</v>
      </c>
      <c r="E436" s="18">
        <v>44103</v>
      </c>
      <c r="F436" s="34">
        <v>44124</v>
      </c>
      <c r="H436" s="28" t="s">
        <v>337</v>
      </c>
      <c r="K436" t="s">
        <v>380</v>
      </c>
      <c r="L436">
        <v>10</v>
      </c>
      <c r="M436" s="33">
        <v>0.28999999999999998</v>
      </c>
    </row>
    <row r="437" spans="1:13" x14ac:dyDescent="0.35">
      <c r="A437" s="26" t="s">
        <v>391</v>
      </c>
      <c r="B437" s="26" t="s">
        <v>377</v>
      </c>
      <c r="C437" s="35" t="s">
        <v>392</v>
      </c>
      <c r="D437" s="18">
        <v>44109</v>
      </c>
      <c r="E437" s="18">
        <v>44103</v>
      </c>
      <c r="F437" s="34">
        <v>44124</v>
      </c>
      <c r="H437" s="28" t="s">
        <v>341</v>
      </c>
      <c r="M437" s="33">
        <v>0.28999999999999998</v>
      </c>
    </row>
    <row r="438" spans="1:13" x14ac:dyDescent="0.35">
      <c r="A438" s="14" t="s">
        <v>391</v>
      </c>
      <c r="B438" s="14" t="s">
        <v>377</v>
      </c>
      <c r="C438" t="s">
        <v>397</v>
      </c>
      <c r="D438" s="18">
        <v>44113</v>
      </c>
      <c r="E438" s="18">
        <v>44105</v>
      </c>
      <c r="F438" s="34">
        <v>44119</v>
      </c>
      <c r="H438" s="28" t="s">
        <v>96</v>
      </c>
      <c r="M438" s="33">
        <v>0.18</v>
      </c>
    </row>
    <row r="439" spans="1:13" x14ac:dyDescent="0.35">
      <c r="A439" s="14" t="s">
        <v>391</v>
      </c>
      <c r="B439" s="14" t="s">
        <v>377</v>
      </c>
      <c r="C439" t="s">
        <v>397</v>
      </c>
      <c r="D439" s="18">
        <v>44113</v>
      </c>
      <c r="E439" s="18">
        <v>44105</v>
      </c>
      <c r="F439" s="34">
        <v>44119</v>
      </c>
      <c r="H439" s="28" t="s">
        <v>72</v>
      </c>
      <c r="M439" s="33">
        <v>0.18</v>
      </c>
    </row>
    <row r="440" spans="1:13" x14ac:dyDescent="0.35">
      <c r="A440" s="14" t="s">
        <v>391</v>
      </c>
      <c r="B440" s="14" t="s">
        <v>377</v>
      </c>
      <c r="C440" t="s">
        <v>397</v>
      </c>
      <c r="D440" s="18">
        <v>44113</v>
      </c>
      <c r="E440" s="18">
        <v>44105</v>
      </c>
      <c r="F440" s="34">
        <v>44119</v>
      </c>
      <c r="H440" s="28" t="s">
        <v>79</v>
      </c>
      <c r="M440" s="33">
        <v>0.18</v>
      </c>
    </row>
    <row r="441" spans="1:13" x14ac:dyDescent="0.35">
      <c r="A441" s="14" t="s">
        <v>391</v>
      </c>
      <c r="B441" s="14" t="s">
        <v>377</v>
      </c>
      <c r="C441" t="s">
        <v>397</v>
      </c>
      <c r="D441" s="18">
        <v>44113</v>
      </c>
      <c r="E441" s="18">
        <v>44105</v>
      </c>
      <c r="F441" s="34">
        <v>44119</v>
      </c>
      <c r="H441" s="28" t="s">
        <v>41</v>
      </c>
      <c r="K441" t="s">
        <v>381</v>
      </c>
      <c r="L441">
        <v>75</v>
      </c>
      <c r="M441" s="33">
        <v>0.18</v>
      </c>
    </row>
    <row r="442" spans="1:13" x14ac:dyDescent="0.35">
      <c r="A442" s="14" t="s">
        <v>391</v>
      </c>
      <c r="B442" s="14" t="s">
        <v>377</v>
      </c>
      <c r="C442" t="s">
        <v>397</v>
      </c>
      <c r="D442" s="18">
        <v>44113</v>
      </c>
      <c r="E442" s="18">
        <v>44105</v>
      </c>
      <c r="F442" s="34">
        <v>44119</v>
      </c>
      <c r="H442" s="28" t="s">
        <v>111</v>
      </c>
      <c r="K442" t="s">
        <v>381</v>
      </c>
      <c r="L442">
        <v>50</v>
      </c>
      <c r="M442" s="33">
        <v>0.18</v>
      </c>
    </row>
    <row r="443" spans="1:13" x14ac:dyDescent="0.35">
      <c r="A443" s="14" t="s">
        <v>391</v>
      </c>
      <c r="B443" s="14" t="s">
        <v>377</v>
      </c>
      <c r="C443" t="s">
        <v>397</v>
      </c>
      <c r="D443" s="18">
        <v>44113</v>
      </c>
      <c r="E443" s="18">
        <v>44105</v>
      </c>
      <c r="F443" s="34">
        <v>44119</v>
      </c>
      <c r="H443" s="28" t="s">
        <v>150</v>
      </c>
      <c r="M443" s="33">
        <v>0.18</v>
      </c>
    </row>
    <row r="444" spans="1:13" x14ac:dyDescent="0.35">
      <c r="A444" s="14" t="s">
        <v>391</v>
      </c>
      <c r="B444" s="14" t="s">
        <v>377</v>
      </c>
      <c r="C444" t="s">
        <v>397</v>
      </c>
      <c r="D444" s="18">
        <v>44113</v>
      </c>
      <c r="E444" s="18">
        <v>44105</v>
      </c>
      <c r="F444" s="34">
        <v>44119</v>
      </c>
      <c r="H444" s="28" t="s">
        <v>125</v>
      </c>
      <c r="M444" s="33">
        <v>0.18</v>
      </c>
    </row>
    <row r="445" spans="1:13" x14ac:dyDescent="0.35">
      <c r="A445" s="14" t="s">
        <v>391</v>
      </c>
      <c r="B445" s="14" t="s">
        <v>377</v>
      </c>
      <c r="C445" t="s">
        <v>397</v>
      </c>
      <c r="D445" s="18">
        <v>44113</v>
      </c>
      <c r="E445" s="18">
        <v>44105</v>
      </c>
      <c r="F445" s="34">
        <v>44119</v>
      </c>
      <c r="H445" s="28" t="s">
        <v>127</v>
      </c>
      <c r="M445" s="33">
        <v>0.18</v>
      </c>
    </row>
    <row r="446" spans="1:13" x14ac:dyDescent="0.35">
      <c r="A446" s="14" t="s">
        <v>391</v>
      </c>
      <c r="B446" s="14" t="s">
        <v>377</v>
      </c>
      <c r="C446" t="s">
        <v>397</v>
      </c>
      <c r="D446" s="18">
        <v>44113</v>
      </c>
      <c r="E446" s="18">
        <v>44105</v>
      </c>
      <c r="F446" s="34">
        <v>44119</v>
      </c>
      <c r="H446" s="28" t="s">
        <v>25</v>
      </c>
      <c r="K446" t="s">
        <v>381</v>
      </c>
      <c r="L446">
        <v>50</v>
      </c>
      <c r="M446" s="33">
        <v>0.18</v>
      </c>
    </row>
    <row r="447" spans="1:13" x14ac:dyDescent="0.35">
      <c r="A447" s="14" t="s">
        <v>391</v>
      </c>
      <c r="B447" s="14" t="s">
        <v>377</v>
      </c>
      <c r="C447" t="s">
        <v>397</v>
      </c>
      <c r="D447" s="18">
        <v>44113</v>
      </c>
      <c r="E447" s="18">
        <v>44105</v>
      </c>
      <c r="F447" s="34">
        <v>44119</v>
      </c>
      <c r="H447" s="28" t="s">
        <v>23</v>
      </c>
      <c r="K447" t="s">
        <v>380</v>
      </c>
      <c r="L447">
        <v>10</v>
      </c>
      <c r="M447" s="33">
        <v>0.18</v>
      </c>
    </row>
    <row r="448" spans="1:13" x14ac:dyDescent="0.35">
      <c r="A448" s="14" t="s">
        <v>391</v>
      </c>
      <c r="B448" s="14" t="s">
        <v>377</v>
      </c>
      <c r="C448" t="s">
        <v>397</v>
      </c>
      <c r="D448" s="18">
        <v>44113</v>
      </c>
      <c r="E448" s="18">
        <v>44105</v>
      </c>
      <c r="F448" s="34">
        <v>44119</v>
      </c>
      <c r="H448" s="28" t="s">
        <v>24</v>
      </c>
      <c r="K448" t="s">
        <v>380</v>
      </c>
      <c r="L448">
        <v>10</v>
      </c>
      <c r="M448" s="33">
        <v>0.18</v>
      </c>
    </row>
    <row r="449" spans="1:13" x14ac:dyDescent="0.35">
      <c r="A449" s="14" t="s">
        <v>391</v>
      </c>
      <c r="B449" s="14" t="s">
        <v>377</v>
      </c>
      <c r="C449" t="s">
        <v>397</v>
      </c>
      <c r="D449" s="18">
        <v>44113</v>
      </c>
      <c r="E449" s="18">
        <v>44105</v>
      </c>
      <c r="F449" s="34">
        <v>44119</v>
      </c>
      <c r="H449" s="28" t="s">
        <v>27</v>
      </c>
      <c r="K449" t="s">
        <v>380</v>
      </c>
      <c r="L449">
        <v>25</v>
      </c>
      <c r="M449" s="33">
        <v>0.18</v>
      </c>
    </row>
    <row r="450" spans="1:13" x14ac:dyDescent="0.35">
      <c r="A450" s="14" t="s">
        <v>391</v>
      </c>
      <c r="B450" s="14" t="s">
        <v>377</v>
      </c>
      <c r="C450" t="s">
        <v>397</v>
      </c>
      <c r="D450" s="18">
        <v>44113</v>
      </c>
      <c r="E450" s="18">
        <v>44105</v>
      </c>
      <c r="F450" s="34">
        <v>44119</v>
      </c>
      <c r="H450" s="28" t="s">
        <v>28</v>
      </c>
      <c r="K450" t="s">
        <v>380</v>
      </c>
      <c r="L450">
        <v>25</v>
      </c>
      <c r="M450" s="33">
        <v>0.18</v>
      </c>
    </row>
    <row r="451" spans="1:13" x14ac:dyDescent="0.35">
      <c r="A451" s="14" t="s">
        <v>391</v>
      </c>
      <c r="B451" s="14" t="s">
        <v>377</v>
      </c>
      <c r="C451" t="s">
        <v>397</v>
      </c>
      <c r="D451" s="18">
        <v>44113</v>
      </c>
      <c r="E451" s="18">
        <v>44105</v>
      </c>
      <c r="F451" s="34">
        <v>44119</v>
      </c>
      <c r="H451" s="28" t="s">
        <v>176</v>
      </c>
      <c r="M451" s="33">
        <v>0.18</v>
      </c>
    </row>
    <row r="452" spans="1:13" x14ac:dyDescent="0.35">
      <c r="A452" s="14" t="s">
        <v>391</v>
      </c>
      <c r="B452" s="14" t="s">
        <v>377</v>
      </c>
      <c r="C452" t="s">
        <v>397</v>
      </c>
      <c r="D452" s="18">
        <v>44113</v>
      </c>
      <c r="E452" s="18">
        <v>44105</v>
      </c>
      <c r="F452" s="34">
        <v>44119</v>
      </c>
      <c r="H452" s="28" t="s">
        <v>181</v>
      </c>
      <c r="K452" t="s">
        <v>381</v>
      </c>
      <c r="L452">
        <v>50</v>
      </c>
      <c r="M452" s="33">
        <v>0.18</v>
      </c>
    </row>
    <row r="453" spans="1:13" x14ac:dyDescent="0.35">
      <c r="A453" s="14" t="s">
        <v>391</v>
      </c>
      <c r="B453" s="14" t="s">
        <v>377</v>
      </c>
      <c r="C453" t="s">
        <v>397</v>
      </c>
      <c r="D453" s="18">
        <v>44113</v>
      </c>
      <c r="E453" s="18">
        <v>44105</v>
      </c>
      <c r="F453" s="34">
        <v>44119</v>
      </c>
      <c r="H453" s="28" t="s">
        <v>188</v>
      </c>
      <c r="M453" s="33">
        <v>0.18</v>
      </c>
    </row>
    <row r="454" spans="1:13" x14ac:dyDescent="0.35">
      <c r="A454" s="14" t="s">
        <v>391</v>
      </c>
      <c r="B454" s="14" t="s">
        <v>377</v>
      </c>
      <c r="C454" t="s">
        <v>397</v>
      </c>
      <c r="D454" s="18">
        <v>44113</v>
      </c>
      <c r="E454" s="18">
        <v>44105</v>
      </c>
      <c r="F454" s="34">
        <v>44119</v>
      </c>
      <c r="H454" s="28" t="s">
        <v>393</v>
      </c>
      <c r="M454" s="33">
        <v>0.18</v>
      </c>
    </row>
    <row r="455" spans="1:13" x14ac:dyDescent="0.35">
      <c r="A455" s="14" t="s">
        <v>391</v>
      </c>
      <c r="B455" s="14" t="s">
        <v>377</v>
      </c>
      <c r="C455" t="s">
        <v>397</v>
      </c>
      <c r="D455" s="18">
        <v>44113</v>
      </c>
      <c r="E455" s="18">
        <v>44105</v>
      </c>
      <c r="F455" s="34">
        <v>44119</v>
      </c>
      <c r="H455" s="28" t="s">
        <v>200</v>
      </c>
      <c r="M455" s="33">
        <v>0.18</v>
      </c>
    </row>
    <row r="456" spans="1:13" x14ac:dyDescent="0.35">
      <c r="A456" s="14" t="s">
        <v>391</v>
      </c>
      <c r="B456" s="14" t="s">
        <v>377</v>
      </c>
      <c r="C456" t="s">
        <v>397</v>
      </c>
      <c r="D456" s="18">
        <v>44113</v>
      </c>
      <c r="E456" s="18">
        <v>44105</v>
      </c>
      <c r="F456" s="34">
        <v>44119</v>
      </c>
      <c r="H456" s="28" t="s">
        <v>204</v>
      </c>
      <c r="M456" s="33">
        <v>0.18</v>
      </c>
    </row>
    <row r="457" spans="1:13" x14ac:dyDescent="0.35">
      <c r="A457" s="14" t="s">
        <v>391</v>
      </c>
      <c r="B457" s="14" t="s">
        <v>377</v>
      </c>
      <c r="C457" t="s">
        <v>397</v>
      </c>
      <c r="D457" s="18">
        <v>44113</v>
      </c>
      <c r="E457" s="18">
        <v>44105</v>
      </c>
      <c r="F457" s="34">
        <v>44119</v>
      </c>
      <c r="H457" s="28" t="s">
        <v>208</v>
      </c>
      <c r="M457" s="33">
        <v>0.18</v>
      </c>
    </row>
    <row r="458" spans="1:13" x14ac:dyDescent="0.35">
      <c r="A458" s="14" t="s">
        <v>391</v>
      </c>
      <c r="B458" s="14" t="s">
        <v>377</v>
      </c>
      <c r="C458" t="s">
        <v>397</v>
      </c>
      <c r="D458" s="18">
        <v>44113</v>
      </c>
      <c r="E458" s="18">
        <v>44105</v>
      </c>
      <c r="F458" s="34">
        <v>44119</v>
      </c>
      <c r="H458" s="28" t="s">
        <v>210</v>
      </c>
      <c r="M458" s="33">
        <v>0.18</v>
      </c>
    </row>
    <row r="459" spans="1:13" x14ac:dyDescent="0.35">
      <c r="A459" s="14" t="s">
        <v>391</v>
      </c>
      <c r="B459" s="14" t="s">
        <v>377</v>
      </c>
      <c r="C459" t="s">
        <v>397</v>
      </c>
      <c r="D459" s="18">
        <v>44113</v>
      </c>
      <c r="E459" s="18">
        <v>44105</v>
      </c>
      <c r="F459" s="34">
        <v>44119</v>
      </c>
      <c r="H459" s="28" t="s">
        <v>223</v>
      </c>
      <c r="M459" s="33">
        <v>0.18</v>
      </c>
    </row>
    <row r="460" spans="1:13" x14ac:dyDescent="0.35">
      <c r="A460" s="14" t="s">
        <v>391</v>
      </c>
      <c r="B460" s="14" t="s">
        <v>377</v>
      </c>
      <c r="C460" t="s">
        <v>397</v>
      </c>
      <c r="D460" s="18">
        <v>44113</v>
      </c>
      <c r="E460" s="18">
        <v>44105</v>
      </c>
      <c r="F460" s="34">
        <v>44119</v>
      </c>
      <c r="H460" s="28" t="s">
        <v>284</v>
      </c>
      <c r="M460" s="33">
        <v>0.18</v>
      </c>
    </row>
    <row r="461" spans="1:13" x14ac:dyDescent="0.35">
      <c r="A461" s="14" t="s">
        <v>391</v>
      </c>
      <c r="B461" s="14" t="s">
        <v>377</v>
      </c>
      <c r="C461" t="s">
        <v>397</v>
      </c>
      <c r="D461" s="18">
        <v>44113</v>
      </c>
      <c r="E461" s="18">
        <v>44105</v>
      </c>
      <c r="F461" s="34">
        <v>44119</v>
      </c>
      <c r="H461" s="28" t="s">
        <v>309</v>
      </c>
      <c r="M461" s="33">
        <v>0.18</v>
      </c>
    </row>
    <row r="462" spans="1:13" x14ac:dyDescent="0.35">
      <c r="A462" s="14" t="s">
        <v>391</v>
      </c>
      <c r="B462" s="14" t="s">
        <v>377</v>
      </c>
      <c r="C462" t="s">
        <v>397</v>
      </c>
      <c r="D462" s="18">
        <v>44113</v>
      </c>
      <c r="E462" s="18">
        <v>44105</v>
      </c>
      <c r="F462" s="34">
        <v>44119</v>
      </c>
      <c r="H462" s="28" t="s">
        <v>313</v>
      </c>
      <c r="K462" t="s">
        <v>381</v>
      </c>
      <c r="L462">
        <v>75</v>
      </c>
      <c r="M462" s="33">
        <v>0.18</v>
      </c>
    </row>
    <row r="463" spans="1:13" x14ac:dyDescent="0.35">
      <c r="A463" s="14" t="s">
        <v>391</v>
      </c>
      <c r="B463" s="14" t="s">
        <v>377</v>
      </c>
      <c r="C463" t="s">
        <v>397</v>
      </c>
      <c r="D463" s="18">
        <v>44113</v>
      </c>
      <c r="E463" s="18">
        <v>44105</v>
      </c>
      <c r="F463" s="34">
        <v>44119</v>
      </c>
      <c r="H463" s="28" t="s">
        <v>315</v>
      </c>
      <c r="K463" t="s">
        <v>381</v>
      </c>
      <c r="L463">
        <v>50</v>
      </c>
      <c r="M463" s="33">
        <v>0.18</v>
      </c>
    </row>
    <row r="464" spans="1:13" x14ac:dyDescent="0.35">
      <c r="A464" s="14" t="s">
        <v>391</v>
      </c>
      <c r="B464" s="14" t="s">
        <v>377</v>
      </c>
      <c r="C464" t="s">
        <v>397</v>
      </c>
      <c r="D464" s="18">
        <v>44113</v>
      </c>
      <c r="E464" s="18">
        <v>44105</v>
      </c>
      <c r="F464" s="34">
        <v>44119</v>
      </c>
      <c r="H464" s="28" t="s">
        <v>335</v>
      </c>
      <c r="M464" s="33">
        <v>0.18</v>
      </c>
    </row>
    <row r="465" spans="1:13" x14ac:dyDescent="0.35">
      <c r="A465" s="14" t="s">
        <v>391</v>
      </c>
      <c r="B465" s="14" t="s">
        <v>377</v>
      </c>
      <c r="C465" t="s">
        <v>395</v>
      </c>
      <c r="D465" s="18">
        <v>44118</v>
      </c>
      <c r="E465" s="18">
        <v>44112</v>
      </c>
      <c r="F465" s="34">
        <v>44146</v>
      </c>
      <c r="H465" s="28" t="s">
        <v>68</v>
      </c>
      <c r="M465" s="33">
        <v>0.6</v>
      </c>
    </row>
    <row r="466" spans="1:13" x14ac:dyDescent="0.35">
      <c r="A466" s="14" t="s">
        <v>391</v>
      </c>
      <c r="B466" s="14" t="s">
        <v>377</v>
      </c>
      <c r="C466" t="s">
        <v>395</v>
      </c>
      <c r="D466" s="18">
        <v>44118</v>
      </c>
      <c r="E466" s="18">
        <v>44112</v>
      </c>
      <c r="F466" s="34">
        <v>44146</v>
      </c>
      <c r="H466" s="28" t="s">
        <v>96</v>
      </c>
      <c r="M466" s="33">
        <v>0.6</v>
      </c>
    </row>
    <row r="467" spans="1:13" x14ac:dyDescent="0.35">
      <c r="A467" s="14" t="s">
        <v>391</v>
      </c>
      <c r="B467" s="14" t="s">
        <v>377</v>
      </c>
      <c r="C467" t="s">
        <v>395</v>
      </c>
      <c r="D467" s="18">
        <v>44118</v>
      </c>
      <c r="E467" s="18">
        <v>44112</v>
      </c>
      <c r="F467" s="34">
        <v>44146</v>
      </c>
      <c r="H467" s="28" t="s">
        <v>96</v>
      </c>
      <c r="M467" s="33">
        <v>0.6</v>
      </c>
    </row>
    <row r="468" spans="1:13" x14ac:dyDescent="0.35">
      <c r="A468" s="14" t="s">
        <v>391</v>
      </c>
      <c r="B468" s="14" t="s">
        <v>377</v>
      </c>
      <c r="C468" t="s">
        <v>395</v>
      </c>
      <c r="D468" s="18">
        <v>44118</v>
      </c>
      <c r="E468" s="18">
        <v>44112</v>
      </c>
      <c r="F468" s="34">
        <v>44146</v>
      </c>
      <c r="H468" s="28" t="s">
        <v>72</v>
      </c>
      <c r="M468" s="33">
        <v>0.6</v>
      </c>
    </row>
    <row r="469" spans="1:13" x14ac:dyDescent="0.35">
      <c r="A469" s="14" t="s">
        <v>391</v>
      </c>
      <c r="B469" s="14" t="s">
        <v>377</v>
      </c>
      <c r="C469" t="s">
        <v>395</v>
      </c>
      <c r="D469" s="18">
        <v>44118</v>
      </c>
      <c r="E469" s="18">
        <v>44112</v>
      </c>
      <c r="F469" s="34">
        <v>44146</v>
      </c>
      <c r="H469" s="28" t="s">
        <v>72</v>
      </c>
      <c r="M469" s="33">
        <v>0.6</v>
      </c>
    </row>
    <row r="470" spans="1:13" x14ac:dyDescent="0.35">
      <c r="A470" s="14" t="s">
        <v>391</v>
      </c>
      <c r="B470" s="14" t="s">
        <v>377</v>
      </c>
      <c r="C470" t="s">
        <v>395</v>
      </c>
      <c r="D470" s="18">
        <v>44118</v>
      </c>
      <c r="E470" s="18">
        <v>44112</v>
      </c>
      <c r="F470" s="34">
        <v>44146</v>
      </c>
      <c r="H470" s="28" t="s">
        <v>41</v>
      </c>
      <c r="K470" t="s">
        <v>381</v>
      </c>
      <c r="L470">
        <v>75</v>
      </c>
      <c r="M470" s="33">
        <v>0.6</v>
      </c>
    </row>
    <row r="471" spans="1:13" x14ac:dyDescent="0.35">
      <c r="A471" s="14" t="s">
        <v>391</v>
      </c>
      <c r="B471" s="14" t="s">
        <v>377</v>
      </c>
      <c r="C471" t="s">
        <v>395</v>
      </c>
      <c r="D471" s="18">
        <v>44118</v>
      </c>
      <c r="E471" s="18">
        <v>44112</v>
      </c>
      <c r="F471" s="34">
        <v>44146</v>
      </c>
      <c r="H471" s="28" t="s">
        <v>39</v>
      </c>
      <c r="K471" t="s">
        <v>381</v>
      </c>
      <c r="L471">
        <v>50</v>
      </c>
      <c r="M471" s="33">
        <v>0.6</v>
      </c>
    </row>
    <row r="472" spans="1:13" x14ac:dyDescent="0.35">
      <c r="A472" s="14" t="s">
        <v>391</v>
      </c>
      <c r="B472" s="14" t="s">
        <v>377</v>
      </c>
      <c r="C472" t="s">
        <v>395</v>
      </c>
      <c r="D472" s="18">
        <v>44118</v>
      </c>
      <c r="E472" s="18">
        <v>44112</v>
      </c>
      <c r="F472" s="34">
        <v>44146</v>
      </c>
      <c r="H472" s="28" t="s">
        <v>44</v>
      </c>
      <c r="M472" s="33">
        <v>0.6</v>
      </c>
    </row>
    <row r="473" spans="1:13" x14ac:dyDescent="0.35">
      <c r="A473" s="14" t="s">
        <v>391</v>
      </c>
      <c r="B473" s="14" t="s">
        <v>377</v>
      </c>
      <c r="C473" t="s">
        <v>395</v>
      </c>
      <c r="D473" s="18">
        <v>44118</v>
      </c>
      <c r="E473" s="18">
        <v>44112</v>
      </c>
      <c r="F473" s="34">
        <v>44146</v>
      </c>
      <c r="H473" s="28" t="s">
        <v>55</v>
      </c>
      <c r="M473" s="33">
        <v>0.6</v>
      </c>
    </row>
    <row r="474" spans="1:13" x14ac:dyDescent="0.35">
      <c r="A474" s="14" t="s">
        <v>391</v>
      </c>
      <c r="B474" s="14" t="s">
        <v>377</v>
      </c>
      <c r="C474" t="s">
        <v>395</v>
      </c>
      <c r="D474" s="18">
        <v>44118</v>
      </c>
      <c r="E474" s="18">
        <v>44112</v>
      </c>
      <c r="F474" s="34">
        <v>44146</v>
      </c>
      <c r="H474" s="28" t="s">
        <v>55</v>
      </c>
      <c r="M474" s="33">
        <v>0.6</v>
      </c>
    </row>
    <row r="475" spans="1:13" x14ac:dyDescent="0.35">
      <c r="A475" s="14" t="s">
        <v>391</v>
      </c>
      <c r="B475" s="14" t="s">
        <v>377</v>
      </c>
      <c r="C475" t="s">
        <v>395</v>
      </c>
      <c r="D475" s="18">
        <v>44118</v>
      </c>
      <c r="E475" s="18">
        <v>44112</v>
      </c>
      <c r="F475" s="34">
        <v>44146</v>
      </c>
      <c r="H475" s="28" t="s">
        <v>125</v>
      </c>
      <c r="M475" s="33">
        <v>0.6</v>
      </c>
    </row>
    <row r="476" spans="1:13" x14ac:dyDescent="0.35">
      <c r="A476" s="14" t="s">
        <v>391</v>
      </c>
      <c r="B476" s="14" t="s">
        <v>377</v>
      </c>
      <c r="C476" t="s">
        <v>395</v>
      </c>
      <c r="D476" s="18">
        <v>44118</v>
      </c>
      <c r="E476" s="18">
        <v>44112</v>
      </c>
      <c r="F476" s="34">
        <v>44146</v>
      </c>
      <c r="H476" s="28" t="s">
        <v>127</v>
      </c>
      <c r="M476" s="33">
        <v>0.6</v>
      </c>
    </row>
    <row r="477" spans="1:13" x14ac:dyDescent="0.35">
      <c r="A477" s="14" t="s">
        <v>391</v>
      </c>
      <c r="B477" s="14" t="s">
        <v>377</v>
      </c>
      <c r="C477" t="s">
        <v>395</v>
      </c>
      <c r="D477" s="18">
        <v>44118</v>
      </c>
      <c r="E477" s="18">
        <v>44112</v>
      </c>
      <c r="F477" s="34">
        <v>44146</v>
      </c>
      <c r="H477" s="28" t="s">
        <v>25</v>
      </c>
      <c r="K477" t="s">
        <v>381</v>
      </c>
      <c r="L477">
        <v>50</v>
      </c>
      <c r="M477" s="33">
        <v>0.6</v>
      </c>
    </row>
    <row r="478" spans="1:13" x14ac:dyDescent="0.35">
      <c r="A478" s="14" t="s">
        <v>391</v>
      </c>
      <c r="B478" s="14" t="s">
        <v>377</v>
      </c>
      <c r="C478" t="s">
        <v>395</v>
      </c>
      <c r="D478" s="18">
        <v>44118</v>
      </c>
      <c r="E478" s="18">
        <v>44112</v>
      </c>
      <c r="F478" s="34">
        <v>44146</v>
      </c>
      <c r="H478" s="28" t="s">
        <v>23</v>
      </c>
      <c r="K478" t="s">
        <v>381</v>
      </c>
      <c r="L478">
        <v>50</v>
      </c>
      <c r="M478" s="33">
        <v>0.6</v>
      </c>
    </row>
    <row r="479" spans="1:13" x14ac:dyDescent="0.35">
      <c r="A479" s="14" t="s">
        <v>391</v>
      </c>
      <c r="B479" s="14" t="s">
        <v>377</v>
      </c>
      <c r="C479" t="s">
        <v>395</v>
      </c>
      <c r="D479" s="18">
        <v>44118</v>
      </c>
      <c r="E479" s="18">
        <v>44112</v>
      </c>
      <c r="F479" s="34">
        <v>44146</v>
      </c>
      <c r="H479" s="28" t="s">
        <v>23</v>
      </c>
      <c r="K479" t="s">
        <v>380</v>
      </c>
      <c r="L479">
        <v>10</v>
      </c>
      <c r="M479" s="33">
        <v>0.6</v>
      </c>
    </row>
    <row r="480" spans="1:13" x14ac:dyDescent="0.35">
      <c r="A480" s="14" t="s">
        <v>391</v>
      </c>
      <c r="B480" s="14" t="s">
        <v>377</v>
      </c>
      <c r="C480" t="s">
        <v>395</v>
      </c>
      <c r="D480" s="18">
        <v>44118</v>
      </c>
      <c r="E480" s="18">
        <v>44112</v>
      </c>
      <c r="F480" s="34">
        <v>44146</v>
      </c>
      <c r="H480" s="28" t="s">
        <v>24</v>
      </c>
      <c r="K480" t="s">
        <v>381</v>
      </c>
      <c r="L480">
        <v>50</v>
      </c>
      <c r="M480" s="33">
        <v>0.6</v>
      </c>
    </row>
    <row r="481" spans="1:13" x14ac:dyDescent="0.35">
      <c r="A481" s="14" t="s">
        <v>391</v>
      </c>
      <c r="B481" s="14" t="s">
        <v>377</v>
      </c>
      <c r="C481" t="s">
        <v>395</v>
      </c>
      <c r="D481" s="18">
        <v>44118</v>
      </c>
      <c r="E481" s="18">
        <v>44112</v>
      </c>
      <c r="F481" s="34">
        <v>44146</v>
      </c>
      <c r="H481" s="28" t="s">
        <v>24</v>
      </c>
      <c r="K481" t="s">
        <v>380</v>
      </c>
      <c r="L481">
        <v>10</v>
      </c>
      <c r="M481" s="33">
        <v>0.6</v>
      </c>
    </row>
    <row r="482" spans="1:13" x14ac:dyDescent="0.35">
      <c r="A482" s="14" t="s">
        <v>391</v>
      </c>
      <c r="B482" s="14" t="s">
        <v>377</v>
      </c>
      <c r="C482" t="s">
        <v>395</v>
      </c>
      <c r="D482" s="18">
        <v>44118</v>
      </c>
      <c r="E482" s="18">
        <v>44112</v>
      </c>
      <c r="F482" s="34">
        <v>44146</v>
      </c>
      <c r="H482" s="28" t="s">
        <v>27</v>
      </c>
      <c r="K482" t="s">
        <v>381</v>
      </c>
      <c r="L482">
        <v>50</v>
      </c>
      <c r="M482" s="33">
        <v>0.6</v>
      </c>
    </row>
    <row r="483" spans="1:13" x14ac:dyDescent="0.35">
      <c r="A483" s="14" t="s">
        <v>391</v>
      </c>
      <c r="B483" s="14" t="s">
        <v>377</v>
      </c>
      <c r="C483" t="s">
        <v>395</v>
      </c>
      <c r="D483" s="18">
        <v>44118</v>
      </c>
      <c r="E483" s="18">
        <v>44112</v>
      </c>
      <c r="F483" s="34">
        <v>44146</v>
      </c>
      <c r="H483" s="28" t="s">
        <v>27</v>
      </c>
      <c r="K483" t="s">
        <v>380</v>
      </c>
      <c r="L483">
        <v>25</v>
      </c>
      <c r="M483" s="33">
        <v>0.6</v>
      </c>
    </row>
    <row r="484" spans="1:13" x14ac:dyDescent="0.35">
      <c r="A484" s="14" t="s">
        <v>391</v>
      </c>
      <c r="B484" s="14" t="s">
        <v>377</v>
      </c>
      <c r="C484" t="s">
        <v>395</v>
      </c>
      <c r="D484" s="18">
        <v>44118</v>
      </c>
      <c r="E484" s="18">
        <v>44112</v>
      </c>
      <c r="F484" s="34">
        <v>44146</v>
      </c>
      <c r="H484" s="28" t="s">
        <v>28</v>
      </c>
      <c r="K484" t="s">
        <v>381</v>
      </c>
      <c r="L484">
        <v>50</v>
      </c>
      <c r="M484" s="33">
        <v>0.6</v>
      </c>
    </row>
    <row r="485" spans="1:13" x14ac:dyDescent="0.35">
      <c r="A485" s="14" t="s">
        <v>391</v>
      </c>
      <c r="B485" s="14" t="s">
        <v>377</v>
      </c>
      <c r="C485" t="s">
        <v>395</v>
      </c>
      <c r="D485" s="18">
        <v>44118</v>
      </c>
      <c r="E485" s="18">
        <v>44112</v>
      </c>
      <c r="F485" s="34">
        <v>44146</v>
      </c>
      <c r="H485" s="28" t="s">
        <v>28</v>
      </c>
      <c r="K485" t="s">
        <v>380</v>
      </c>
      <c r="L485">
        <v>25</v>
      </c>
      <c r="M485" s="33">
        <v>0.6</v>
      </c>
    </row>
    <row r="486" spans="1:13" x14ac:dyDescent="0.35">
      <c r="A486" s="14" t="s">
        <v>391</v>
      </c>
      <c r="B486" s="14" t="s">
        <v>377</v>
      </c>
      <c r="C486" t="s">
        <v>395</v>
      </c>
      <c r="D486" s="18">
        <v>44118</v>
      </c>
      <c r="E486" s="18">
        <v>44112</v>
      </c>
      <c r="F486" s="34">
        <v>44146</v>
      </c>
      <c r="H486" s="28" t="s">
        <v>176</v>
      </c>
      <c r="M486" s="33">
        <v>0.6</v>
      </c>
    </row>
    <row r="487" spans="1:13" x14ac:dyDescent="0.35">
      <c r="A487" s="14" t="s">
        <v>391</v>
      </c>
      <c r="B487" s="14" t="s">
        <v>377</v>
      </c>
      <c r="C487" t="s">
        <v>395</v>
      </c>
      <c r="D487" s="18">
        <v>44118</v>
      </c>
      <c r="E487" s="18">
        <v>44112</v>
      </c>
      <c r="F487" s="34">
        <v>44146</v>
      </c>
      <c r="H487" s="28" t="s">
        <v>176</v>
      </c>
      <c r="M487" s="33">
        <v>0.6</v>
      </c>
    </row>
    <row r="488" spans="1:13" x14ac:dyDescent="0.35">
      <c r="A488" s="14" t="s">
        <v>391</v>
      </c>
      <c r="B488" s="14" t="s">
        <v>377</v>
      </c>
      <c r="C488" t="s">
        <v>395</v>
      </c>
      <c r="D488" s="18">
        <v>44118</v>
      </c>
      <c r="E488" s="18">
        <v>44112</v>
      </c>
      <c r="F488" s="34">
        <v>44146</v>
      </c>
      <c r="H488" s="28" t="s">
        <v>29</v>
      </c>
      <c r="K488" t="s">
        <v>381</v>
      </c>
      <c r="L488">
        <v>50</v>
      </c>
      <c r="M488" s="33">
        <v>0.6</v>
      </c>
    </row>
    <row r="489" spans="1:13" x14ac:dyDescent="0.35">
      <c r="A489" s="14" t="s">
        <v>391</v>
      </c>
      <c r="B489" s="14" t="s">
        <v>377</v>
      </c>
      <c r="C489" t="s">
        <v>395</v>
      </c>
      <c r="D489" s="18">
        <v>44118</v>
      </c>
      <c r="E489" s="18">
        <v>44112</v>
      </c>
      <c r="F489" s="34">
        <v>44146</v>
      </c>
      <c r="H489" s="28" t="s">
        <v>29</v>
      </c>
      <c r="M489" s="33">
        <v>0.6</v>
      </c>
    </row>
    <row r="490" spans="1:13" x14ac:dyDescent="0.35">
      <c r="A490" s="14" t="s">
        <v>391</v>
      </c>
      <c r="B490" s="14" t="s">
        <v>377</v>
      </c>
      <c r="C490" t="s">
        <v>395</v>
      </c>
      <c r="D490" s="18">
        <v>44118</v>
      </c>
      <c r="E490" s="18">
        <v>44112</v>
      </c>
      <c r="F490" s="34">
        <v>44146</v>
      </c>
      <c r="H490" s="28" t="s">
        <v>198</v>
      </c>
      <c r="M490" s="33">
        <v>0.6</v>
      </c>
    </row>
    <row r="491" spans="1:13" x14ac:dyDescent="0.35">
      <c r="A491" s="14" t="s">
        <v>391</v>
      </c>
      <c r="B491" s="14" t="s">
        <v>377</v>
      </c>
      <c r="C491" t="s">
        <v>395</v>
      </c>
      <c r="D491" s="18">
        <v>44118</v>
      </c>
      <c r="E491" s="18">
        <v>44112</v>
      </c>
      <c r="F491" s="34">
        <v>44146</v>
      </c>
      <c r="H491" s="28" t="s">
        <v>393</v>
      </c>
      <c r="M491" s="33">
        <v>0.6</v>
      </c>
    </row>
    <row r="492" spans="1:13" x14ac:dyDescent="0.35">
      <c r="A492" s="14" t="s">
        <v>391</v>
      </c>
      <c r="B492" s="14" t="s">
        <v>377</v>
      </c>
      <c r="C492" t="s">
        <v>395</v>
      </c>
      <c r="D492" s="18">
        <v>44118</v>
      </c>
      <c r="E492" s="18">
        <v>44112</v>
      </c>
      <c r="F492" s="34">
        <v>44146</v>
      </c>
      <c r="H492" s="28" t="s">
        <v>204</v>
      </c>
      <c r="M492" s="33">
        <v>0.6</v>
      </c>
    </row>
    <row r="493" spans="1:13" x14ac:dyDescent="0.35">
      <c r="A493" s="14" t="s">
        <v>391</v>
      </c>
      <c r="B493" s="14" t="s">
        <v>377</v>
      </c>
      <c r="C493" t="s">
        <v>395</v>
      </c>
      <c r="D493" s="18">
        <v>44118</v>
      </c>
      <c r="E493" s="18">
        <v>44112</v>
      </c>
      <c r="F493" s="34">
        <v>44146</v>
      </c>
      <c r="H493" s="28" t="s">
        <v>210</v>
      </c>
      <c r="M493" s="33">
        <v>0.6</v>
      </c>
    </row>
    <row r="494" spans="1:13" x14ac:dyDescent="0.35">
      <c r="A494" s="14" t="s">
        <v>391</v>
      </c>
      <c r="B494" s="14" t="s">
        <v>377</v>
      </c>
      <c r="C494" t="s">
        <v>395</v>
      </c>
      <c r="D494" s="18">
        <v>44118</v>
      </c>
      <c r="E494" s="18">
        <v>44112</v>
      </c>
      <c r="F494" s="34">
        <v>44146</v>
      </c>
      <c r="H494" s="28" t="s">
        <v>223</v>
      </c>
      <c r="M494" s="33">
        <v>0.6</v>
      </c>
    </row>
    <row r="495" spans="1:13" x14ac:dyDescent="0.35">
      <c r="A495" s="14" t="s">
        <v>391</v>
      </c>
      <c r="B495" s="14" t="s">
        <v>377</v>
      </c>
      <c r="C495" t="s">
        <v>395</v>
      </c>
      <c r="D495" s="18">
        <v>44118</v>
      </c>
      <c r="E495" s="18">
        <v>44112</v>
      </c>
      <c r="F495" s="34">
        <v>44146</v>
      </c>
      <c r="H495" s="28" t="s">
        <v>284</v>
      </c>
      <c r="M495" s="33">
        <v>0.6</v>
      </c>
    </row>
    <row r="496" spans="1:13" x14ac:dyDescent="0.35">
      <c r="A496" s="14" t="s">
        <v>391</v>
      </c>
      <c r="B496" s="14" t="s">
        <v>377</v>
      </c>
      <c r="C496" t="s">
        <v>395</v>
      </c>
      <c r="D496" s="18">
        <v>44118</v>
      </c>
      <c r="E496" s="18">
        <v>44112</v>
      </c>
      <c r="F496" s="34">
        <v>44146</v>
      </c>
      <c r="H496" s="28" t="s">
        <v>284</v>
      </c>
      <c r="M496" s="33">
        <v>0.6</v>
      </c>
    </row>
    <row r="497" spans="1:13" x14ac:dyDescent="0.35">
      <c r="A497" s="14" t="s">
        <v>391</v>
      </c>
      <c r="B497" s="14" t="s">
        <v>377</v>
      </c>
      <c r="C497" t="s">
        <v>395</v>
      </c>
      <c r="D497" s="18">
        <v>44118</v>
      </c>
      <c r="E497" s="18">
        <v>44112</v>
      </c>
      <c r="F497" s="34">
        <v>44146</v>
      </c>
      <c r="H497" s="28" t="s">
        <v>313</v>
      </c>
      <c r="K497" t="s">
        <v>381</v>
      </c>
      <c r="L497">
        <v>75</v>
      </c>
      <c r="M497" s="33">
        <v>0.6</v>
      </c>
    </row>
    <row r="498" spans="1:13" x14ac:dyDescent="0.35">
      <c r="A498" s="14" t="s">
        <v>391</v>
      </c>
      <c r="B498" s="14" t="s">
        <v>377</v>
      </c>
      <c r="C498" t="s">
        <v>395</v>
      </c>
      <c r="D498" s="18">
        <v>44118</v>
      </c>
      <c r="E498" s="18">
        <v>44112</v>
      </c>
      <c r="F498" s="34">
        <v>44146</v>
      </c>
      <c r="H498" s="28" t="s">
        <v>315</v>
      </c>
      <c r="K498" t="s">
        <v>381</v>
      </c>
      <c r="L498">
        <v>50</v>
      </c>
      <c r="M498" s="33">
        <v>0.6</v>
      </c>
    </row>
    <row r="499" spans="1:13" x14ac:dyDescent="0.35">
      <c r="A499" s="14" t="s">
        <v>391</v>
      </c>
      <c r="B499" s="14" t="s">
        <v>377</v>
      </c>
      <c r="C499" t="s">
        <v>395</v>
      </c>
      <c r="D499" s="18">
        <v>44118</v>
      </c>
      <c r="E499" s="18">
        <v>44112</v>
      </c>
      <c r="F499" s="34">
        <v>44146</v>
      </c>
      <c r="H499" s="28" t="s">
        <v>32</v>
      </c>
      <c r="K499" t="s">
        <v>380</v>
      </c>
      <c r="L499">
        <v>10</v>
      </c>
      <c r="M499" s="33">
        <v>0.6</v>
      </c>
    </row>
    <row r="500" spans="1:13" x14ac:dyDescent="0.35">
      <c r="A500" s="14" t="s">
        <v>391</v>
      </c>
      <c r="B500" s="14" t="s">
        <v>377</v>
      </c>
      <c r="C500" t="s">
        <v>395</v>
      </c>
      <c r="D500" s="18">
        <v>44118</v>
      </c>
      <c r="E500" s="18">
        <v>44112</v>
      </c>
      <c r="F500" s="34">
        <v>44146</v>
      </c>
      <c r="H500" s="28" t="s">
        <v>335</v>
      </c>
      <c r="M500" s="33">
        <v>0.6</v>
      </c>
    </row>
    <row r="501" spans="1:13" x14ac:dyDescent="0.35">
      <c r="A501" s="26" t="s">
        <v>391</v>
      </c>
      <c r="B501" s="26" t="s">
        <v>377</v>
      </c>
      <c r="C501" s="35" t="s">
        <v>392</v>
      </c>
      <c r="D501" s="18">
        <v>44118</v>
      </c>
      <c r="E501" s="18">
        <v>44106</v>
      </c>
      <c r="F501" s="34">
        <v>44124</v>
      </c>
      <c r="H501" s="28" t="s">
        <v>68</v>
      </c>
      <c r="M501" s="33">
        <v>0.15</v>
      </c>
    </row>
    <row r="502" spans="1:13" x14ac:dyDescent="0.35">
      <c r="A502" s="26" t="s">
        <v>391</v>
      </c>
      <c r="B502" s="26" t="s">
        <v>377</v>
      </c>
      <c r="C502" s="35" t="s">
        <v>392</v>
      </c>
      <c r="D502" s="18">
        <v>44118</v>
      </c>
      <c r="E502" s="18">
        <v>44106</v>
      </c>
      <c r="F502" s="34">
        <v>44124</v>
      </c>
      <c r="H502" s="28" t="s">
        <v>72</v>
      </c>
      <c r="M502" s="33">
        <v>0.15</v>
      </c>
    </row>
    <row r="503" spans="1:13" x14ac:dyDescent="0.35">
      <c r="A503" s="26" t="s">
        <v>391</v>
      </c>
      <c r="B503" s="26" t="s">
        <v>377</v>
      </c>
      <c r="C503" s="35" t="s">
        <v>392</v>
      </c>
      <c r="D503" s="18">
        <v>44118</v>
      </c>
      <c r="E503" s="18">
        <v>44106</v>
      </c>
      <c r="F503" s="34">
        <v>44124</v>
      </c>
      <c r="H503" s="28" t="s">
        <v>41</v>
      </c>
      <c r="K503" t="s">
        <v>381</v>
      </c>
      <c r="L503">
        <v>60</v>
      </c>
      <c r="M503" s="33">
        <v>0.15</v>
      </c>
    </row>
    <row r="504" spans="1:13" x14ac:dyDescent="0.35">
      <c r="A504" s="26" t="s">
        <v>391</v>
      </c>
      <c r="B504" s="26" t="s">
        <v>377</v>
      </c>
      <c r="C504" s="35" t="s">
        <v>392</v>
      </c>
      <c r="D504" s="18">
        <v>44118</v>
      </c>
      <c r="E504" s="18">
        <v>44106</v>
      </c>
      <c r="F504" s="34">
        <v>44124</v>
      </c>
      <c r="H504" s="28" t="s">
        <v>39</v>
      </c>
      <c r="K504" t="s">
        <v>381</v>
      </c>
      <c r="L504">
        <v>30</v>
      </c>
      <c r="M504" s="33">
        <v>0.15</v>
      </c>
    </row>
    <row r="505" spans="1:13" x14ac:dyDescent="0.35">
      <c r="A505" s="26" t="s">
        <v>391</v>
      </c>
      <c r="B505" s="26" t="s">
        <v>377</v>
      </c>
      <c r="C505" s="35" t="s">
        <v>392</v>
      </c>
      <c r="D505" s="18">
        <v>44118</v>
      </c>
      <c r="E505" s="18">
        <v>44106</v>
      </c>
      <c r="F505" s="34">
        <v>44124</v>
      </c>
      <c r="H505" s="28" t="s">
        <v>42</v>
      </c>
      <c r="K505" t="s">
        <v>381</v>
      </c>
      <c r="L505">
        <v>50</v>
      </c>
      <c r="M505" s="33">
        <v>0.15</v>
      </c>
    </row>
    <row r="506" spans="1:13" x14ac:dyDescent="0.35">
      <c r="A506" s="26" t="s">
        <v>391</v>
      </c>
      <c r="B506" s="26" t="s">
        <v>377</v>
      </c>
      <c r="C506" s="35" t="s">
        <v>392</v>
      </c>
      <c r="D506" s="18">
        <v>44118</v>
      </c>
      <c r="E506" s="18">
        <v>44106</v>
      </c>
      <c r="F506" s="34">
        <v>44124</v>
      </c>
      <c r="H506" s="28" t="s">
        <v>134</v>
      </c>
      <c r="K506" t="s">
        <v>381</v>
      </c>
      <c r="L506">
        <v>50</v>
      </c>
      <c r="M506" s="33">
        <v>0.15</v>
      </c>
    </row>
    <row r="507" spans="1:13" x14ac:dyDescent="0.35">
      <c r="A507" s="26" t="s">
        <v>391</v>
      </c>
      <c r="B507" s="26" t="s">
        <v>377</v>
      </c>
      <c r="C507" s="35" t="s">
        <v>392</v>
      </c>
      <c r="D507" s="18">
        <v>44118</v>
      </c>
      <c r="E507" s="18">
        <v>44106</v>
      </c>
      <c r="F507" s="34">
        <v>44124</v>
      </c>
      <c r="H507" s="28" t="s">
        <v>25</v>
      </c>
      <c r="K507" t="s">
        <v>381</v>
      </c>
      <c r="L507">
        <v>50</v>
      </c>
      <c r="M507" s="33">
        <v>0.15</v>
      </c>
    </row>
    <row r="508" spans="1:13" x14ac:dyDescent="0.35">
      <c r="A508" s="26" t="s">
        <v>391</v>
      </c>
      <c r="B508" s="26" t="s">
        <v>377</v>
      </c>
      <c r="C508" s="35" t="s">
        <v>392</v>
      </c>
      <c r="D508" s="18">
        <v>44118</v>
      </c>
      <c r="E508" s="18">
        <v>44106</v>
      </c>
      <c r="F508" s="34">
        <v>44124</v>
      </c>
      <c r="H508" s="28" t="s">
        <v>23</v>
      </c>
      <c r="K508" t="s">
        <v>380</v>
      </c>
      <c r="L508">
        <v>10</v>
      </c>
      <c r="M508" s="33">
        <v>0.15</v>
      </c>
    </row>
    <row r="509" spans="1:13" x14ac:dyDescent="0.35">
      <c r="A509" s="26" t="s">
        <v>391</v>
      </c>
      <c r="B509" s="26" t="s">
        <v>377</v>
      </c>
      <c r="C509" s="35" t="s">
        <v>392</v>
      </c>
      <c r="D509" s="18">
        <v>44118</v>
      </c>
      <c r="E509" s="18">
        <v>44106</v>
      </c>
      <c r="F509" s="34">
        <v>44124</v>
      </c>
      <c r="H509" s="28" t="s">
        <v>24</v>
      </c>
      <c r="K509" t="s">
        <v>380</v>
      </c>
      <c r="L509">
        <v>10</v>
      </c>
      <c r="M509" s="33">
        <v>0.15</v>
      </c>
    </row>
    <row r="510" spans="1:13" x14ac:dyDescent="0.35">
      <c r="A510" s="26" t="s">
        <v>391</v>
      </c>
      <c r="B510" s="26" t="s">
        <v>377</v>
      </c>
      <c r="C510" s="35" t="s">
        <v>392</v>
      </c>
      <c r="D510" s="18">
        <v>44118</v>
      </c>
      <c r="E510" s="18">
        <v>44106</v>
      </c>
      <c r="F510" s="34">
        <v>44124</v>
      </c>
      <c r="H510" s="28" t="s">
        <v>27</v>
      </c>
      <c r="K510" t="s">
        <v>380</v>
      </c>
      <c r="L510">
        <v>25</v>
      </c>
      <c r="M510" s="33">
        <v>0.15</v>
      </c>
    </row>
    <row r="511" spans="1:13" x14ac:dyDescent="0.35">
      <c r="A511" s="26" t="s">
        <v>391</v>
      </c>
      <c r="B511" s="26" t="s">
        <v>377</v>
      </c>
      <c r="C511" s="35" t="s">
        <v>392</v>
      </c>
      <c r="D511" s="18">
        <v>44118</v>
      </c>
      <c r="E511" s="18">
        <v>44106</v>
      </c>
      <c r="F511" s="34">
        <v>44124</v>
      </c>
      <c r="H511" s="28" t="s">
        <v>28</v>
      </c>
      <c r="K511" t="s">
        <v>380</v>
      </c>
      <c r="L511">
        <v>25</v>
      </c>
      <c r="M511" s="33">
        <v>0.15</v>
      </c>
    </row>
    <row r="512" spans="1:13" x14ac:dyDescent="0.35">
      <c r="A512" s="26" t="s">
        <v>391</v>
      </c>
      <c r="B512" s="26" t="s">
        <v>377</v>
      </c>
      <c r="C512" s="35" t="s">
        <v>392</v>
      </c>
      <c r="D512" s="18">
        <v>44118</v>
      </c>
      <c r="E512" s="18">
        <v>44106</v>
      </c>
      <c r="F512" s="34">
        <v>44124</v>
      </c>
      <c r="H512" s="28" t="s">
        <v>176</v>
      </c>
      <c r="M512" s="33">
        <v>0.15</v>
      </c>
    </row>
    <row r="513" spans="1:13" x14ac:dyDescent="0.35">
      <c r="A513" s="26" t="s">
        <v>391</v>
      </c>
      <c r="B513" s="26" t="s">
        <v>377</v>
      </c>
      <c r="C513" s="35" t="s">
        <v>392</v>
      </c>
      <c r="D513" s="18">
        <v>44118</v>
      </c>
      <c r="E513" s="18">
        <v>44106</v>
      </c>
      <c r="F513" s="34">
        <v>44124</v>
      </c>
      <c r="H513" s="28" t="s">
        <v>181</v>
      </c>
      <c r="K513" t="s">
        <v>381</v>
      </c>
      <c r="L513">
        <v>50</v>
      </c>
      <c r="M513" s="33">
        <v>0.15</v>
      </c>
    </row>
    <row r="514" spans="1:13" x14ac:dyDescent="0.35">
      <c r="A514" s="26" t="s">
        <v>391</v>
      </c>
      <c r="B514" s="26" t="s">
        <v>377</v>
      </c>
      <c r="C514" s="35" t="s">
        <v>392</v>
      </c>
      <c r="D514" s="18">
        <v>44118</v>
      </c>
      <c r="E514" s="18">
        <v>44106</v>
      </c>
      <c r="F514" s="34">
        <v>44124</v>
      </c>
      <c r="H514" s="28" t="s">
        <v>188</v>
      </c>
      <c r="M514" s="33">
        <v>0.15</v>
      </c>
    </row>
    <row r="515" spans="1:13" x14ac:dyDescent="0.35">
      <c r="A515" s="26" t="s">
        <v>391</v>
      </c>
      <c r="B515" s="26" t="s">
        <v>377</v>
      </c>
      <c r="C515" s="35" t="s">
        <v>392</v>
      </c>
      <c r="D515" s="18">
        <v>44118</v>
      </c>
      <c r="E515" s="18">
        <v>44106</v>
      </c>
      <c r="F515" s="34">
        <v>44124</v>
      </c>
      <c r="H515" s="28" t="s">
        <v>198</v>
      </c>
      <c r="M515" s="33">
        <v>0.15</v>
      </c>
    </row>
    <row r="516" spans="1:13" x14ac:dyDescent="0.35">
      <c r="A516" s="26" t="s">
        <v>391</v>
      </c>
      <c r="B516" s="26" t="s">
        <v>377</v>
      </c>
      <c r="C516" s="35" t="s">
        <v>392</v>
      </c>
      <c r="D516" s="18">
        <v>44118</v>
      </c>
      <c r="E516" s="18">
        <v>44106</v>
      </c>
      <c r="F516" s="34">
        <v>44124</v>
      </c>
      <c r="H516" s="28" t="s">
        <v>393</v>
      </c>
      <c r="M516" s="33">
        <v>0.15</v>
      </c>
    </row>
    <row r="517" spans="1:13" x14ac:dyDescent="0.35">
      <c r="A517" s="26" t="s">
        <v>391</v>
      </c>
      <c r="B517" s="26" t="s">
        <v>377</v>
      </c>
      <c r="C517" s="35" t="s">
        <v>392</v>
      </c>
      <c r="D517" s="18">
        <v>44118</v>
      </c>
      <c r="E517" s="18">
        <v>44106</v>
      </c>
      <c r="F517" s="34">
        <v>44124</v>
      </c>
      <c r="H517" s="28" t="s">
        <v>200</v>
      </c>
      <c r="M517" s="33">
        <v>0.15</v>
      </c>
    </row>
    <row r="518" spans="1:13" x14ac:dyDescent="0.35">
      <c r="A518" s="26" t="s">
        <v>391</v>
      </c>
      <c r="B518" s="26" t="s">
        <v>377</v>
      </c>
      <c r="C518" s="35" t="s">
        <v>392</v>
      </c>
      <c r="D518" s="18">
        <v>44118</v>
      </c>
      <c r="E518" s="18">
        <v>44106</v>
      </c>
      <c r="F518" s="34">
        <v>44124</v>
      </c>
      <c r="H518" s="28" t="s">
        <v>204</v>
      </c>
      <c r="M518" s="33">
        <v>0.15</v>
      </c>
    </row>
    <row r="519" spans="1:13" x14ac:dyDescent="0.35">
      <c r="A519" s="26" t="s">
        <v>391</v>
      </c>
      <c r="B519" s="26" t="s">
        <v>377</v>
      </c>
      <c r="C519" s="35" t="s">
        <v>392</v>
      </c>
      <c r="D519" s="18">
        <v>44118</v>
      </c>
      <c r="E519" s="18">
        <v>44106</v>
      </c>
      <c r="F519" s="34">
        <v>44124</v>
      </c>
      <c r="H519" s="28" t="s">
        <v>208</v>
      </c>
      <c r="M519" s="33">
        <v>0.15</v>
      </c>
    </row>
    <row r="520" spans="1:13" x14ac:dyDescent="0.35">
      <c r="A520" s="26" t="s">
        <v>391</v>
      </c>
      <c r="B520" s="26" t="s">
        <v>377</v>
      </c>
      <c r="C520" s="35" t="s">
        <v>392</v>
      </c>
      <c r="D520" s="18">
        <v>44118</v>
      </c>
      <c r="E520" s="18">
        <v>44106</v>
      </c>
      <c r="F520" s="34">
        <v>44124</v>
      </c>
      <c r="H520" s="28" t="s">
        <v>210</v>
      </c>
      <c r="M520" s="33">
        <v>0.15</v>
      </c>
    </row>
    <row r="521" spans="1:13" x14ac:dyDescent="0.35">
      <c r="A521" s="26" t="s">
        <v>391</v>
      </c>
      <c r="B521" s="26" t="s">
        <v>377</v>
      </c>
      <c r="C521" s="35" t="s">
        <v>392</v>
      </c>
      <c r="D521" s="18">
        <v>44118</v>
      </c>
      <c r="E521" s="18">
        <v>44106</v>
      </c>
      <c r="F521" s="34">
        <v>44124</v>
      </c>
      <c r="H521" s="28" t="s">
        <v>284</v>
      </c>
      <c r="M521" s="33">
        <v>0.15</v>
      </c>
    </row>
    <row r="522" spans="1:13" x14ac:dyDescent="0.35">
      <c r="A522" s="26" t="s">
        <v>391</v>
      </c>
      <c r="B522" s="26" t="s">
        <v>377</v>
      </c>
      <c r="C522" s="35" t="s">
        <v>392</v>
      </c>
      <c r="D522" s="18">
        <v>44118</v>
      </c>
      <c r="E522" s="18">
        <v>44106</v>
      </c>
      <c r="F522" s="34">
        <v>44124</v>
      </c>
      <c r="H522" s="28" t="s">
        <v>309</v>
      </c>
      <c r="M522" s="33">
        <v>0.15</v>
      </c>
    </row>
    <row r="523" spans="1:13" x14ac:dyDescent="0.35">
      <c r="A523" s="26" t="s">
        <v>391</v>
      </c>
      <c r="B523" s="26" t="s">
        <v>377</v>
      </c>
      <c r="C523" s="35" t="s">
        <v>392</v>
      </c>
      <c r="D523" s="18">
        <v>44118</v>
      </c>
      <c r="E523" s="18">
        <v>44106</v>
      </c>
      <c r="F523" s="34">
        <v>44124</v>
      </c>
      <c r="H523" s="28" t="s">
        <v>313</v>
      </c>
      <c r="K523" t="s">
        <v>381</v>
      </c>
      <c r="L523">
        <v>50</v>
      </c>
      <c r="M523" s="33">
        <v>0.15</v>
      </c>
    </row>
    <row r="524" spans="1:13" x14ac:dyDescent="0.35">
      <c r="A524" s="26" t="s">
        <v>391</v>
      </c>
      <c r="B524" s="26" t="s">
        <v>377</v>
      </c>
      <c r="C524" s="35" t="s">
        <v>392</v>
      </c>
      <c r="D524" s="18">
        <v>44118</v>
      </c>
      <c r="E524" s="18">
        <v>44106</v>
      </c>
      <c r="F524" s="34">
        <v>44124</v>
      </c>
      <c r="H524" s="28" t="s">
        <v>315</v>
      </c>
      <c r="K524" t="s">
        <v>381</v>
      </c>
      <c r="L524">
        <v>30</v>
      </c>
      <c r="M524" s="33">
        <v>0.15</v>
      </c>
    </row>
    <row r="525" spans="1:13" x14ac:dyDescent="0.35">
      <c r="A525" s="26" t="s">
        <v>391</v>
      </c>
      <c r="B525" s="26" t="s">
        <v>377</v>
      </c>
      <c r="C525" s="35" t="s">
        <v>392</v>
      </c>
      <c r="D525" s="18">
        <v>44118</v>
      </c>
      <c r="E525" s="18">
        <v>44106</v>
      </c>
      <c r="F525" s="34">
        <v>44124</v>
      </c>
      <c r="H525" s="28" t="s">
        <v>335</v>
      </c>
      <c r="M525" s="33">
        <v>0.15</v>
      </c>
    </row>
    <row r="526" spans="1:13" x14ac:dyDescent="0.35">
      <c r="A526" s="26" t="s">
        <v>391</v>
      </c>
      <c r="B526" s="26" t="s">
        <v>377</v>
      </c>
      <c r="C526" s="35" t="s">
        <v>392</v>
      </c>
      <c r="D526" s="18">
        <v>44118</v>
      </c>
      <c r="E526" s="18">
        <v>44106</v>
      </c>
      <c r="F526" s="34">
        <v>44124</v>
      </c>
      <c r="H526" s="28" t="s">
        <v>337</v>
      </c>
      <c r="K526" t="s">
        <v>380</v>
      </c>
      <c r="L526">
        <v>10</v>
      </c>
      <c r="M526" s="33">
        <v>0.15</v>
      </c>
    </row>
    <row r="527" spans="1:13" x14ac:dyDescent="0.35">
      <c r="A527" s="26" t="s">
        <v>391</v>
      </c>
      <c r="B527" s="26" t="s">
        <v>377</v>
      </c>
      <c r="C527" s="35" t="s">
        <v>392</v>
      </c>
      <c r="D527" s="18">
        <v>44118</v>
      </c>
      <c r="E527" s="18">
        <v>44106</v>
      </c>
      <c r="F527" s="34">
        <v>44124</v>
      </c>
      <c r="H527" s="28" t="s">
        <v>341</v>
      </c>
      <c r="M527" s="33">
        <v>0.15</v>
      </c>
    </row>
    <row r="528" spans="1:13" x14ac:dyDescent="0.35">
      <c r="A528" s="26" t="s">
        <v>391</v>
      </c>
      <c r="B528" s="26" t="s">
        <v>377</v>
      </c>
      <c r="C528" s="35" t="s">
        <v>392</v>
      </c>
      <c r="D528" s="18">
        <v>44123</v>
      </c>
      <c r="E528" s="18">
        <v>44112</v>
      </c>
      <c r="F528" s="34">
        <v>44125</v>
      </c>
      <c r="H528" s="28" t="s">
        <v>68</v>
      </c>
      <c r="M528" s="33">
        <v>0.28999999999999998</v>
      </c>
    </row>
    <row r="529" spans="1:13" x14ac:dyDescent="0.35">
      <c r="A529" s="26" t="s">
        <v>391</v>
      </c>
      <c r="B529" s="26" t="s">
        <v>377</v>
      </c>
      <c r="C529" s="35" t="s">
        <v>392</v>
      </c>
      <c r="D529" s="18">
        <v>44123</v>
      </c>
      <c r="E529" s="18">
        <v>44112</v>
      </c>
      <c r="F529" s="34">
        <v>44125</v>
      </c>
      <c r="H529" s="28" t="s">
        <v>72</v>
      </c>
      <c r="M529" s="33">
        <v>0.28999999999999998</v>
      </c>
    </row>
    <row r="530" spans="1:13" x14ac:dyDescent="0.35">
      <c r="A530" s="26" t="s">
        <v>391</v>
      </c>
      <c r="B530" s="26" t="s">
        <v>377</v>
      </c>
      <c r="C530" s="35" t="s">
        <v>392</v>
      </c>
      <c r="D530" s="18">
        <v>44123</v>
      </c>
      <c r="E530" s="18">
        <v>44112</v>
      </c>
      <c r="F530" s="34">
        <v>44125</v>
      </c>
      <c r="H530" s="28" t="s">
        <v>42</v>
      </c>
      <c r="K530" t="s">
        <v>381</v>
      </c>
      <c r="L530">
        <v>50</v>
      </c>
      <c r="M530" s="33">
        <v>0.28999999999999998</v>
      </c>
    </row>
    <row r="531" spans="1:13" x14ac:dyDescent="0.35">
      <c r="A531" s="26" t="s">
        <v>391</v>
      </c>
      <c r="B531" s="26" t="s">
        <v>377</v>
      </c>
      <c r="C531" s="35" t="s">
        <v>392</v>
      </c>
      <c r="D531" s="18">
        <v>44123</v>
      </c>
      <c r="E531" s="18">
        <v>44112</v>
      </c>
      <c r="F531" s="34">
        <v>44125</v>
      </c>
      <c r="H531" s="28" t="s">
        <v>134</v>
      </c>
      <c r="K531" t="s">
        <v>381</v>
      </c>
      <c r="L531">
        <v>50</v>
      </c>
      <c r="M531" s="33">
        <v>0.28999999999999998</v>
      </c>
    </row>
    <row r="532" spans="1:13" x14ac:dyDescent="0.35">
      <c r="A532" s="26" t="s">
        <v>391</v>
      </c>
      <c r="B532" s="26" t="s">
        <v>377</v>
      </c>
      <c r="C532" s="35" t="s">
        <v>392</v>
      </c>
      <c r="D532" s="18">
        <v>44123</v>
      </c>
      <c r="E532" s="18">
        <v>44112</v>
      </c>
      <c r="F532" s="34">
        <v>44125</v>
      </c>
      <c r="H532" s="28" t="s">
        <v>25</v>
      </c>
      <c r="K532" t="s">
        <v>381</v>
      </c>
      <c r="L532">
        <v>50</v>
      </c>
      <c r="M532" s="33">
        <v>0.28999999999999998</v>
      </c>
    </row>
    <row r="533" spans="1:13" x14ac:dyDescent="0.35">
      <c r="A533" s="26" t="s">
        <v>391</v>
      </c>
      <c r="B533" s="26" t="s">
        <v>377</v>
      </c>
      <c r="C533" s="35" t="s">
        <v>392</v>
      </c>
      <c r="D533" s="18">
        <v>44123</v>
      </c>
      <c r="E533" s="18">
        <v>44112</v>
      </c>
      <c r="F533" s="34">
        <v>44125</v>
      </c>
      <c r="H533" s="28" t="s">
        <v>23</v>
      </c>
      <c r="K533" t="s">
        <v>380</v>
      </c>
      <c r="L533">
        <v>10</v>
      </c>
      <c r="M533" s="33">
        <v>0.28999999999999998</v>
      </c>
    </row>
    <row r="534" spans="1:13" x14ac:dyDescent="0.35">
      <c r="A534" s="26" t="s">
        <v>391</v>
      </c>
      <c r="B534" s="26" t="s">
        <v>377</v>
      </c>
      <c r="C534" s="35" t="s">
        <v>392</v>
      </c>
      <c r="D534" s="18">
        <v>44123</v>
      </c>
      <c r="E534" s="18">
        <v>44112</v>
      </c>
      <c r="F534" s="34">
        <v>44125</v>
      </c>
      <c r="H534" s="28" t="s">
        <v>24</v>
      </c>
      <c r="K534" t="s">
        <v>380</v>
      </c>
      <c r="L534">
        <v>10</v>
      </c>
      <c r="M534" s="33">
        <v>0.28999999999999998</v>
      </c>
    </row>
    <row r="535" spans="1:13" x14ac:dyDescent="0.35">
      <c r="A535" s="26" t="s">
        <v>391</v>
      </c>
      <c r="B535" s="26" t="s">
        <v>377</v>
      </c>
      <c r="C535" s="35" t="s">
        <v>392</v>
      </c>
      <c r="D535" s="18">
        <v>44123</v>
      </c>
      <c r="E535" s="18">
        <v>44112</v>
      </c>
      <c r="F535" s="34">
        <v>44125</v>
      </c>
      <c r="H535" s="28" t="s">
        <v>27</v>
      </c>
      <c r="K535" t="s">
        <v>380</v>
      </c>
      <c r="L535">
        <v>25</v>
      </c>
      <c r="M535" s="33">
        <v>0.28999999999999998</v>
      </c>
    </row>
    <row r="536" spans="1:13" x14ac:dyDescent="0.35">
      <c r="A536" s="26" t="s">
        <v>391</v>
      </c>
      <c r="B536" s="26" t="s">
        <v>377</v>
      </c>
      <c r="C536" s="35" t="s">
        <v>392</v>
      </c>
      <c r="D536" s="18">
        <v>44123</v>
      </c>
      <c r="E536" s="18">
        <v>44112</v>
      </c>
      <c r="F536" s="34">
        <v>44125</v>
      </c>
      <c r="H536" s="28" t="s">
        <v>28</v>
      </c>
      <c r="K536" t="s">
        <v>380</v>
      </c>
      <c r="L536">
        <v>25</v>
      </c>
      <c r="M536" s="33">
        <v>0.28999999999999998</v>
      </c>
    </row>
    <row r="537" spans="1:13" x14ac:dyDescent="0.35">
      <c r="A537" s="26" t="s">
        <v>391</v>
      </c>
      <c r="B537" s="26" t="s">
        <v>377</v>
      </c>
      <c r="C537" s="35" t="s">
        <v>392</v>
      </c>
      <c r="D537" s="18">
        <v>44123</v>
      </c>
      <c r="E537" s="18">
        <v>44112</v>
      </c>
      <c r="F537" s="34">
        <v>44125</v>
      </c>
      <c r="H537" s="28" t="s">
        <v>176</v>
      </c>
      <c r="M537" s="33">
        <v>0.28999999999999998</v>
      </c>
    </row>
    <row r="538" spans="1:13" x14ac:dyDescent="0.35">
      <c r="A538" s="26" t="s">
        <v>391</v>
      </c>
      <c r="B538" s="26" t="s">
        <v>377</v>
      </c>
      <c r="C538" s="35" t="s">
        <v>392</v>
      </c>
      <c r="D538" s="18">
        <v>44123</v>
      </c>
      <c r="E538" s="18">
        <v>44112</v>
      </c>
      <c r="F538" s="34">
        <v>44125</v>
      </c>
      <c r="H538" s="28" t="s">
        <v>181</v>
      </c>
      <c r="K538" t="s">
        <v>381</v>
      </c>
      <c r="L538">
        <v>50</v>
      </c>
      <c r="M538" s="33">
        <v>0.28999999999999998</v>
      </c>
    </row>
    <row r="539" spans="1:13" x14ac:dyDescent="0.35">
      <c r="A539" s="26" t="s">
        <v>391</v>
      </c>
      <c r="B539" s="26" t="s">
        <v>377</v>
      </c>
      <c r="C539" s="35" t="s">
        <v>392</v>
      </c>
      <c r="D539" s="18">
        <v>44123</v>
      </c>
      <c r="E539" s="18">
        <v>44112</v>
      </c>
      <c r="F539" s="34">
        <v>44125</v>
      </c>
      <c r="H539" s="28" t="s">
        <v>188</v>
      </c>
      <c r="M539" s="33">
        <v>0.28999999999999998</v>
      </c>
    </row>
    <row r="540" spans="1:13" x14ac:dyDescent="0.35">
      <c r="A540" s="26" t="s">
        <v>391</v>
      </c>
      <c r="B540" s="26" t="s">
        <v>377</v>
      </c>
      <c r="C540" s="35" t="s">
        <v>392</v>
      </c>
      <c r="D540" s="18">
        <v>44123</v>
      </c>
      <c r="E540" s="18">
        <v>44112</v>
      </c>
      <c r="F540" s="34">
        <v>44125</v>
      </c>
      <c r="H540" s="28" t="s">
        <v>198</v>
      </c>
      <c r="M540" s="33">
        <v>0.28999999999999998</v>
      </c>
    </row>
    <row r="541" spans="1:13" x14ac:dyDescent="0.35">
      <c r="A541" s="26" t="s">
        <v>391</v>
      </c>
      <c r="B541" s="26" t="s">
        <v>377</v>
      </c>
      <c r="C541" s="35" t="s">
        <v>392</v>
      </c>
      <c r="D541" s="18">
        <v>44123</v>
      </c>
      <c r="E541" s="18">
        <v>44112</v>
      </c>
      <c r="F541" s="34">
        <v>44125</v>
      </c>
      <c r="H541" s="28" t="s">
        <v>393</v>
      </c>
      <c r="M541" s="33">
        <v>0.28999999999999998</v>
      </c>
    </row>
    <row r="542" spans="1:13" x14ac:dyDescent="0.35">
      <c r="A542" s="26" t="s">
        <v>391</v>
      </c>
      <c r="B542" s="26" t="s">
        <v>377</v>
      </c>
      <c r="C542" s="35" t="s">
        <v>392</v>
      </c>
      <c r="D542" s="18">
        <v>44123</v>
      </c>
      <c r="E542" s="18">
        <v>44112</v>
      </c>
      <c r="F542" s="34">
        <v>44125</v>
      </c>
      <c r="H542" s="28" t="s">
        <v>200</v>
      </c>
      <c r="M542" s="33">
        <v>0.28999999999999998</v>
      </c>
    </row>
    <row r="543" spans="1:13" x14ac:dyDescent="0.35">
      <c r="A543" s="26" t="s">
        <v>391</v>
      </c>
      <c r="B543" s="26" t="s">
        <v>377</v>
      </c>
      <c r="C543" s="35" t="s">
        <v>392</v>
      </c>
      <c r="D543" s="18">
        <v>44123</v>
      </c>
      <c r="E543" s="18">
        <v>44112</v>
      </c>
      <c r="F543" s="34">
        <v>44125</v>
      </c>
      <c r="H543" s="28" t="s">
        <v>204</v>
      </c>
      <c r="M543" s="33">
        <v>0.28999999999999998</v>
      </c>
    </row>
    <row r="544" spans="1:13" x14ac:dyDescent="0.35">
      <c r="A544" s="26" t="s">
        <v>391</v>
      </c>
      <c r="B544" s="26" t="s">
        <v>377</v>
      </c>
      <c r="C544" s="35" t="s">
        <v>392</v>
      </c>
      <c r="D544" s="18">
        <v>44123</v>
      </c>
      <c r="E544" s="18">
        <v>44112</v>
      </c>
      <c r="F544" s="34">
        <v>44125</v>
      </c>
      <c r="H544" s="28" t="s">
        <v>208</v>
      </c>
      <c r="M544" s="33">
        <v>0.28999999999999998</v>
      </c>
    </row>
    <row r="545" spans="1:13" x14ac:dyDescent="0.35">
      <c r="A545" s="26" t="s">
        <v>391</v>
      </c>
      <c r="B545" s="26" t="s">
        <v>377</v>
      </c>
      <c r="C545" s="35" t="s">
        <v>392</v>
      </c>
      <c r="D545" s="18">
        <v>44123</v>
      </c>
      <c r="E545" s="18">
        <v>44112</v>
      </c>
      <c r="F545" s="34">
        <v>44125</v>
      </c>
      <c r="H545" s="28" t="s">
        <v>210</v>
      </c>
      <c r="M545" s="33">
        <v>0.28999999999999998</v>
      </c>
    </row>
    <row r="546" spans="1:13" x14ac:dyDescent="0.35">
      <c r="A546" s="26" t="s">
        <v>391</v>
      </c>
      <c r="B546" s="26" t="s">
        <v>377</v>
      </c>
      <c r="C546" s="35" t="s">
        <v>392</v>
      </c>
      <c r="D546" s="18">
        <v>44123</v>
      </c>
      <c r="E546" s="18">
        <v>44112</v>
      </c>
      <c r="F546" s="34">
        <v>44125</v>
      </c>
      <c r="H546" s="28" t="s">
        <v>284</v>
      </c>
      <c r="M546" s="33">
        <v>0.28999999999999998</v>
      </c>
    </row>
    <row r="547" spans="1:13" x14ac:dyDescent="0.35">
      <c r="A547" s="26" t="s">
        <v>391</v>
      </c>
      <c r="B547" s="26" t="s">
        <v>377</v>
      </c>
      <c r="C547" s="35" t="s">
        <v>392</v>
      </c>
      <c r="D547" s="18">
        <v>44123</v>
      </c>
      <c r="E547" s="18">
        <v>44112</v>
      </c>
      <c r="F547" s="34">
        <v>44125</v>
      </c>
      <c r="H547" s="28" t="s">
        <v>309</v>
      </c>
      <c r="M547" s="33">
        <v>0.28999999999999998</v>
      </c>
    </row>
    <row r="548" spans="1:13" x14ac:dyDescent="0.35">
      <c r="A548" s="26" t="s">
        <v>391</v>
      </c>
      <c r="B548" s="26" t="s">
        <v>377</v>
      </c>
      <c r="C548" s="35" t="s">
        <v>392</v>
      </c>
      <c r="D548" s="18">
        <v>44123</v>
      </c>
      <c r="E548" s="18">
        <v>44112</v>
      </c>
      <c r="F548" s="34">
        <v>44125</v>
      </c>
      <c r="H548" s="28" t="s">
        <v>313</v>
      </c>
      <c r="K548" t="s">
        <v>381</v>
      </c>
      <c r="L548">
        <v>75</v>
      </c>
      <c r="M548" s="33">
        <v>0.28999999999999998</v>
      </c>
    </row>
    <row r="549" spans="1:13" x14ac:dyDescent="0.35">
      <c r="A549" s="26" t="s">
        <v>391</v>
      </c>
      <c r="B549" s="26" t="s">
        <v>377</v>
      </c>
      <c r="C549" s="35" t="s">
        <v>392</v>
      </c>
      <c r="D549" s="18">
        <v>44123</v>
      </c>
      <c r="E549" s="18">
        <v>44112</v>
      </c>
      <c r="F549" s="34">
        <v>44125</v>
      </c>
      <c r="H549" s="28" t="s">
        <v>315</v>
      </c>
      <c r="K549" t="s">
        <v>381</v>
      </c>
      <c r="L549">
        <v>50</v>
      </c>
      <c r="M549" s="33">
        <v>0.28999999999999998</v>
      </c>
    </row>
    <row r="550" spans="1:13" x14ac:dyDescent="0.35">
      <c r="A550" s="26" t="s">
        <v>391</v>
      </c>
      <c r="B550" s="26" t="s">
        <v>377</v>
      </c>
      <c r="C550" s="35" t="s">
        <v>392</v>
      </c>
      <c r="D550" s="18">
        <v>44123</v>
      </c>
      <c r="E550" s="18">
        <v>44112</v>
      </c>
      <c r="F550" s="34">
        <v>44125</v>
      </c>
      <c r="H550" s="28" t="s">
        <v>335</v>
      </c>
      <c r="M550" s="33">
        <v>0.28999999999999998</v>
      </c>
    </row>
    <row r="551" spans="1:13" x14ac:dyDescent="0.35">
      <c r="A551" s="26" t="s">
        <v>391</v>
      </c>
      <c r="B551" s="26" t="s">
        <v>377</v>
      </c>
      <c r="C551" s="35" t="s">
        <v>392</v>
      </c>
      <c r="D551" s="18">
        <v>44123</v>
      </c>
      <c r="E551" s="18">
        <v>44112</v>
      </c>
      <c r="F551" s="34">
        <v>44125</v>
      </c>
      <c r="H551" s="28" t="s">
        <v>337</v>
      </c>
      <c r="K551" t="s">
        <v>380</v>
      </c>
      <c r="L551">
        <v>10</v>
      </c>
      <c r="M551" s="33">
        <v>0.28999999999999998</v>
      </c>
    </row>
    <row r="552" spans="1:13" x14ac:dyDescent="0.35">
      <c r="A552" s="26" t="s">
        <v>391</v>
      </c>
      <c r="B552" s="26" t="s">
        <v>377</v>
      </c>
      <c r="C552" s="35" t="s">
        <v>392</v>
      </c>
      <c r="D552" s="18">
        <v>44123</v>
      </c>
      <c r="E552" s="18">
        <v>44112</v>
      </c>
      <c r="F552" s="34">
        <v>44125</v>
      </c>
      <c r="H552" s="28" t="s">
        <v>341</v>
      </c>
      <c r="M552" s="33">
        <v>0.28999999999999998</v>
      </c>
    </row>
    <row r="553" spans="1:13" x14ac:dyDescent="0.35">
      <c r="A553" s="14" t="s">
        <v>391</v>
      </c>
      <c r="B553" s="14" t="s">
        <v>377</v>
      </c>
      <c r="C553" t="s">
        <v>397</v>
      </c>
      <c r="D553" s="18">
        <v>44127</v>
      </c>
      <c r="E553" s="18">
        <v>44119</v>
      </c>
      <c r="F553" s="34">
        <v>44134</v>
      </c>
      <c r="H553" s="28" t="s">
        <v>96</v>
      </c>
      <c r="M553" s="33">
        <v>0.21</v>
      </c>
    </row>
    <row r="554" spans="1:13" x14ac:dyDescent="0.35">
      <c r="A554" s="14" t="s">
        <v>391</v>
      </c>
      <c r="B554" s="14" t="s">
        <v>377</v>
      </c>
      <c r="C554" t="s">
        <v>397</v>
      </c>
      <c r="D554" s="18">
        <v>44127</v>
      </c>
      <c r="E554" s="18">
        <v>44119</v>
      </c>
      <c r="F554" s="34">
        <v>44134</v>
      </c>
      <c r="H554" s="28" t="s">
        <v>72</v>
      </c>
      <c r="M554" s="33">
        <v>0.21</v>
      </c>
    </row>
    <row r="555" spans="1:13" x14ac:dyDescent="0.35">
      <c r="A555" s="14" t="s">
        <v>391</v>
      </c>
      <c r="B555" s="14" t="s">
        <v>377</v>
      </c>
      <c r="C555" t="s">
        <v>397</v>
      </c>
      <c r="D555" s="18">
        <v>44127</v>
      </c>
      <c r="E555" s="18">
        <v>44119</v>
      </c>
      <c r="F555" s="34">
        <v>44134</v>
      </c>
      <c r="H555" s="28" t="s">
        <v>79</v>
      </c>
      <c r="M555" s="33">
        <v>0.21</v>
      </c>
    </row>
    <row r="556" spans="1:13" x14ac:dyDescent="0.35">
      <c r="A556" s="14" t="s">
        <v>391</v>
      </c>
      <c r="B556" s="14" t="s">
        <v>377</v>
      </c>
      <c r="C556" t="s">
        <v>397</v>
      </c>
      <c r="D556" s="18">
        <v>44127</v>
      </c>
      <c r="E556" s="18">
        <v>44119</v>
      </c>
      <c r="F556" s="34">
        <v>44134</v>
      </c>
      <c r="H556" s="28" t="s">
        <v>41</v>
      </c>
      <c r="K556" t="s">
        <v>381</v>
      </c>
      <c r="L556">
        <v>75</v>
      </c>
      <c r="M556" s="33">
        <v>0.21</v>
      </c>
    </row>
    <row r="557" spans="1:13" x14ac:dyDescent="0.35">
      <c r="A557" s="14" t="s">
        <v>391</v>
      </c>
      <c r="B557" s="14" t="s">
        <v>377</v>
      </c>
      <c r="C557" t="s">
        <v>397</v>
      </c>
      <c r="D557" s="18">
        <v>44127</v>
      </c>
      <c r="E557" s="18">
        <v>44119</v>
      </c>
      <c r="F557" s="34">
        <v>44134</v>
      </c>
      <c r="H557" s="28" t="s">
        <v>111</v>
      </c>
      <c r="K557" t="s">
        <v>381</v>
      </c>
      <c r="L557">
        <v>50</v>
      </c>
      <c r="M557" s="33">
        <v>0.21</v>
      </c>
    </row>
    <row r="558" spans="1:13" x14ac:dyDescent="0.35">
      <c r="A558" s="14" t="s">
        <v>391</v>
      </c>
      <c r="B558" s="14" t="s">
        <v>377</v>
      </c>
      <c r="C558" t="s">
        <v>397</v>
      </c>
      <c r="D558" s="18">
        <v>44127</v>
      </c>
      <c r="E558" s="18">
        <v>44119</v>
      </c>
      <c r="F558" s="34">
        <v>44134</v>
      </c>
      <c r="H558" s="28" t="s">
        <v>150</v>
      </c>
      <c r="M558" s="33">
        <v>0.21</v>
      </c>
    </row>
    <row r="559" spans="1:13" x14ac:dyDescent="0.35">
      <c r="A559" s="14" t="s">
        <v>391</v>
      </c>
      <c r="B559" s="14" t="s">
        <v>377</v>
      </c>
      <c r="C559" t="s">
        <v>397</v>
      </c>
      <c r="D559" s="18">
        <v>44127</v>
      </c>
      <c r="E559" s="18">
        <v>44119</v>
      </c>
      <c r="F559" s="34">
        <v>44134</v>
      </c>
      <c r="H559" s="28" t="s">
        <v>125</v>
      </c>
      <c r="M559" s="33">
        <v>0.21</v>
      </c>
    </row>
    <row r="560" spans="1:13" x14ac:dyDescent="0.35">
      <c r="A560" s="14" t="s">
        <v>391</v>
      </c>
      <c r="B560" s="14" t="s">
        <v>377</v>
      </c>
      <c r="C560" t="s">
        <v>397</v>
      </c>
      <c r="D560" s="18">
        <v>44127</v>
      </c>
      <c r="E560" s="18">
        <v>44119</v>
      </c>
      <c r="F560" s="34">
        <v>44134</v>
      </c>
      <c r="H560" s="28" t="s">
        <v>127</v>
      </c>
      <c r="M560" s="33">
        <v>0.21</v>
      </c>
    </row>
    <row r="561" spans="1:13" x14ac:dyDescent="0.35">
      <c r="A561" s="14" t="s">
        <v>391</v>
      </c>
      <c r="B561" s="14" t="s">
        <v>377</v>
      </c>
      <c r="C561" t="s">
        <v>397</v>
      </c>
      <c r="D561" s="18">
        <v>44127</v>
      </c>
      <c r="E561" s="18">
        <v>44119</v>
      </c>
      <c r="F561" s="34">
        <v>44134</v>
      </c>
      <c r="H561" s="28" t="s">
        <v>25</v>
      </c>
      <c r="K561" t="s">
        <v>381</v>
      </c>
      <c r="L561">
        <v>50</v>
      </c>
      <c r="M561" s="33">
        <v>0.21</v>
      </c>
    </row>
    <row r="562" spans="1:13" x14ac:dyDescent="0.35">
      <c r="A562" s="14" t="s">
        <v>391</v>
      </c>
      <c r="B562" s="14" t="s">
        <v>377</v>
      </c>
      <c r="C562" t="s">
        <v>397</v>
      </c>
      <c r="D562" s="18">
        <v>44127</v>
      </c>
      <c r="E562" s="18">
        <v>44119</v>
      </c>
      <c r="F562" s="34">
        <v>44134</v>
      </c>
      <c r="H562" s="28" t="s">
        <v>23</v>
      </c>
      <c r="K562" t="s">
        <v>380</v>
      </c>
      <c r="L562">
        <v>10</v>
      </c>
      <c r="M562" s="33">
        <v>0.21</v>
      </c>
    </row>
    <row r="563" spans="1:13" x14ac:dyDescent="0.35">
      <c r="A563" s="14" t="s">
        <v>391</v>
      </c>
      <c r="B563" s="14" t="s">
        <v>377</v>
      </c>
      <c r="C563" t="s">
        <v>397</v>
      </c>
      <c r="D563" s="18">
        <v>44127</v>
      </c>
      <c r="E563" s="18">
        <v>44119</v>
      </c>
      <c r="F563" s="34">
        <v>44134</v>
      </c>
      <c r="H563" s="28" t="s">
        <v>24</v>
      </c>
      <c r="K563" t="s">
        <v>380</v>
      </c>
      <c r="L563">
        <v>10</v>
      </c>
      <c r="M563" s="33">
        <v>0.21</v>
      </c>
    </row>
    <row r="564" spans="1:13" x14ac:dyDescent="0.35">
      <c r="A564" s="14" t="s">
        <v>391</v>
      </c>
      <c r="B564" s="14" t="s">
        <v>377</v>
      </c>
      <c r="C564" t="s">
        <v>397</v>
      </c>
      <c r="D564" s="18">
        <v>44127</v>
      </c>
      <c r="E564" s="18">
        <v>44119</v>
      </c>
      <c r="F564" s="34">
        <v>44134</v>
      </c>
      <c r="H564" s="28" t="s">
        <v>27</v>
      </c>
      <c r="K564" t="s">
        <v>380</v>
      </c>
      <c r="L564">
        <v>25</v>
      </c>
      <c r="M564" s="33">
        <v>0.21</v>
      </c>
    </row>
    <row r="565" spans="1:13" x14ac:dyDescent="0.35">
      <c r="A565" s="14" t="s">
        <v>391</v>
      </c>
      <c r="B565" s="14" t="s">
        <v>377</v>
      </c>
      <c r="C565" t="s">
        <v>397</v>
      </c>
      <c r="D565" s="18">
        <v>44127</v>
      </c>
      <c r="E565" s="18">
        <v>44119</v>
      </c>
      <c r="F565" s="34">
        <v>44134</v>
      </c>
      <c r="H565" s="28" t="s">
        <v>28</v>
      </c>
      <c r="K565" t="s">
        <v>380</v>
      </c>
      <c r="L565">
        <v>25</v>
      </c>
      <c r="M565" s="33">
        <v>0.21</v>
      </c>
    </row>
    <row r="566" spans="1:13" x14ac:dyDescent="0.35">
      <c r="A566" s="14" t="s">
        <v>391</v>
      </c>
      <c r="B566" s="14" t="s">
        <v>377</v>
      </c>
      <c r="C566" t="s">
        <v>397</v>
      </c>
      <c r="D566" s="18">
        <v>44127</v>
      </c>
      <c r="E566" s="18">
        <v>44119</v>
      </c>
      <c r="F566" s="34">
        <v>44134</v>
      </c>
      <c r="H566" s="28" t="s">
        <v>176</v>
      </c>
      <c r="M566" s="33">
        <v>0.21</v>
      </c>
    </row>
    <row r="567" spans="1:13" x14ac:dyDescent="0.35">
      <c r="A567" s="14" t="s">
        <v>391</v>
      </c>
      <c r="B567" s="14" t="s">
        <v>377</v>
      </c>
      <c r="C567" t="s">
        <v>397</v>
      </c>
      <c r="D567" s="18">
        <v>44127</v>
      </c>
      <c r="E567" s="18">
        <v>44119</v>
      </c>
      <c r="F567" s="34">
        <v>44134</v>
      </c>
      <c r="H567" s="28" t="s">
        <v>181</v>
      </c>
      <c r="K567" t="s">
        <v>381</v>
      </c>
      <c r="L567">
        <v>50</v>
      </c>
      <c r="M567" s="33">
        <v>0.21</v>
      </c>
    </row>
    <row r="568" spans="1:13" x14ac:dyDescent="0.35">
      <c r="A568" s="14" t="s">
        <v>391</v>
      </c>
      <c r="B568" s="14" t="s">
        <v>377</v>
      </c>
      <c r="C568" t="s">
        <v>397</v>
      </c>
      <c r="D568" s="18">
        <v>44127</v>
      </c>
      <c r="E568" s="18">
        <v>44119</v>
      </c>
      <c r="F568" s="34">
        <v>44134</v>
      </c>
      <c r="H568" s="28" t="s">
        <v>188</v>
      </c>
      <c r="M568" s="33">
        <v>0.21</v>
      </c>
    </row>
    <row r="569" spans="1:13" x14ac:dyDescent="0.35">
      <c r="A569" s="14" t="s">
        <v>391</v>
      </c>
      <c r="B569" s="14" t="s">
        <v>377</v>
      </c>
      <c r="C569" t="s">
        <v>397</v>
      </c>
      <c r="D569" s="18">
        <v>44127</v>
      </c>
      <c r="E569" s="18">
        <v>44119</v>
      </c>
      <c r="F569" s="34">
        <v>44134</v>
      </c>
      <c r="H569" s="28" t="s">
        <v>393</v>
      </c>
      <c r="M569" s="33">
        <v>0.21</v>
      </c>
    </row>
    <row r="570" spans="1:13" x14ac:dyDescent="0.35">
      <c r="A570" s="14" t="s">
        <v>391</v>
      </c>
      <c r="B570" s="14" t="s">
        <v>377</v>
      </c>
      <c r="C570" t="s">
        <v>397</v>
      </c>
      <c r="D570" s="18">
        <v>44127</v>
      </c>
      <c r="E570" s="18">
        <v>44119</v>
      </c>
      <c r="F570" s="34">
        <v>44134</v>
      </c>
      <c r="H570" s="28" t="s">
        <v>200</v>
      </c>
      <c r="M570" s="33">
        <v>0.21</v>
      </c>
    </row>
    <row r="571" spans="1:13" x14ac:dyDescent="0.35">
      <c r="A571" s="14" t="s">
        <v>391</v>
      </c>
      <c r="B571" s="14" t="s">
        <v>377</v>
      </c>
      <c r="C571" t="s">
        <v>397</v>
      </c>
      <c r="D571" s="18">
        <v>44127</v>
      </c>
      <c r="E571" s="18">
        <v>44119</v>
      </c>
      <c r="F571" s="34">
        <v>44134</v>
      </c>
      <c r="H571" s="28" t="s">
        <v>204</v>
      </c>
      <c r="M571" s="33">
        <v>0.21</v>
      </c>
    </row>
    <row r="572" spans="1:13" x14ac:dyDescent="0.35">
      <c r="A572" s="14" t="s">
        <v>391</v>
      </c>
      <c r="B572" s="14" t="s">
        <v>377</v>
      </c>
      <c r="C572" t="s">
        <v>397</v>
      </c>
      <c r="D572" s="18">
        <v>44127</v>
      </c>
      <c r="E572" s="18">
        <v>44119</v>
      </c>
      <c r="F572" s="34">
        <v>44134</v>
      </c>
      <c r="H572" s="28" t="s">
        <v>208</v>
      </c>
      <c r="M572" s="33">
        <v>0.21</v>
      </c>
    </row>
    <row r="573" spans="1:13" x14ac:dyDescent="0.35">
      <c r="A573" s="14" t="s">
        <v>391</v>
      </c>
      <c r="B573" s="14" t="s">
        <v>377</v>
      </c>
      <c r="C573" t="s">
        <v>397</v>
      </c>
      <c r="D573" s="18">
        <v>44127</v>
      </c>
      <c r="E573" s="18">
        <v>44119</v>
      </c>
      <c r="F573" s="34">
        <v>44134</v>
      </c>
      <c r="H573" s="28" t="s">
        <v>210</v>
      </c>
      <c r="M573" s="33">
        <v>0.21</v>
      </c>
    </row>
    <row r="574" spans="1:13" x14ac:dyDescent="0.35">
      <c r="A574" s="14" t="s">
        <v>391</v>
      </c>
      <c r="B574" s="14" t="s">
        <v>377</v>
      </c>
      <c r="C574" t="s">
        <v>397</v>
      </c>
      <c r="D574" s="18">
        <v>44127</v>
      </c>
      <c r="E574" s="18">
        <v>44119</v>
      </c>
      <c r="F574" s="34">
        <v>44134</v>
      </c>
      <c r="H574" s="28" t="s">
        <v>223</v>
      </c>
      <c r="M574" s="33">
        <v>0.21</v>
      </c>
    </row>
    <row r="575" spans="1:13" x14ac:dyDescent="0.35">
      <c r="A575" s="14" t="s">
        <v>391</v>
      </c>
      <c r="B575" s="14" t="s">
        <v>377</v>
      </c>
      <c r="C575" t="s">
        <v>397</v>
      </c>
      <c r="D575" s="18">
        <v>44127</v>
      </c>
      <c r="E575" s="18">
        <v>44119</v>
      </c>
      <c r="F575" s="34">
        <v>44134</v>
      </c>
      <c r="H575" s="28" t="s">
        <v>284</v>
      </c>
      <c r="M575" s="33">
        <v>0.21</v>
      </c>
    </row>
    <row r="576" spans="1:13" x14ac:dyDescent="0.35">
      <c r="A576" s="14" t="s">
        <v>391</v>
      </c>
      <c r="B576" s="14" t="s">
        <v>377</v>
      </c>
      <c r="C576" t="s">
        <v>397</v>
      </c>
      <c r="D576" s="18">
        <v>44127</v>
      </c>
      <c r="E576" s="18">
        <v>44119</v>
      </c>
      <c r="F576" s="34">
        <v>44134</v>
      </c>
      <c r="H576" s="28" t="s">
        <v>309</v>
      </c>
      <c r="M576" s="33">
        <v>0.21</v>
      </c>
    </row>
    <row r="577" spans="1:13" x14ac:dyDescent="0.35">
      <c r="A577" s="14" t="s">
        <v>391</v>
      </c>
      <c r="B577" s="14" t="s">
        <v>377</v>
      </c>
      <c r="C577" t="s">
        <v>397</v>
      </c>
      <c r="D577" s="18">
        <v>44127</v>
      </c>
      <c r="E577" s="18">
        <v>44119</v>
      </c>
      <c r="F577" s="34">
        <v>44134</v>
      </c>
      <c r="H577" s="28" t="s">
        <v>313</v>
      </c>
      <c r="K577" t="s">
        <v>381</v>
      </c>
      <c r="L577">
        <v>75</v>
      </c>
      <c r="M577" s="33">
        <v>0.21</v>
      </c>
    </row>
    <row r="578" spans="1:13" x14ac:dyDescent="0.35">
      <c r="A578" s="14" t="s">
        <v>391</v>
      </c>
      <c r="B578" s="14" t="s">
        <v>377</v>
      </c>
      <c r="C578" t="s">
        <v>397</v>
      </c>
      <c r="D578" s="18">
        <v>44127</v>
      </c>
      <c r="E578" s="18">
        <v>44119</v>
      </c>
      <c r="F578" s="34">
        <v>44134</v>
      </c>
      <c r="H578" s="28" t="s">
        <v>315</v>
      </c>
      <c r="K578" t="s">
        <v>381</v>
      </c>
      <c r="L578">
        <v>50</v>
      </c>
      <c r="M578" s="33">
        <v>0.21</v>
      </c>
    </row>
    <row r="579" spans="1:13" x14ac:dyDescent="0.35">
      <c r="A579" s="14" t="s">
        <v>391</v>
      </c>
      <c r="B579" s="14" t="s">
        <v>377</v>
      </c>
      <c r="C579" t="s">
        <v>397</v>
      </c>
      <c r="D579" s="18">
        <v>44127</v>
      </c>
      <c r="E579" s="18">
        <v>44119</v>
      </c>
      <c r="F579" s="34">
        <v>44134</v>
      </c>
      <c r="H579" s="28" t="s">
        <v>335</v>
      </c>
      <c r="M579" s="33">
        <v>0.28999999999999998</v>
      </c>
    </row>
    <row r="580" spans="1:13" x14ac:dyDescent="0.35">
      <c r="A580" s="14" t="s">
        <v>391</v>
      </c>
      <c r="B580" s="14" t="s">
        <v>377</v>
      </c>
      <c r="C580" t="s">
        <v>394</v>
      </c>
      <c r="D580" s="18">
        <v>44130</v>
      </c>
      <c r="E580" s="18">
        <v>44123</v>
      </c>
      <c r="F580" s="34">
        <v>44135</v>
      </c>
      <c r="H580" s="28" t="s">
        <v>68</v>
      </c>
      <c r="M580">
        <v>15</v>
      </c>
    </row>
    <row r="581" spans="1:13" x14ac:dyDescent="0.35">
      <c r="A581" s="14" t="s">
        <v>391</v>
      </c>
      <c r="B581" s="14" t="s">
        <v>377</v>
      </c>
      <c r="C581" t="s">
        <v>394</v>
      </c>
      <c r="D581" s="18">
        <v>44130</v>
      </c>
      <c r="E581" s="18">
        <v>44123</v>
      </c>
      <c r="F581" s="34">
        <v>44135</v>
      </c>
      <c r="H581" s="28" t="s">
        <v>41</v>
      </c>
      <c r="K581" t="s">
        <v>381</v>
      </c>
      <c r="L581">
        <v>75</v>
      </c>
      <c r="M581">
        <v>15</v>
      </c>
    </row>
    <row r="582" spans="1:13" x14ac:dyDescent="0.35">
      <c r="A582" s="14" t="s">
        <v>391</v>
      </c>
      <c r="B582" s="14" t="s">
        <v>377</v>
      </c>
      <c r="C582" t="s">
        <v>394</v>
      </c>
      <c r="D582" s="18">
        <v>44130</v>
      </c>
      <c r="E582" s="18">
        <v>44123</v>
      </c>
      <c r="F582" s="34">
        <v>44135</v>
      </c>
      <c r="H582" s="28" t="s">
        <v>111</v>
      </c>
      <c r="K582" t="s">
        <v>381</v>
      </c>
      <c r="L582">
        <v>50</v>
      </c>
      <c r="M582">
        <v>15</v>
      </c>
    </row>
    <row r="583" spans="1:13" x14ac:dyDescent="0.35">
      <c r="A583" s="14" t="s">
        <v>391</v>
      </c>
      <c r="B583" s="14" t="s">
        <v>377</v>
      </c>
      <c r="C583" t="s">
        <v>394</v>
      </c>
      <c r="D583" s="18">
        <v>44130</v>
      </c>
      <c r="E583" s="18">
        <v>44123</v>
      </c>
      <c r="F583" s="34">
        <v>44135</v>
      </c>
      <c r="H583" s="28" t="s">
        <v>123</v>
      </c>
      <c r="M583">
        <v>15</v>
      </c>
    </row>
    <row r="584" spans="1:13" x14ac:dyDescent="0.35">
      <c r="A584" s="14" t="s">
        <v>391</v>
      </c>
      <c r="B584" s="14" t="s">
        <v>377</v>
      </c>
      <c r="C584" t="s">
        <v>394</v>
      </c>
      <c r="D584" s="18">
        <v>44130</v>
      </c>
      <c r="E584" s="18">
        <v>44123</v>
      </c>
      <c r="F584" s="34">
        <v>44135</v>
      </c>
      <c r="H584" s="28" t="s">
        <v>125</v>
      </c>
      <c r="M584">
        <v>15</v>
      </c>
    </row>
    <row r="585" spans="1:13" x14ac:dyDescent="0.35">
      <c r="A585" s="14" t="s">
        <v>391</v>
      </c>
      <c r="B585" s="14" t="s">
        <v>377</v>
      </c>
      <c r="C585" t="s">
        <v>394</v>
      </c>
      <c r="D585" s="18">
        <v>44130</v>
      </c>
      <c r="E585" s="18">
        <v>44123</v>
      </c>
      <c r="F585" s="34">
        <v>44135</v>
      </c>
      <c r="H585" s="28" t="s">
        <v>127</v>
      </c>
      <c r="M585">
        <v>15</v>
      </c>
    </row>
    <row r="586" spans="1:13" x14ac:dyDescent="0.35">
      <c r="A586" s="14" t="s">
        <v>391</v>
      </c>
      <c r="B586" s="14" t="s">
        <v>377</v>
      </c>
      <c r="C586" t="s">
        <v>394</v>
      </c>
      <c r="D586" s="18">
        <v>44130</v>
      </c>
      <c r="E586" s="18">
        <v>44123</v>
      </c>
      <c r="F586" s="34">
        <v>44135</v>
      </c>
      <c r="H586" s="28" t="s">
        <v>129</v>
      </c>
      <c r="M586">
        <v>15</v>
      </c>
    </row>
    <row r="587" spans="1:13" x14ac:dyDescent="0.35">
      <c r="A587" s="14" t="s">
        <v>391</v>
      </c>
      <c r="B587" s="14" t="s">
        <v>377</v>
      </c>
      <c r="C587" t="s">
        <v>394</v>
      </c>
      <c r="D587" s="18">
        <v>44130</v>
      </c>
      <c r="E587" s="18">
        <v>44123</v>
      </c>
      <c r="F587" s="34">
        <v>44135</v>
      </c>
      <c r="H587" s="28" t="s">
        <v>25</v>
      </c>
      <c r="K587" t="s">
        <v>381</v>
      </c>
      <c r="L587">
        <v>50</v>
      </c>
      <c r="M587">
        <v>15</v>
      </c>
    </row>
    <row r="588" spans="1:13" x14ac:dyDescent="0.35">
      <c r="A588" s="14" t="s">
        <v>391</v>
      </c>
      <c r="B588" s="14" t="s">
        <v>377</v>
      </c>
      <c r="C588" t="s">
        <v>394</v>
      </c>
      <c r="D588" s="18">
        <v>44130</v>
      </c>
      <c r="E588" s="18">
        <v>44123</v>
      </c>
      <c r="F588" s="34">
        <v>44135</v>
      </c>
      <c r="H588" s="28" t="s">
        <v>23</v>
      </c>
      <c r="K588" t="s">
        <v>380</v>
      </c>
      <c r="L588">
        <v>10</v>
      </c>
      <c r="M588">
        <v>15</v>
      </c>
    </row>
    <row r="589" spans="1:13" x14ac:dyDescent="0.35">
      <c r="A589" s="14" t="s">
        <v>391</v>
      </c>
      <c r="B589" s="14" t="s">
        <v>377</v>
      </c>
      <c r="C589" t="s">
        <v>394</v>
      </c>
      <c r="D589" s="18">
        <v>44130</v>
      </c>
      <c r="E589" s="18">
        <v>44123</v>
      </c>
      <c r="F589" s="34">
        <v>44135</v>
      </c>
      <c r="H589" s="28" t="s">
        <v>24</v>
      </c>
      <c r="K589" t="s">
        <v>380</v>
      </c>
      <c r="L589">
        <v>10</v>
      </c>
      <c r="M589">
        <v>15</v>
      </c>
    </row>
    <row r="590" spans="1:13" x14ac:dyDescent="0.35">
      <c r="A590" s="14" t="s">
        <v>391</v>
      </c>
      <c r="B590" s="14" t="s">
        <v>377</v>
      </c>
      <c r="C590" t="s">
        <v>394</v>
      </c>
      <c r="D590" s="18">
        <v>44130</v>
      </c>
      <c r="E590" s="18">
        <v>44123</v>
      </c>
      <c r="F590" s="34">
        <v>44135</v>
      </c>
      <c r="H590" s="28" t="s">
        <v>27</v>
      </c>
      <c r="K590" t="s">
        <v>380</v>
      </c>
      <c r="L590">
        <v>25</v>
      </c>
      <c r="M590">
        <v>15</v>
      </c>
    </row>
    <row r="591" spans="1:13" x14ac:dyDescent="0.35">
      <c r="A591" s="14" t="s">
        <v>391</v>
      </c>
      <c r="B591" s="14" t="s">
        <v>377</v>
      </c>
      <c r="C591" t="s">
        <v>394</v>
      </c>
      <c r="D591" s="18">
        <v>44130</v>
      </c>
      <c r="E591" s="18">
        <v>44123</v>
      </c>
      <c r="F591" s="34">
        <v>44135</v>
      </c>
      <c r="H591" s="28" t="s">
        <v>28</v>
      </c>
      <c r="K591" t="s">
        <v>380</v>
      </c>
      <c r="L591">
        <v>25</v>
      </c>
      <c r="M591">
        <v>15</v>
      </c>
    </row>
    <row r="592" spans="1:13" x14ac:dyDescent="0.35">
      <c r="A592" s="14" t="s">
        <v>391</v>
      </c>
      <c r="B592" s="14" t="s">
        <v>377</v>
      </c>
      <c r="C592" t="s">
        <v>394</v>
      </c>
      <c r="D592" s="18">
        <v>44130</v>
      </c>
      <c r="E592" s="18">
        <v>44123</v>
      </c>
      <c r="F592" s="34">
        <v>44135</v>
      </c>
      <c r="H592" s="28" t="s">
        <v>398</v>
      </c>
      <c r="M592">
        <v>15</v>
      </c>
    </row>
    <row r="593" spans="1:13" x14ac:dyDescent="0.35">
      <c r="A593" s="14" t="s">
        <v>391</v>
      </c>
      <c r="B593" s="14" t="s">
        <v>377</v>
      </c>
      <c r="C593" t="s">
        <v>394</v>
      </c>
      <c r="D593" s="18">
        <v>44130</v>
      </c>
      <c r="E593" s="18">
        <v>44123</v>
      </c>
      <c r="F593" s="34">
        <v>44135</v>
      </c>
      <c r="H593" s="28" t="s">
        <v>399</v>
      </c>
      <c r="K593" t="s">
        <v>381</v>
      </c>
      <c r="L593">
        <v>50</v>
      </c>
      <c r="M593">
        <v>15</v>
      </c>
    </row>
    <row r="594" spans="1:13" x14ac:dyDescent="0.35">
      <c r="A594" s="14" t="s">
        <v>391</v>
      </c>
      <c r="B594" s="14" t="s">
        <v>377</v>
      </c>
      <c r="C594" t="s">
        <v>394</v>
      </c>
      <c r="D594" s="18">
        <v>44130</v>
      </c>
      <c r="E594" s="18">
        <v>44123</v>
      </c>
      <c r="F594" s="34">
        <v>44135</v>
      </c>
      <c r="H594" s="28" t="s">
        <v>188</v>
      </c>
      <c r="M594">
        <v>15</v>
      </c>
    </row>
    <row r="595" spans="1:13" x14ac:dyDescent="0.35">
      <c r="A595" s="14" t="s">
        <v>391</v>
      </c>
      <c r="B595" s="14" t="s">
        <v>377</v>
      </c>
      <c r="C595" t="s">
        <v>394</v>
      </c>
      <c r="D595" s="18">
        <v>44130</v>
      </c>
      <c r="E595" s="18">
        <v>44123</v>
      </c>
      <c r="F595" s="34">
        <v>44135</v>
      </c>
      <c r="H595" s="28" t="s">
        <v>198</v>
      </c>
      <c r="M595">
        <v>15</v>
      </c>
    </row>
    <row r="596" spans="1:13" x14ac:dyDescent="0.35">
      <c r="A596" s="14" t="s">
        <v>391</v>
      </c>
      <c r="B596" s="14" t="s">
        <v>377</v>
      </c>
      <c r="C596" t="s">
        <v>394</v>
      </c>
      <c r="D596" s="18">
        <v>44130</v>
      </c>
      <c r="E596" s="18">
        <v>44123</v>
      </c>
      <c r="F596" s="34">
        <v>44135</v>
      </c>
      <c r="H596" s="28" t="s">
        <v>393</v>
      </c>
      <c r="M596">
        <v>15</v>
      </c>
    </row>
    <row r="597" spans="1:13" x14ac:dyDescent="0.35">
      <c r="A597" s="14" t="s">
        <v>391</v>
      </c>
      <c r="B597" s="14" t="s">
        <v>377</v>
      </c>
      <c r="C597" t="s">
        <v>394</v>
      </c>
      <c r="D597" s="18">
        <v>44130</v>
      </c>
      <c r="E597" s="18">
        <v>44123</v>
      </c>
      <c r="F597" s="34">
        <v>44135</v>
      </c>
      <c r="H597" s="28" t="s">
        <v>208</v>
      </c>
      <c r="M597">
        <v>15</v>
      </c>
    </row>
    <row r="598" spans="1:13" x14ac:dyDescent="0.35">
      <c r="A598" s="14" t="s">
        <v>391</v>
      </c>
      <c r="B598" s="14" t="s">
        <v>377</v>
      </c>
      <c r="C598" t="s">
        <v>394</v>
      </c>
      <c r="D598" s="18">
        <v>44130</v>
      </c>
      <c r="E598" s="18">
        <v>44123</v>
      </c>
      <c r="F598" s="34">
        <v>44135</v>
      </c>
      <c r="H598" s="28" t="s">
        <v>210</v>
      </c>
      <c r="M598">
        <v>15</v>
      </c>
    </row>
    <row r="599" spans="1:13" x14ac:dyDescent="0.35">
      <c r="A599" s="14" t="s">
        <v>391</v>
      </c>
      <c r="B599" s="14" t="s">
        <v>377</v>
      </c>
      <c r="C599" t="s">
        <v>394</v>
      </c>
      <c r="D599" s="18">
        <v>44130</v>
      </c>
      <c r="E599" s="18">
        <v>44123</v>
      </c>
      <c r="F599" s="34">
        <v>44135</v>
      </c>
      <c r="H599" s="28" t="s">
        <v>223</v>
      </c>
      <c r="M599">
        <v>15</v>
      </c>
    </row>
    <row r="600" spans="1:13" x14ac:dyDescent="0.35">
      <c r="A600" s="14" t="s">
        <v>391</v>
      </c>
      <c r="B600" s="14" t="s">
        <v>377</v>
      </c>
      <c r="C600" t="s">
        <v>394</v>
      </c>
      <c r="D600" s="18">
        <v>44130</v>
      </c>
      <c r="E600" s="18">
        <v>44123</v>
      </c>
      <c r="F600" s="34">
        <v>44135</v>
      </c>
      <c r="H600" s="28" t="s">
        <v>309</v>
      </c>
      <c r="M600">
        <v>15</v>
      </c>
    </row>
    <row r="601" spans="1:13" x14ac:dyDescent="0.35">
      <c r="A601" s="14" t="s">
        <v>391</v>
      </c>
      <c r="B601" s="14" t="s">
        <v>377</v>
      </c>
      <c r="C601" t="s">
        <v>394</v>
      </c>
      <c r="D601" s="18">
        <v>44130</v>
      </c>
      <c r="E601" s="18">
        <v>44123</v>
      </c>
      <c r="F601" s="34">
        <v>44135</v>
      </c>
      <c r="H601" s="28" t="s">
        <v>313</v>
      </c>
      <c r="K601" t="s">
        <v>381</v>
      </c>
      <c r="L601">
        <v>75</v>
      </c>
      <c r="M601">
        <v>15</v>
      </c>
    </row>
    <row r="602" spans="1:13" x14ac:dyDescent="0.35">
      <c r="A602" s="14" t="s">
        <v>391</v>
      </c>
      <c r="B602" s="14" t="s">
        <v>377</v>
      </c>
      <c r="C602" t="s">
        <v>394</v>
      </c>
      <c r="D602" s="18">
        <v>44130</v>
      </c>
      <c r="E602" s="18">
        <v>44123</v>
      </c>
      <c r="F602" s="34">
        <v>44135</v>
      </c>
      <c r="H602" s="28" t="s">
        <v>315</v>
      </c>
      <c r="K602" t="s">
        <v>381</v>
      </c>
      <c r="L602">
        <v>50</v>
      </c>
      <c r="M602">
        <v>15</v>
      </c>
    </row>
    <row r="603" spans="1:13" x14ac:dyDescent="0.35">
      <c r="A603" s="14" t="s">
        <v>391</v>
      </c>
      <c r="B603" s="14" t="s">
        <v>377</v>
      </c>
      <c r="C603" t="s">
        <v>394</v>
      </c>
      <c r="D603" s="18">
        <v>44130</v>
      </c>
      <c r="E603" s="18">
        <v>44123</v>
      </c>
      <c r="F603" s="34">
        <v>44135</v>
      </c>
      <c r="H603" s="28" t="s">
        <v>335</v>
      </c>
      <c r="M603">
        <v>15</v>
      </c>
    </row>
    <row r="604" spans="1:13" x14ac:dyDescent="0.35">
      <c r="A604" s="14" t="s">
        <v>391</v>
      </c>
      <c r="B604" s="14" t="s">
        <v>377</v>
      </c>
      <c r="C604" t="s">
        <v>394</v>
      </c>
      <c r="D604" s="18">
        <v>44130</v>
      </c>
      <c r="E604" s="18">
        <v>44123</v>
      </c>
      <c r="F604" s="34">
        <v>44135</v>
      </c>
      <c r="H604" s="28" t="s">
        <v>337</v>
      </c>
      <c r="M604">
        <v>15</v>
      </c>
    </row>
    <row r="605" spans="1:13" x14ac:dyDescent="0.35">
      <c r="A605" s="14" t="s">
        <v>391</v>
      </c>
      <c r="B605" s="14" t="s">
        <v>377</v>
      </c>
      <c r="C605" t="s">
        <v>394</v>
      </c>
      <c r="D605" s="18">
        <v>44130</v>
      </c>
      <c r="E605" s="18">
        <v>44123</v>
      </c>
      <c r="F605" s="34">
        <v>44135</v>
      </c>
      <c r="H605" s="28" t="s">
        <v>341</v>
      </c>
      <c r="M605">
        <v>15</v>
      </c>
    </row>
    <row r="606" spans="1:13" x14ac:dyDescent="0.35">
      <c r="A606" s="14" t="s">
        <v>391</v>
      </c>
      <c r="B606" s="14" t="s">
        <v>377</v>
      </c>
      <c r="C606" t="s">
        <v>397</v>
      </c>
      <c r="D606" s="18">
        <v>44130</v>
      </c>
      <c r="E606" s="18">
        <v>44120</v>
      </c>
      <c r="F606" s="34">
        <v>44134</v>
      </c>
      <c r="H606" s="28" t="s">
        <v>68</v>
      </c>
      <c r="M606" s="33">
        <v>0.28999999999999998</v>
      </c>
    </row>
    <row r="607" spans="1:13" x14ac:dyDescent="0.35">
      <c r="A607" s="14" t="s">
        <v>391</v>
      </c>
      <c r="B607" s="14" t="s">
        <v>377</v>
      </c>
      <c r="C607" t="s">
        <v>397</v>
      </c>
      <c r="D607" s="18">
        <v>44130</v>
      </c>
      <c r="E607" s="18">
        <v>44120</v>
      </c>
      <c r="F607" s="34">
        <v>44134</v>
      </c>
      <c r="H607" s="28" t="s">
        <v>41</v>
      </c>
      <c r="K607" t="s">
        <v>381</v>
      </c>
      <c r="L607">
        <v>75</v>
      </c>
      <c r="M607" s="33">
        <v>0.28999999999999998</v>
      </c>
    </row>
    <row r="608" spans="1:13" x14ac:dyDescent="0.35">
      <c r="A608" s="14" t="s">
        <v>391</v>
      </c>
      <c r="B608" s="14" t="s">
        <v>377</v>
      </c>
      <c r="C608" t="s">
        <v>397</v>
      </c>
      <c r="D608" s="18">
        <v>44130</v>
      </c>
      <c r="E608" s="18">
        <v>44120</v>
      </c>
      <c r="F608" s="34">
        <v>44134</v>
      </c>
      <c r="H608" s="28" t="s">
        <v>111</v>
      </c>
      <c r="K608" t="s">
        <v>381</v>
      </c>
      <c r="L608">
        <v>50</v>
      </c>
      <c r="M608" s="33">
        <v>0.28999999999999998</v>
      </c>
    </row>
    <row r="609" spans="1:13" x14ac:dyDescent="0.35">
      <c r="A609" s="14" t="s">
        <v>391</v>
      </c>
      <c r="B609" s="14" t="s">
        <v>377</v>
      </c>
      <c r="C609" t="s">
        <v>397</v>
      </c>
      <c r="D609" s="18">
        <v>44130</v>
      </c>
      <c r="E609" s="18">
        <v>44120</v>
      </c>
      <c r="F609" s="34">
        <v>44134</v>
      </c>
      <c r="H609" s="28" t="s">
        <v>123</v>
      </c>
      <c r="M609" s="33">
        <v>0.28999999999999998</v>
      </c>
    </row>
    <row r="610" spans="1:13" x14ac:dyDescent="0.35">
      <c r="A610" s="14" t="s">
        <v>391</v>
      </c>
      <c r="B610" s="14" t="s">
        <v>377</v>
      </c>
      <c r="C610" t="s">
        <v>397</v>
      </c>
      <c r="D610" s="18">
        <v>44130</v>
      </c>
      <c r="E610" s="18">
        <v>44120</v>
      </c>
      <c r="F610" s="34">
        <v>44134</v>
      </c>
      <c r="H610" s="28" t="s">
        <v>125</v>
      </c>
      <c r="M610" s="33">
        <v>0.28999999999999998</v>
      </c>
    </row>
    <row r="611" spans="1:13" x14ac:dyDescent="0.35">
      <c r="A611" s="14" t="s">
        <v>391</v>
      </c>
      <c r="B611" s="14" t="s">
        <v>377</v>
      </c>
      <c r="C611" t="s">
        <v>397</v>
      </c>
      <c r="D611" s="18">
        <v>44130</v>
      </c>
      <c r="E611" s="18">
        <v>44120</v>
      </c>
      <c r="F611" s="34">
        <v>44134</v>
      </c>
      <c r="H611" s="28" t="s">
        <v>127</v>
      </c>
      <c r="M611" s="33">
        <v>0.28999999999999998</v>
      </c>
    </row>
    <row r="612" spans="1:13" x14ac:dyDescent="0.35">
      <c r="A612" s="14" t="s">
        <v>391</v>
      </c>
      <c r="B612" s="14" t="s">
        <v>377</v>
      </c>
      <c r="C612" t="s">
        <v>397</v>
      </c>
      <c r="D612" s="18">
        <v>44130</v>
      </c>
      <c r="E612" s="18">
        <v>44120</v>
      </c>
      <c r="F612" s="34">
        <v>44134</v>
      </c>
      <c r="H612" s="28" t="s">
        <v>129</v>
      </c>
      <c r="M612" s="33">
        <v>0.28999999999999998</v>
      </c>
    </row>
    <row r="613" spans="1:13" x14ac:dyDescent="0.35">
      <c r="A613" s="14" t="s">
        <v>391</v>
      </c>
      <c r="B613" s="14" t="s">
        <v>377</v>
      </c>
      <c r="C613" t="s">
        <v>397</v>
      </c>
      <c r="D613" s="18">
        <v>44130</v>
      </c>
      <c r="E613" s="18">
        <v>44120</v>
      </c>
      <c r="F613" s="34">
        <v>44134</v>
      </c>
      <c r="H613" s="28" t="s">
        <v>25</v>
      </c>
      <c r="K613" t="s">
        <v>381</v>
      </c>
      <c r="L613">
        <v>50</v>
      </c>
      <c r="M613" s="33">
        <v>0.28999999999999998</v>
      </c>
    </row>
    <row r="614" spans="1:13" x14ac:dyDescent="0.35">
      <c r="A614" s="14" t="s">
        <v>391</v>
      </c>
      <c r="B614" s="14" t="s">
        <v>377</v>
      </c>
      <c r="C614" t="s">
        <v>397</v>
      </c>
      <c r="D614" s="18">
        <v>44130</v>
      </c>
      <c r="E614" s="18">
        <v>44120</v>
      </c>
      <c r="F614" s="34">
        <v>44134</v>
      </c>
      <c r="H614" s="28" t="s">
        <v>23</v>
      </c>
      <c r="K614" t="s">
        <v>380</v>
      </c>
      <c r="L614">
        <v>10</v>
      </c>
      <c r="M614" s="33">
        <v>0.28999999999999998</v>
      </c>
    </row>
    <row r="615" spans="1:13" x14ac:dyDescent="0.35">
      <c r="A615" s="14" t="s">
        <v>391</v>
      </c>
      <c r="B615" s="14" t="s">
        <v>377</v>
      </c>
      <c r="C615" t="s">
        <v>397</v>
      </c>
      <c r="D615" s="18">
        <v>44130</v>
      </c>
      <c r="E615" s="18">
        <v>44120</v>
      </c>
      <c r="F615" s="34">
        <v>44134</v>
      </c>
      <c r="H615" s="28" t="s">
        <v>24</v>
      </c>
      <c r="K615" t="s">
        <v>380</v>
      </c>
      <c r="L615">
        <v>10</v>
      </c>
      <c r="M615" s="33">
        <v>0.28999999999999998</v>
      </c>
    </row>
    <row r="616" spans="1:13" x14ac:dyDescent="0.35">
      <c r="A616" s="14" t="s">
        <v>391</v>
      </c>
      <c r="B616" s="14" t="s">
        <v>377</v>
      </c>
      <c r="C616" t="s">
        <v>397</v>
      </c>
      <c r="D616" s="18">
        <v>44130</v>
      </c>
      <c r="E616" s="18">
        <v>44120</v>
      </c>
      <c r="F616" s="34">
        <v>44134</v>
      </c>
      <c r="H616" s="28" t="s">
        <v>27</v>
      </c>
      <c r="K616" t="s">
        <v>380</v>
      </c>
      <c r="L616">
        <v>25</v>
      </c>
      <c r="M616" s="33">
        <v>0.28999999999999998</v>
      </c>
    </row>
    <row r="617" spans="1:13" x14ac:dyDescent="0.35">
      <c r="A617" s="14" t="s">
        <v>391</v>
      </c>
      <c r="B617" s="14" t="s">
        <v>377</v>
      </c>
      <c r="C617" t="s">
        <v>397</v>
      </c>
      <c r="D617" s="18">
        <v>44130</v>
      </c>
      <c r="E617" s="18">
        <v>44120</v>
      </c>
      <c r="F617" s="34">
        <v>44134</v>
      </c>
      <c r="H617" s="28" t="s">
        <v>28</v>
      </c>
      <c r="K617" t="s">
        <v>380</v>
      </c>
      <c r="L617">
        <v>25</v>
      </c>
      <c r="M617" s="33">
        <v>0.28999999999999998</v>
      </c>
    </row>
    <row r="618" spans="1:13" x14ac:dyDescent="0.35">
      <c r="A618" s="14" t="s">
        <v>391</v>
      </c>
      <c r="B618" s="14" t="s">
        <v>377</v>
      </c>
      <c r="C618" t="s">
        <v>397</v>
      </c>
      <c r="D618" s="18">
        <v>44130</v>
      </c>
      <c r="E618" s="18">
        <v>44120</v>
      </c>
      <c r="F618" s="34">
        <v>44134</v>
      </c>
      <c r="H618" s="28" t="s">
        <v>398</v>
      </c>
      <c r="M618" s="33">
        <v>0.28999999999999998</v>
      </c>
    </row>
    <row r="619" spans="1:13" x14ac:dyDescent="0.35">
      <c r="A619" s="14" t="s">
        <v>391</v>
      </c>
      <c r="B619" s="14" t="s">
        <v>377</v>
      </c>
      <c r="C619" t="s">
        <v>397</v>
      </c>
      <c r="D619" s="18">
        <v>44130</v>
      </c>
      <c r="E619" s="18">
        <v>44120</v>
      </c>
      <c r="F619" s="34">
        <v>44134</v>
      </c>
      <c r="H619" s="28" t="s">
        <v>399</v>
      </c>
      <c r="K619" t="s">
        <v>381</v>
      </c>
      <c r="L619">
        <v>50</v>
      </c>
      <c r="M619" s="33">
        <v>0.28999999999999998</v>
      </c>
    </row>
    <row r="620" spans="1:13" x14ac:dyDescent="0.35">
      <c r="A620" s="14" t="s">
        <v>391</v>
      </c>
      <c r="B620" s="14" t="s">
        <v>377</v>
      </c>
      <c r="C620" t="s">
        <v>397</v>
      </c>
      <c r="D620" s="18">
        <v>44130</v>
      </c>
      <c r="E620" s="18">
        <v>44120</v>
      </c>
      <c r="F620" s="34">
        <v>44134</v>
      </c>
      <c r="H620" s="28" t="s">
        <v>188</v>
      </c>
      <c r="M620" s="33">
        <v>0.28999999999999998</v>
      </c>
    </row>
    <row r="621" spans="1:13" x14ac:dyDescent="0.35">
      <c r="A621" s="14" t="s">
        <v>391</v>
      </c>
      <c r="B621" s="14" t="s">
        <v>377</v>
      </c>
      <c r="C621" t="s">
        <v>397</v>
      </c>
      <c r="D621" s="18">
        <v>44130</v>
      </c>
      <c r="E621" s="18">
        <v>44120</v>
      </c>
      <c r="F621" s="34">
        <v>44134</v>
      </c>
      <c r="H621" s="28" t="s">
        <v>198</v>
      </c>
      <c r="M621" s="33">
        <v>0.28999999999999998</v>
      </c>
    </row>
    <row r="622" spans="1:13" x14ac:dyDescent="0.35">
      <c r="A622" s="14" t="s">
        <v>391</v>
      </c>
      <c r="B622" s="14" t="s">
        <v>377</v>
      </c>
      <c r="C622" t="s">
        <v>397</v>
      </c>
      <c r="D622" s="18">
        <v>44130</v>
      </c>
      <c r="E622" s="18">
        <v>44120</v>
      </c>
      <c r="F622" s="34">
        <v>44134</v>
      </c>
      <c r="H622" s="28" t="s">
        <v>393</v>
      </c>
      <c r="M622" s="33">
        <v>0.28999999999999998</v>
      </c>
    </row>
    <row r="623" spans="1:13" x14ac:dyDescent="0.35">
      <c r="A623" s="14" t="s">
        <v>391</v>
      </c>
      <c r="B623" s="14" t="s">
        <v>377</v>
      </c>
      <c r="C623" t="s">
        <v>397</v>
      </c>
      <c r="D623" s="18">
        <v>44130</v>
      </c>
      <c r="E623" s="18">
        <v>44120</v>
      </c>
      <c r="F623" s="34">
        <v>44134</v>
      </c>
      <c r="H623" s="28" t="s">
        <v>208</v>
      </c>
      <c r="M623" s="33">
        <v>0.28999999999999998</v>
      </c>
    </row>
    <row r="624" spans="1:13" x14ac:dyDescent="0.35">
      <c r="A624" s="14" t="s">
        <v>391</v>
      </c>
      <c r="B624" s="14" t="s">
        <v>377</v>
      </c>
      <c r="C624" t="s">
        <v>397</v>
      </c>
      <c r="D624" s="18">
        <v>44130</v>
      </c>
      <c r="E624" s="18">
        <v>44120</v>
      </c>
      <c r="F624" s="34">
        <v>44134</v>
      </c>
      <c r="H624" s="28" t="s">
        <v>210</v>
      </c>
      <c r="M624" s="33">
        <v>0.28999999999999998</v>
      </c>
    </row>
    <row r="625" spans="1:13" x14ac:dyDescent="0.35">
      <c r="A625" s="14" t="s">
        <v>391</v>
      </c>
      <c r="B625" s="14" t="s">
        <v>377</v>
      </c>
      <c r="C625" t="s">
        <v>397</v>
      </c>
      <c r="D625" s="18">
        <v>44130</v>
      </c>
      <c r="E625" s="18">
        <v>44120</v>
      </c>
      <c r="F625" s="34">
        <v>44134</v>
      </c>
      <c r="H625" s="28" t="s">
        <v>223</v>
      </c>
      <c r="M625" s="33">
        <v>0.28999999999999998</v>
      </c>
    </row>
    <row r="626" spans="1:13" x14ac:dyDescent="0.35">
      <c r="A626" s="14" t="s">
        <v>391</v>
      </c>
      <c r="B626" s="14" t="s">
        <v>377</v>
      </c>
      <c r="C626" t="s">
        <v>397</v>
      </c>
      <c r="D626" s="18">
        <v>44130</v>
      </c>
      <c r="E626" s="18">
        <v>44120</v>
      </c>
      <c r="F626" s="34">
        <v>44134</v>
      </c>
      <c r="H626" s="28" t="s">
        <v>309</v>
      </c>
      <c r="M626" s="33">
        <v>0.28999999999999998</v>
      </c>
    </row>
    <row r="627" spans="1:13" x14ac:dyDescent="0.35">
      <c r="A627" s="14" t="s">
        <v>391</v>
      </c>
      <c r="B627" s="14" t="s">
        <v>377</v>
      </c>
      <c r="C627" t="s">
        <v>397</v>
      </c>
      <c r="D627" s="18">
        <v>44130</v>
      </c>
      <c r="E627" s="18">
        <v>44120</v>
      </c>
      <c r="F627" s="34">
        <v>44134</v>
      </c>
      <c r="H627" s="28" t="s">
        <v>313</v>
      </c>
      <c r="K627" t="s">
        <v>381</v>
      </c>
      <c r="L627">
        <v>75</v>
      </c>
      <c r="M627" s="33">
        <v>0.28999999999999998</v>
      </c>
    </row>
    <row r="628" spans="1:13" x14ac:dyDescent="0.35">
      <c r="A628" s="14" t="s">
        <v>391</v>
      </c>
      <c r="B628" s="14" t="s">
        <v>377</v>
      </c>
      <c r="C628" t="s">
        <v>397</v>
      </c>
      <c r="D628" s="18">
        <v>44130</v>
      </c>
      <c r="E628" s="18">
        <v>44120</v>
      </c>
      <c r="F628" s="34">
        <v>44134</v>
      </c>
      <c r="H628" s="28" t="s">
        <v>315</v>
      </c>
      <c r="K628" t="s">
        <v>381</v>
      </c>
      <c r="L628">
        <v>50</v>
      </c>
      <c r="M628" s="33">
        <v>0.28999999999999998</v>
      </c>
    </row>
    <row r="629" spans="1:13" x14ac:dyDescent="0.35">
      <c r="A629" s="14" t="s">
        <v>391</v>
      </c>
      <c r="B629" s="14" t="s">
        <v>377</v>
      </c>
      <c r="C629" t="s">
        <v>397</v>
      </c>
      <c r="D629" s="18">
        <v>44130</v>
      </c>
      <c r="E629" s="18">
        <v>44120</v>
      </c>
      <c r="F629" s="34">
        <v>44134</v>
      </c>
      <c r="H629" s="28" t="s">
        <v>335</v>
      </c>
      <c r="M629" s="33">
        <v>0.28999999999999998</v>
      </c>
    </row>
    <row r="630" spans="1:13" x14ac:dyDescent="0.35">
      <c r="A630" s="14" t="s">
        <v>391</v>
      </c>
      <c r="B630" s="14" t="s">
        <v>377</v>
      </c>
      <c r="C630" t="s">
        <v>397</v>
      </c>
      <c r="D630" s="18">
        <v>44130</v>
      </c>
      <c r="E630" s="18">
        <v>44120</v>
      </c>
      <c r="F630" s="34">
        <v>44134</v>
      </c>
      <c r="H630" s="28" t="s">
        <v>337</v>
      </c>
      <c r="M630" s="33">
        <v>0.28999999999999998</v>
      </c>
    </row>
    <row r="631" spans="1:13" x14ac:dyDescent="0.35">
      <c r="A631" s="14" t="s">
        <v>391</v>
      </c>
      <c r="B631" s="14" t="s">
        <v>377</v>
      </c>
      <c r="C631" t="s">
        <v>397</v>
      </c>
      <c r="D631" s="18">
        <v>44130</v>
      </c>
      <c r="E631" s="18">
        <v>44120</v>
      </c>
      <c r="F631" s="34">
        <v>44134</v>
      </c>
      <c r="H631" s="28" t="s">
        <v>341</v>
      </c>
      <c r="M631" s="33">
        <v>0.28999999999999998</v>
      </c>
    </row>
    <row r="632" spans="1:13" x14ac:dyDescent="0.35">
      <c r="A632" s="14" t="s">
        <v>391</v>
      </c>
      <c r="B632" s="14" t="s">
        <v>377</v>
      </c>
      <c r="C632" t="s">
        <v>400</v>
      </c>
      <c r="D632" s="18">
        <v>44133</v>
      </c>
      <c r="E632" s="18">
        <v>44115</v>
      </c>
      <c r="F632" s="34">
        <v>44132</v>
      </c>
      <c r="H632" s="28" t="s">
        <v>68</v>
      </c>
      <c r="M632">
        <v>13</v>
      </c>
    </row>
    <row r="633" spans="1:13" x14ac:dyDescent="0.35">
      <c r="A633" s="14" t="s">
        <v>391</v>
      </c>
      <c r="B633" s="14" t="s">
        <v>377</v>
      </c>
      <c r="C633" t="s">
        <v>400</v>
      </c>
      <c r="D633" s="18">
        <v>44133</v>
      </c>
      <c r="E633" s="18">
        <v>44115</v>
      </c>
      <c r="F633" s="34">
        <v>44132</v>
      </c>
      <c r="H633" s="28" t="s">
        <v>41</v>
      </c>
      <c r="K633" t="s">
        <v>381</v>
      </c>
      <c r="L633">
        <v>75</v>
      </c>
      <c r="M633">
        <v>13</v>
      </c>
    </row>
    <row r="634" spans="1:13" x14ac:dyDescent="0.35">
      <c r="A634" s="14" t="s">
        <v>391</v>
      </c>
      <c r="B634" s="14" t="s">
        <v>377</v>
      </c>
      <c r="C634" t="s">
        <v>400</v>
      </c>
      <c r="D634" s="18">
        <v>44133</v>
      </c>
      <c r="E634" s="18">
        <v>44115</v>
      </c>
      <c r="F634" s="34">
        <v>44132</v>
      </c>
      <c r="H634" s="28" t="s">
        <v>111</v>
      </c>
      <c r="K634" t="s">
        <v>381</v>
      </c>
      <c r="L634">
        <v>50</v>
      </c>
      <c r="M634">
        <v>13</v>
      </c>
    </row>
    <row r="635" spans="1:13" x14ac:dyDescent="0.35">
      <c r="A635" s="14" t="s">
        <v>391</v>
      </c>
      <c r="B635" s="14" t="s">
        <v>377</v>
      </c>
      <c r="C635" t="s">
        <v>400</v>
      </c>
      <c r="D635" s="18">
        <v>44133</v>
      </c>
      <c r="E635" s="18">
        <v>44115</v>
      </c>
      <c r="F635" s="34">
        <v>44132</v>
      </c>
      <c r="H635" s="28" t="s">
        <v>123</v>
      </c>
      <c r="M635">
        <v>13</v>
      </c>
    </row>
    <row r="636" spans="1:13" x14ac:dyDescent="0.35">
      <c r="A636" s="14" t="s">
        <v>391</v>
      </c>
      <c r="B636" s="14" t="s">
        <v>377</v>
      </c>
      <c r="C636" t="s">
        <v>400</v>
      </c>
      <c r="D636" s="18">
        <v>44133</v>
      </c>
      <c r="E636" s="18">
        <v>44115</v>
      </c>
      <c r="F636" s="34">
        <v>44132</v>
      </c>
      <c r="H636" s="28" t="s">
        <v>125</v>
      </c>
      <c r="M636">
        <v>13</v>
      </c>
    </row>
    <row r="637" spans="1:13" x14ac:dyDescent="0.35">
      <c r="A637" s="14" t="s">
        <v>391</v>
      </c>
      <c r="B637" s="14" t="s">
        <v>377</v>
      </c>
      <c r="C637" t="s">
        <v>400</v>
      </c>
      <c r="D637" s="18">
        <v>44133</v>
      </c>
      <c r="E637" s="18">
        <v>44115</v>
      </c>
      <c r="F637" s="34">
        <v>44132</v>
      </c>
      <c r="H637" s="28" t="s">
        <v>127</v>
      </c>
      <c r="M637">
        <v>13</v>
      </c>
    </row>
    <row r="638" spans="1:13" x14ac:dyDescent="0.35">
      <c r="A638" s="14" t="s">
        <v>391</v>
      </c>
      <c r="B638" s="14" t="s">
        <v>377</v>
      </c>
      <c r="C638" t="s">
        <v>400</v>
      </c>
      <c r="D638" s="18">
        <v>44133</v>
      </c>
      <c r="E638" s="18">
        <v>44115</v>
      </c>
      <c r="F638" s="34">
        <v>44132</v>
      </c>
      <c r="H638" s="28" t="s">
        <v>129</v>
      </c>
      <c r="M638">
        <v>13</v>
      </c>
    </row>
    <row r="639" spans="1:13" x14ac:dyDescent="0.35">
      <c r="A639" s="14" t="s">
        <v>391</v>
      </c>
      <c r="B639" s="14" t="s">
        <v>377</v>
      </c>
      <c r="C639" t="s">
        <v>400</v>
      </c>
      <c r="D639" s="18">
        <v>44133</v>
      </c>
      <c r="E639" s="18">
        <v>44115</v>
      </c>
      <c r="F639" s="34">
        <v>44132</v>
      </c>
      <c r="H639" s="28" t="s">
        <v>25</v>
      </c>
      <c r="K639" t="s">
        <v>381</v>
      </c>
      <c r="L639">
        <v>50</v>
      </c>
      <c r="M639">
        <v>13</v>
      </c>
    </row>
    <row r="640" spans="1:13" x14ac:dyDescent="0.35">
      <c r="A640" s="14" t="s">
        <v>391</v>
      </c>
      <c r="B640" s="14" t="s">
        <v>377</v>
      </c>
      <c r="C640" t="s">
        <v>400</v>
      </c>
      <c r="D640" s="18">
        <v>44133</v>
      </c>
      <c r="E640" s="18">
        <v>44115</v>
      </c>
      <c r="F640" s="34">
        <v>44132</v>
      </c>
      <c r="H640" s="28" t="s">
        <v>23</v>
      </c>
      <c r="K640" t="s">
        <v>380</v>
      </c>
      <c r="L640">
        <v>10</v>
      </c>
      <c r="M640">
        <v>13</v>
      </c>
    </row>
    <row r="641" spans="1:13" x14ac:dyDescent="0.35">
      <c r="A641" s="14" t="s">
        <v>391</v>
      </c>
      <c r="B641" s="14" t="s">
        <v>377</v>
      </c>
      <c r="C641" t="s">
        <v>400</v>
      </c>
      <c r="D641" s="18">
        <v>44133</v>
      </c>
      <c r="E641" s="18">
        <v>44115</v>
      </c>
      <c r="F641" s="34">
        <v>44132</v>
      </c>
      <c r="H641" s="28" t="s">
        <v>24</v>
      </c>
      <c r="K641" t="s">
        <v>380</v>
      </c>
      <c r="L641">
        <v>10</v>
      </c>
      <c r="M641">
        <v>13</v>
      </c>
    </row>
    <row r="642" spans="1:13" x14ac:dyDescent="0.35">
      <c r="A642" s="14" t="s">
        <v>391</v>
      </c>
      <c r="B642" s="14" t="s">
        <v>377</v>
      </c>
      <c r="C642" t="s">
        <v>400</v>
      </c>
      <c r="D642" s="18">
        <v>44133</v>
      </c>
      <c r="E642" s="18">
        <v>44115</v>
      </c>
      <c r="F642" s="34">
        <v>44132</v>
      </c>
      <c r="H642" s="28" t="s">
        <v>27</v>
      </c>
      <c r="K642" t="s">
        <v>380</v>
      </c>
      <c r="L642">
        <v>25</v>
      </c>
      <c r="M642">
        <v>13</v>
      </c>
    </row>
    <row r="643" spans="1:13" x14ac:dyDescent="0.35">
      <c r="A643" s="14" t="s">
        <v>391</v>
      </c>
      <c r="B643" s="14" t="s">
        <v>377</v>
      </c>
      <c r="C643" t="s">
        <v>400</v>
      </c>
      <c r="D643" s="18">
        <v>44133</v>
      </c>
      <c r="E643" s="18">
        <v>44115</v>
      </c>
      <c r="F643" s="34">
        <v>44132</v>
      </c>
      <c r="H643" s="28" t="s">
        <v>28</v>
      </c>
      <c r="K643" t="s">
        <v>380</v>
      </c>
      <c r="L643">
        <v>25</v>
      </c>
      <c r="M643">
        <v>13</v>
      </c>
    </row>
    <row r="644" spans="1:13" x14ac:dyDescent="0.35">
      <c r="A644" s="14" t="s">
        <v>391</v>
      </c>
      <c r="B644" s="14" t="s">
        <v>377</v>
      </c>
      <c r="C644" t="s">
        <v>400</v>
      </c>
      <c r="D644" s="18">
        <v>44133</v>
      </c>
      <c r="E644" s="18">
        <v>44115</v>
      </c>
      <c r="F644" s="34">
        <v>44132</v>
      </c>
      <c r="H644" s="28" t="s">
        <v>398</v>
      </c>
      <c r="M644">
        <v>13</v>
      </c>
    </row>
    <row r="645" spans="1:13" x14ac:dyDescent="0.35">
      <c r="A645" s="14" t="s">
        <v>391</v>
      </c>
      <c r="B645" s="14" t="s">
        <v>377</v>
      </c>
      <c r="C645" t="s">
        <v>400</v>
      </c>
      <c r="D645" s="18">
        <v>44133</v>
      </c>
      <c r="E645" s="18">
        <v>44115</v>
      </c>
      <c r="F645" s="34">
        <v>44132</v>
      </c>
      <c r="H645" s="28" t="s">
        <v>399</v>
      </c>
      <c r="K645" t="s">
        <v>381</v>
      </c>
      <c r="L645">
        <v>50</v>
      </c>
      <c r="M645">
        <v>13</v>
      </c>
    </row>
    <row r="646" spans="1:13" x14ac:dyDescent="0.35">
      <c r="A646" s="14" t="s">
        <v>391</v>
      </c>
      <c r="B646" s="14" t="s">
        <v>377</v>
      </c>
      <c r="C646" t="s">
        <v>400</v>
      </c>
      <c r="D646" s="18">
        <v>44133</v>
      </c>
      <c r="E646" s="18">
        <v>44115</v>
      </c>
      <c r="F646" s="34">
        <v>44132</v>
      </c>
      <c r="H646" s="28" t="s">
        <v>188</v>
      </c>
      <c r="M646">
        <v>13</v>
      </c>
    </row>
    <row r="647" spans="1:13" x14ac:dyDescent="0.35">
      <c r="A647" s="14" t="s">
        <v>391</v>
      </c>
      <c r="B647" s="14" t="s">
        <v>377</v>
      </c>
      <c r="C647" t="s">
        <v>400</v>
      </c>
      <c r="D647" s="18">
        <v>44133</v>
      </c>
      <c r="E647" s="18">
        <v>44115</v>
      </c>
      <c r="F647" s="34">
        <v>44132</v>
      </c>
      <c r="H647" s="28" t="s">
        <v>198</v>
      </c>
      <c r="M647">
        <v>13</v>
      </c>
    </row>
    <row r="648" spans="1:13" x14ac:dyDescent="0.35">
      <c r="A648" s="14" t="s">
        <v>391</v>
      </c>
      <c r="B648" s="14" t="s">
        <v>377</v>
      </c>
      <c r="C648" t="s">
        <v>400</v>
      </c>
      <c r="D648" s="18">
        <v>44133</v>
      </c>
      <c r="E648" s="18">
        <v>44115</v>
      </c>
      <c r="F648" s="34">
        <v>44132</v>
      </c>
      <c r="H648" s="28" t="s">
        <v>393</v>
      </c>
      <c r="M648">
        <v>13</v>
      </c>
    </row>
    <row r="649" spans="1:13" x14ac:dyDescent="0.35">
      <c r="A649" s="14" t="s">
        <v>391</v>
      </c>
      <c r="B649" s="14" t="s">
        <v>377</v>
      </c>
      <c r="C649" t="s">
        <v>400</v>
      </c>
      <c r="D649" s="18">
        <v>44133</v>
      </c>
      <c r="E649" s="18">
        <v>44115</v>
      </c>
      <c r="F649" s="34">
        <v>44132</v>
      </c>
      <c r="H649" s="28" t="s">
        <v>208</v>
      </c>
      <c r="M649">
        <v>13</v>
      </c>
    </row>
    <row r="650" spans="1:13" x14ac:dyDescent="0.35">
      <c r="A650" s="14" t="s">
        <v>391</v>
      </c>
      <c r="B650" s="14" t="s">
        <v>377</v>
      </c>
      <c r="C650" t="s">
        <v>400</v>
      </c>
      <c r="D650" s="18">
        <v>44133</v>
      </c>
      <c r="E650" s="18">
        <v>44115</v>
      </c>
      <c r="F650" s="34">
        <v>44132</v>
      </c>
      <c r="H650" s="28" t="s">
        <v>210</v>
      </c>
      <c r="M650">
        <v>13</v>
      </c>
    </row>
    <row r="651" spans="1:13" x14ac:dyDescent="0.35">
      <c r="A651" s="14" t="s">
        <v>391</v>
      </c>
      <c r="B651" s="14" t="s">
        <v>377</v>
      </c>
      <c r="C651" t="s">
        <v>400</v>
      </c>
      <c r="D651" s="18">
        <v>44133</v>
      </c>
      <c r="E651" s="18">
        <v>44115</v>
      </c>
      <c r="F651" s="34">
        <v>44132</v>
      </c>
      <c r="H651" s="28" t="s">
        <v>223</v>
      </c>
      <c r="M651">
        <v>13</v>
      </c>
    </row>
    <row r="652" spans="1:13" x14ac:dyDescent="0.35">
      <c r="A652" s="14" t="s">
        <v>391</v>
      </c>
      <c r="B652" s="14" t="s">
        <v>377</v>
      </c>
      <c r="C652" t="s">
        <v>400</v>
      </c>
      <c r="D652" s="18">
        <v>44133</v>
      </c>
      <c r="E652" s="18">
        <v>44115</v>
      </c>
      <c r="F652" s="34">
        <v>44132</v>
      </c>
      <c r="H652" s="28" t="s">
        <v>309</v>
      </c>
      <c r="M652">
        <v>13</v>
      </c>
    </row>
    <row r="653" spans="1:13" x14ac:dyDescent="0.35">
      <c r="A653" s="14" t="s">
        <v>391</v>
      </c>
      <c r="B653" s="14" t="s">
        <v>377</v>
      </c>
      <c r="C653" t="s">
        <v>400</v>
      </c>
      <c r="D653" s="18">
        <v>44133</v>
      </c>
      <c r="E653" s="18">
        <v>44115</v>
      </c>
      <c r="F653" s="34">
        <v>44132</v>
      </c>
      <c r="H653" s="28" t="s">
        <v>313</v>
      </c>
      <c r="K653" t="s">
        <v>381</v>
      </c>
      <c r="L653">
        <v>75</v>
      </c>
      <c r="M653">
        <v>13</v>
      </c>
    </row>
    <row r="654" spans="1:13" x14ac:dyDescent="0.35">
      <c r="A654" s="14" t="s">
        <v>391</v>
      </c>
      <c r="B654" s="14" t="s">
        <v>377</v>
      </c>
      <c r="C654" t="s">
        <v>400</v>
      </c>
      <c r="D654" s="18">
        <v>44133</v>
      </c>
      <c r="E654" s="18">
        <v>44115</v>
      </c>
      <c r="F654" s="34">
        <v>44132</v>
      </c>
      <c r="H654" s="28" t="s">
        <v>315</v>
      </c>
      <c r="K654" t="s">
        <v>381</v>
      </c>
      <c r="L654">
        <v>50</v>
      </c>
      <c r="M654">
        <v>13</v>
      </c>
    </row>
    <row r="655" spans="1:13" x14ac:dyDescent="0.35">
      <c r="A655" s="14" t="s">
        <v>391</v>
      </c>
      <c r="B655" s="14" t="s">
        <v>377</v>
      </c>
      <c r="C655" t="s">
        <v>400</v>
      </c>
      <c r="D655" s="18">
        <v>44133</v>
      </c>
      <c r="E655" s="18">
        <v>44115</v>
      </c>
      <c r="F655" s="34">
        <v>44132</v>
      </c>
      <c r="H655" s="28" t="s">
        <v>335</v>
      </c>
      <c r="M655">
        <v>13</v>
      </c>
    </row>
    <row r="656" spans="1:13" x14ac:dyDescent="0.35">
      <c r="A656" s="14" t="s">
        <v>391</v>
      </c>
      <c r="B656" s="14" t="s">
        <v>377</v>
      </c>
      <c r="C656" t="s">
        <v>400</v>
      </c>
      <c r="D656" s="18">
        <v>44133</v>
      </c>
      <c r="E656" s="18">
        <v>44115</v>
      </c>
      <c r="F656" s="34">
        <v>44132</v>
      </c>
      <c r="H656" s="28" t="s">
        <v>337</v>
      </c>
      <c r="M656">
        <v>13</v>
      </c>
    </row>
    <row r="657" spans="1:13" x14ac:dyDescent="0.35">
      <c r="A657" s="14" t="s">
        <v>391</v>
      </c>
      <c r="B657" s="14" t="s">
        <v>377</v>
      </c>
      <c r="C657" t="s">
        <v>400</v>
      </c>
      <c r="D657" s="18">
        <v>44133</v>
      </c>
      <c r="E657" s="18">
        <v>44115</v>
      </c>
      <c r="F657" s="34">
        <v>44132</v>
      </c>
      <c r="H657" s="28" t="s">
        <v>341</v>
      </c>
      <c r="M657">
        <v>13</v>
      </c>
    </row>
    <row r="658" spans="1:13" x14ac:dyDescent="0.35">
      <c r="A658" s="14" t="s">
        <v>1341</v>
      </c>
      <c r="B658" s="14" t="s">
        <v>377</v>
      </c>
      <c r="D658" s="18">
        <v>44133</v>
      </c>
      <c r="E658" s="18">
        <v>44134</v>
      </c>
      <c r="F658" s="18">
        <v>44150</v>
      </c>
      <c r="H658" s="28" t="s">
        <v>25</v>
      </c>
      <c r="K658" t="s">
        <v>381</v>
      </c>
      <c r="L658">
        <v>40</v>
      </c>
    </row>
    <row r="659" spans="1:13" x14ac:dyDescent="0.35">
      <c r="A659" s="14" t="s">
        <v>1341</v>
      </c>
      <c r="B659" s="14" t="s">
        <v>377</v>
      </c>
      <c r="D659" s="18">
        <v>44133</v>
      </c>
      <c r="E659" s="18">
        <v>44134</v>
      </c>
      <c r="F659" s="34">
        <v>44215</v>
      </c>
      <c r="H659" s="28" t="s">
        <v>259</v>
      </c>
    </row>
    <row r="660" spans="1:13" x14ac:dyDescent="0.35">
      <c r="A660" s="14" t="s">
        <v>1341</v>
      </c>
      <c r="B660" s="14" t="s">
        <v>377</v>
      </c>
      <c r="D660" s="18">
        <v>44133</v>
      </c>
      <c r="E660" s="18">
        <v>44134</v>
      </c>
      <c r="F660" s="34">
        <v>44215</v>
      </c>
      <c r="H660" s="28" t="s">
        <v>261</v>
      </c>
    </row>
    <row r="661" spans="1:13" x14ac:dyDescent="0.35">
      <c r="A661" s="14" t="s">
        <v>1341</v>
      </c>
      <c r="B661" s="14" t="s">
        <v>377</v>
      </c>
      <c r="D661" s="18">
        <v>44133</v>
      </c>
      <c r="E661" s="18">
        <v>44134</v>
      </c>
      <c r="F661" s="34">
        <v>44215</v>
      </c>
      <c r="H661" s="28" t="s">
        <v>60</v>
      </c>
      <c r="K661" t="s">
        <v>380</v>
      </c>
      <c r="L661">
        <v>6</v>
      </c>
    </row>
    <row r="662" spans="1:13" x14ac:dyDescent="0.35">
      <c r="A662" s="14" t="s">
        <v>391</v>
      </c>
      <c r="B662" s="14" t="s">
        <v>377</v>
      </c>
      <c r="C662" t="s">
        <v>394</v>
      </c>
      <c r="D662" s="18">
        <v>44137</v>
      </c>
      <c r="E662" s="18">
        <v>44129</v>
      </c>
      <c r="F662" s="34">
        <v>44155</v>
      </c>
      <c r="H662" s="28" t="s">
        <v>68</v>
      </c>
      <c r="M662">
        <v>32</v>
      </c>
    </row>
    <row r="663" spans="1:13" x14ac:dyDescent="0.35">
      <c r="A663" s="14" t="s">
        <v>391</v>
      </c>
      <c r="B663" s="14" t="s">
        <v>377</v>
      </c>
      <c r="C663" t="s">
        <v>394</v>
      </c>
      <c r="D663" s="18">
        <v>44137</v>
      </c>
      <c r="E663" s="18">
        <v>44129</v>
      </c>
      <c r="F663" s="34">
        <v>44155</v>
      </c>
      <c r="H663" s="28" t="s">
        <v>408</v>
      </c>
      <c r="M663">
        <v>32</v>
      </c>
    </row>
    <row r="664" spans="1:13" x14ac:dyDescent="0.35">
      <c r="A664" s="14" t="s">
        <v>391</v>
      </c>
      <c r="B664" s="14" t="s">
        <v>377</v>
      </c>
      <c r="C664" t="s">
        <v>394</v>
      </c>
      <c r="D664" s="18">
        <v>44137</v>
      </c>
      <c r="E664" s="18">
        <v>44129</v>
      </c>
      <c r="F664" s="34">
        <v>44155</v>
      </c>
      <c r="H664" s="28" t="s">
        <v>41</v>
      </c>
      <c r="K664" t="s">
        <v>381</v>
      </c>
      <c r="L664">
        <v>50</v>
      </c>
      <c r="M664">
        <v>32</v>
      </c>
    </row>
    <row r="665" spans="1:13" x14ac:dyDescent="0.35">
      <c r="A665" s="14" t="s">
        <v>391</v>
      </c>
      <c r="B665" s="14" t="s">
        <v>377</v>
      </c>
      <c r="C665" t="s">
        <v>394</v>
      </c>
      <c r="D665" s="18">
        <v>44137</v>
      </c>
      <c r="E665" s="18">
        <v>44129</v>
      </c>
      <c r="F665" s="34">
        <v>44155</v>
      </c>
      <c r="H665" s="28" t="s">
        <v>39</v>
      </c>
      <c r="K665" t="s">
        <v>381</v>
      </c>
      <c r="L665">
        <v>25</v>
      </c>
      <c r="M665">
        <v>32</v>
      </c>
    </row>
    <row r="666" spans="1:13" x14ac:dyDescent="0.35">
      <c r="A666" s="14" t="s">
        <v>391</v>
      </c>
      <c r="B666" s="14" t="s">
        <v>377</v>
      </c>
      <c r="C666" t="s">
        <v>394</v>
      </c>
      <c r="D666" s="18">
        <v>44137</v>
      </c>
      <c r="E666" s="18">
        <v>44129</v>
      </c>
      <c r="F666" s="34">
        <v>44155</v>
      </c>
      <c r="H666" s="28" t="s">
        <v>123</v>
      </c>
      <c r="M666">
        <v>32</v>
      </c>
    </row>
    <row r="667" spans="1:13" x14ac:dyDescent="0.35">
      <c r="A667" s="14" t="s">
        <v>391</v>
      </c>
      <c r="B667" s="14" t="s">
        <v>377</v>
      </c>
      <c r="C667" t="s">
        <v>394</v>
      </c>
      <c r="D667" s="18">
        <v>44137</v>
      </c>
      <c r="E667" s="18">
        <v>44129</v>
      </c>
      <c r="F667" s="34">
        <v>44155</v>
      </c>
      <c r="H667" s="28" t="s">
        <v>150</v>
      </c>
      <c r="M667">
        <v>32</v>
      </c>
    </row>
    <row r="668" spans="1:13" x14ac:dyDescent="0.35">
      <c r="A668" s="14" t="s">
        <v>391</v>
      </c>
      <c r="B668" s="14" t="s">
        <v>377</v>
      </c>
      <c r="C668" t="s">
        <v>394</v>
      </c>
      <c r="D668" s="18">
        <v>44137</v>
      </c>
      <c r="E668" s="18">
        <v>44129</v>
      </c>
      <c r="F668" s="34">
        <v>44155</v>
      </c>
      <c r="H668" s="28" t="s">
        <v>127</v>
      </c>
      <c r="M668">
        <v>32</v>
      </c>
    </row>
    <row r="669" spans="1:13" x14ac:dyDescent="0.35">
      <c r="A669" s="14" t="s">
        <v>391</v>
      </c>
      <c r="B669" s="14" t="s">
        <v>377</v>
      </c>
      <c r="C669" t="s">
        <v>394</v>
      </c>
      <c r="D669" s="18">
        <v>44137</v>
      </c>
      <c r="E669" s="18">
        <v>44129</v>
      </c>
      <c r="F669" s="34">
        <v>44155</v>
      </c>
      <c r="H669" s="28" t="s">
        <v>25</v>
      </c>
      <c r="K669" t="s">
        <v>381</v>
      </c>
      <c r="L669">
        <v>20</v>
      </c>
      <c r="M669">
        <v>32</v>
      </c>
    </row>
    <row r="670" spans="1:13" x14ac:dyDescent="0.35">
      <c r="A670" s="14" t="s">
        <v>391</v>
      </c>
      <c r="B670" s="14" t="s">
        <v>377</v>
      </c>
      <c r="C670" t="s">
        <v>394</v>
      </c>
      <c r="D670" s="18">
        <v>44137</v>
      </c>
      <c r="E670" s="18">
        <v>44129</v>
      </c>
      <c r="F670" s="34">
        <v>44155</v>
      </c>
      <c r="H670" s="28" t="s">
        <v>404</v>
      </c>
      <c r="K670" t="s">
        <v>380</v>
      </c>
      <c r="L670">
        <v>10</v>
      </c>
      <c r="M670">
        <v>32</v>
      </c>
    </row>
    <row r="671" spans="1:13" x14ac:dyDescent="0.35">
      <c r="A671" s="14" t="s">
        <v>391</v>
      </c>
      <c r="B671" s="14" t="s">
        <v>377</v>
      </c>
      <c r="C671" t="s">
        <v>394</v>
      </c>
      <c r="D671" s="18">
        <v>44137</v>
      </c>
      <c r="E671" s="18">
        <v>44129</v>
      </c>
      <c r="F671" s="34">
        <v>44155</v>
      </c>
      <c r="H671" s="28" t="s">
        <v>406</v>
      </c>
      <c r="K671" t="s">
        <v>380</v>
      </c>
      <c r="L671">
        <v>15</v>
      </c>
      <c r="M671">
        <v>32</v>
      </c>
    </row>
    <row r="672" spans="1:13" x14ac:dyDescent="0.35">
      <c r="A672" s="14" t="s">
        <v>391</v>
      </c>
      <c r="B672" s="14" t="s">
        <v>377</v>
      </c>
      <c r="C672" t="s">
        <v>394</v>
      </c>
      <c r="D672" s="18">
        <v>44137</v>
      </c>
      <c r="E672" s="18">
        <v>44129</v>
      </c>
      <c r="F672" s="34">
        <v>44155</v>
      </c>
      <c r="H672" s="28" t="s">
        <v>405</v>
      </c>
      <c r="K672" t="s">
        <v>380</v>
      </c>
      <c r="L672">
        <v>10</v>
      </c>
      <c r="M672">
        <v>32</v>
      </c>
    </row>
    <row r="673" spans="1:13" x14ac:dyDescent="0.35">
      <c r="A673" s="14" t="s">
        <v>391</v>
      </c>
      <c r="B673" s="14" t="s">
        <v>377</v>
      </c>
      <c r="C673" t="s">
        <v>394</v>
      </c>
      <c r="D673" s="18">
        <v>44137</v>
      </c>
      <c r="E673" s="18">
        <v>44129</v>
      </c>
      <c r="F673" s="34">
        <v>44155</v>
      </c>
      <c r="H673" s="28" t="s">
        <v>407</v>
      </c>
      <c r="K673" t="s">
        <v>380</v>
      </c>
      <c r="L673">
        <v>15</v>
      </c>
      <c r="M673">
        <v>32</v>
      </c>
    </row>
    <row r="674" spans="1:13" x14ac:dyDescent="0.35">
      <c r="A674" s="14" t="s">
        <v>391</v>
      </c>
      <c r="B674" s="14" t="s">
        <v>377</v>
      </c>
      <c r="C674" t="s">
        <v>394</v>
      </c>
      <c r="D674" s="18">
        <v>44137</v>
      </c>
      <c r="E674" s="18">
        <v>44129</v>
      </c>
      <c r="F674" s="34">
        <v>44155</v>
      </c>
      <c r="H674" s="28" t="s">
        <v>30</v>
      </c>
      <c r="M674">
        <v>32</v>
      </c>
    </row>
    <row r="675" spans="1:13" x14ac:dyDescent="0.35">
      <c r="A675" s="14" t="s">
        <v>391</v>
      </c>
      <c r="B675" s="14" t="s">
        <v>377</v>
      </c>
      <c r="C675" t="s">
        <v>394</v>
      </c>
      <c r="D675" s="18">
        <v>44137</v>
      </c>
      <c r="E675" s="18">
        <v>44129</v>
      </c>
      <c r="F675" s="34">
        <v>44155</v>
      </c>
      <c r="H675" s="28" t="s">
        <v>29</v>
      </c>
      <c r="K675" t="s">
        <v>381</v>
      </c>
      <c r="L675">
        <v>33</v>
      </c>
      <c r="M675">
        <v>32</v>
      </c>
    </row>
    <row r="676" spans="1:13" x14ac:dyDescent="0.35">
      <c r="A676" s="14" t="s">
        <v>391</v>
      </c>
      <c r="B676" s="14" t="s">
        <v>377</v>
      </c>
      <c r="C676" t="s">
        <v>394</v>
      </c>
      <c r="D676" s="18">
        <v>44137</v>
      </c>
      <c r="E676" s="18">
        <v>44129</v>
      </c>
      <c r="F676" s="34">
        <v>44155</v>
      </c>
      <c r="H676" s="28" t="s">
        <v>190</v>
      </c>
      <c r="M676">
        <v>32</v>
      </c>
    </row>
    <row r="677" spans="1:13" x14ac:dyDescent="0.35">
      <c r="A677" s="14" t="s">
        <v>391</v>
      </c>
      <c r="B677" s="14" t="s">
        <v>377</v>
      </c>
      <c r="C677" t="s">
        <v>394</v>
      </c>
      <c r="D677" s="18">
        <v>44137</v>
      </c>
      <c r="E677" s="18">
        <v>44129</v>
      </c>
      <c r="F677" s="34">
        <v>44155</v>
      </c>
      <c r="H677" s="28" t="s">
        <v>198</v>
      </c>
      <c r="M677">
        <v>32</v>
      </c>
    </row>
    <row r="678" spans="1:13" x14ac:dyDescent="0.35">
      <c r="A678" s="14" t="s">
        <v>391</v>
      </c>
      <c r="B678" s="14" t="s">
        <v>377</v>
      </c>
      <c r="C678" t="s">
        <v>394</v>
      </c>
      <c r="D678" s="18">
        <v>44137</v>
      </c>
      <c r="E678" s="18">
        <v>44129</v>
      </c>
      <c r="F678" s="34">
        <v>44155</v>
      </c>
      <c r="H678" s="28" t="s">
        <v>393</v>
      </c>
      <c r="M678">
        <v>32</v>
      </c>
    </row>
    <row r="679" spans="1:13" x14ac:dyDescent="0.35">
      <c r="A679" s="14" t="s">
        <v>391</v>
      </c>
      <c r="B679" s="14" t="s">
        <v>377</v>
      </c>
      <c r="C679" t="s">
        <v>394</v>
      </c>
      <c r="D679" s="18">
        <v>44137</v>
      </c>
      <c r="E679" s="18">
        <v>44129</v>
      </c>
      <c r="F679" s="34">
        <v>44155</v>
      </c>
      <c r="H679" s="28" t="s">
        <v>204</v>
      </c>
      <c r="M679">
        <v>32</v>
      </c>
    </row>
    <row r="680" spans="1:13" x14ac:dyDescent="0.35">
      <c r="A680" s="14" t="s">
        <v>391</v>
      </c>
      <c r="B680" s="14" t="s">
        <v>377</v>
      </c>
      <c r="C680" t="s">
        <v>394</v>
      </c>
      <c r="D680" s="18">
        <v>44137</v>
      </c>
      <c r="E680" s="18">
        <v>44129</v>
      </c>
      <c r="F680" s="34">
        <v>44155</v>
      </c>
      <c r="H680" s="28" t="s">
        <v>208</v>
      </c>
      <c r="M680">
        <v>32</v>
      </c>
    </row>
    <row r="681" spans="1:13" x14ac:dyDescent="0.35">
      <c r="A681" s="14" t="s">
        <v>391</v>
      </c>
      <c r="B681" s="14" t="s">
        <v>377</v>
      </c>
      <c r="C681" t="s">
        <v>394</v>
      </c>
      <c r="D681" s="18">
        <v>44137</v>
      </c>
      <c r="E681" s="18">
        <v>44129</v>
      </c>
      <c r="F681" s="34">
        <v>44155</v>
      </c>
      <c r="H681" s="28" t="s">
        <v>403</v>
      </c>
      <c r="M681">
        <v>32</v>
      </c>
    </row>
    <row r="682" spans="1:13" x14ac:dyDescent="0.35">
      <c r="A682" s="14" t="s">
        <v>391</v>
      </c>
      <c r="B682" s="14" t="s">
        <v>377</v>
      </c>
      <c r="C682" t="s">
        <v>394</v>
      </c>
      <c r="D682" s="18">
        <v>44137</v>
      </c>
      <c r="E682" s="18">
        <v>44129</v>
      </c>
      <c r="F682" s="34">
        <v>44155</v>
      </c>
      <c r="H682" s="28" t="s">
        <v>223</v>
      </c>
      <c r="M682">
        <v>32</v>
      </c>
    </row>
    <row r="683" spans="1:13" x14ac:dyDescent="0.35">
      <c r="A683" s="14" t="s">
        <v>391</v>
      </c>
      <c r="B683" s="14" t="s">
        <v>377</v>
      </c>
      <c r="C683" t="s">
        <v>394</v>
      </c>
      <c r="D683" s="18">
        <v>44137</v>
      </c>
      <c r="E683" s="18">
        <v>44129</v>
      </c>
      <c r="F683" s="34">
        <v>44155</v>
      </c>
      <c r="H683" s="28" t="s">
        <v>56</v>
      </c>
      <c r="K683" t="s">
        <v>381</v>
      </c>
      <c r="L683">
        <v>30</v>
      </c>
      <c r="M683">
        <v>32</v>
      </c>
    </row>
    <row r="684" spans="1:13" x14ac:dyDescent="0.35">
      <c r="A684" s="14" t="s">
        <v>391</v>
      </c>
      <c r="B684" s="14" t="s">
        <v>377</v>
      </c>
      <c r="C684" t="s">
        <v>394</v>
      </c>
      <c r="D684" s="18">
        <v>44137</v>
      </c>
      <c r="E684" s="18">
        <v>44129</v>
      </c>
      <c r="F684" s="34">
        <v>44155</v>
      </c>
      <c r="H684" s="28" t="s">
        <v>263</v>
      </c>
      <c r="M684">
        <v>32</v>
      </c>
    </row>
    <row r="685" spans="1:13" x14ac:dyDescent="0.35">
      <c r="A685" s="14" t="s">
        <v>391</v>
      </c>
      <c r="B685" s="14" t="s">
        <v>377</v>
      </c>
      <c r="C685" t="s">
        <v>394</v>
      </c>
      <c r="D685" s="18">
        <v>44137</v>
      </c>
      <c r="E685" s="18">
        <v>44129</v>
      </c>
      <c r="F685" s="34">
        <v>44155</v>
      </c>
      <c r="H685" s="28" t="s">
        <v>287</v>
      </c>
      <c r="M685">
        <v>32</v>
      </c>
    </row>
    <row r="686" spans="1:13" x14ac:dyDescent="0.35">
      <c r="A686" s="14" t="s">
        <v>391</v>
      </c>
      <c r="B686" s="14" t="s">
        <v>377</v>
      </c>
      <c r="C686" t="s">
        <v>394</v>
      </c>
      <c r="D686" s="18">
        <v>44137</v>
      </c>
      <c r="E686" s="18">
        <v>44129</v>
      </c>
      <c r="F686" s="34">
        <v>44155</v>
      </c>
      <c r="H686" s="28" t="s">
        <v>309</v>
      </c>
      <c r="M686">
        <v>32</v>
      </c>
    </row>
    <row r="687" spans="1:13" x14ac:dyDescent="0.35">
      <c r="A687" s="14" t="s">
        <v>391</v>
      </c>
      <c r="B687" s="14" t="s">
        <v>377</v>
      </c>
      <c r="C687" t="s">
        <v>394</v>
      </c>
      <c r="D687" s="18">
        <v>44137</v>
      </c>
      <c r="E687" s="18">
        <v>44129</v>
      </c>
      <c r="F687" s="34">
        <v>44155</v>
      </c>
      <c r="H687" s="28" t="s">
        <v>311</v>
      </c>
      <c r="M687">
        <v>32</v>
      </c>
    </row>
    <row r="688" spans="1:13" x14ac:dyDescent="0.35">
      <c r="A688" s="14" t="s">
        <v>391</v>
      </c>
      <c r="B688" s="14" t="s">
        <v>377</v>
      </c>
      <c r="C688" t="s">
        <v>394</v>
      </c>
      <c r="D688" s="18">
        <v>44137</v>
      </c>
      <c r="E688" s="18">
        <v>44129</v>
      </c>
      <c r="F688" s="34">
        <v>44155</v>
      </c>
      <c r="H688" s="28" t="s">
        <v>315</v>
      </c>
      <c r="K688" t="s">
        <v>381</v>
      </c>
      <c r="L688">
        <v>30</v>
      </c>
      <c r="M688">
        <v>32</v>
      </c>
    </row>
    <row r="689" spans="1:13" x14ac:dyDescent="0.35">
      <c r="A689" s="14" t="s">
        <v>391</v>
      </c>
      <c r="B689" s="14" t="s">
        <v>377</v>
      </c>
      <c r="C689" t="s">
        <v>394</v>
      </c>
      <c r="D689" s="18">
        <v>44137</v>
      </c>
      <c r="E689" s="18">
        <v>44129</v>
      </c>
      <c r="F689" s="34">
        <v>44155</v>
      </c>
      <c r="H689" s="28" t="s">
        <v>401</v>
      </c>
      <c r="K689" t="s">
        <v>381</v>
      </c>
      <c r="L689">
        <v>50</v>
      </c>
      <c r="M689">
        <v>32</v>
      </c>
    </row>
    <row r="690" spans="1:13" x14ac:dyDescent="0.35">
      <c r="A690" s="14" t="s">
        <v>391</v>
      </c>
      <c r="B690" s="14" t="s">
        <v>377</v>
      </c>
      <c r="C690" t="s">
        <v>394</v>
      </c>
      <c r="D690" s="18">
        <v>44137</v>
      </c>
      <c r="E690" s="18">
        <v>44129</v>
      </c>
      <c r="F690" s="34">
        <v>44155</v>
      </c>
      <c r="H690" s="28" t="s">
        <v>402</v>
      </c>
      <c r="K690" t="s">
        <v>380</v>
      </c>
      <c r="L690">
        <v>6</v>
      </c>
      <c r="M690">
        <v>32</v>
      </c>
    </row>
    <row r="691" spans="1:13" x14ac:dyDescent="0.35">
      <c r="A691" s="14" t="s">
        <v>391</v>
      </c>
      <c r="B691" s="14" t="s">
        <v>377</v>
      </c>
      <c r="C691" t="s">
        <v>394</v>
      </c>
      <c r="D691" s="18">
        <v>44137</v>
      </c>
      <c r="E691" s="18">
        <v>44129</v>
      </c>
      <c r="F691" s="34">
        <v>44155</v>
      </c>
      <c r="H691" s="28" t="s">
        <v>60</v>
      </c>
      <c r="K691" t="s">
        <v>380</v>
      </c>
      <c r="L691">
        <v>6</v>
      </c>
      <c r="M691">
        <v>32</v>
      </c>
    </row>
    <row r="692" spans="1:13" x14ac:dyDescent="0.35">
      <c r="A692" s="14" t="s">
        <v>391</v>
      </c>
      <c r="B692" s="14" t="s">
        <v>377</v>
      </c>
      <c r="C692" t="s">
        <v>394</v>
      </c>
      <c r="D692" s="18">
        <v>44137</v>
      </c>
      <c r="E692" s="18">
        <v>44129</v>
      </c>
      <c r="F692" s="34">
        <v>44155</v>
      </c>
      <c r="H692" s="28" t="s">
        <v>60</v>
      </c>
      <c r="K692" t="s">
        <v>380</v>
      </c>
      <c r="L692">
        <v>6</v>
      </c>
      <c r="M692">
        <v>32</v>
      </c>
    </row>
    <row r="693" spans="1:13" x14ac:dyDescent="0.35">
      <c r="A693" s="14" t="s">
        <v>391</v>
      </c>
      <c r="B693" s="14" t="s">
        <v>377</v>
      </c>
      <c r="C693" t="s">
        <v>394</v>
      </c>
      <c r="D693" s="18">
        <v>44137</v>
      </c>
      <c r="E693" s="18">
        <v>44129</v>
      </c>
      <c r="F693" s="34">
        <v>44155</v>
      </c>
      <c r="H693" s="28" t="s">
        <v>335</v>
      </c>
      <c r="M693">
        <v>32</v>
      </c>
    </row>
    <row r="694" spans="1:13" x14ac:dyDescent="0.35">
      <c r="A694" s="14" t="s">
        <v>391</v>
      </c>
      <c r="B694" s="14" t="s">
        <v>377</v>
      </c>
      <c r="C694" t="s">
        <v>394</v>
      </c>
      <c r="D694" s="18">
        <v>44137</v>
      </c>
      <c r="E694" s="18">
        <v>44129</v>
      </c>
      <c r="F694" s="34">
        <v>44155</v>
      </c>
      <c r="H694" s="28" t="s">
        <v>339</v>
      </c>
      <c r="M694">
        <v>32</v>
      </c>
    </row>
    <row r="695" spans="1:13" x14ac:dyDescent="0.35">
      <c r="A695" s="14" t="s">
        <v>391</v>
      </c>
      <c r="B695" s="14" t="s">
        <v>377</v>
      </c>
      <c r="C695" t="s">
        <v>394</v>
      </c>
      <c r="D695" s="18">
        <v>44137</v>
      </c>
      <c r="E695" s="18">
        <v>44129</v>
      </c>
      <c r="F695" s="34">
        <v>44155</v>
      </c>
      <c r="H695" s="28" t="s">
        <v>341</v>
      </c>
      <c r="M695">
        <v>32</v>
      </c>
    </row>
    <row r="696" spans="1:13" x14ac:dyDescent="0.35">
      <c r="A696" s="14" t="s">
        <v>391</v>
      </c>
      <c r="B696" s="14" t="s">
        <v>377</v>
      </c>
      <c r="C696" t="s">
        <v>394</v>
      </c>
      <c r="D696" s="18">
        <v>44137</v>
      </c>
      <c r="E696" s="18">
        <v>44129</v>
      </c>
      <c r="F696" s="34">
        <v>44155</v>
      </c>
      <c r="H696" s="28" t="s">
        <v>345</v>
      </c>
      <c r="K696" t="s">
        <v>381</v>
      </c>
      <c r="L696">
        <v>50</v>
      </c>
      <c r="M696">
        <v>32</v>
      </c>
    </row>
    <row r="697" spans="1:13" x14ac:dyDescent="0.35">
      <c r="A697" s="14" t="s">
        <v>391</v>
      </c>
      <c r="B697" s="14" t="s">
        <v>377</v>
      </c>
      <c r="C697" t="s">
        <v>394</v>
      </c>
      <c r="D697" s="18">
        <v>44137</v>
      </c>
      <c r="E697" s="18">
        <v>44129</v>
      </c>
      <c r="F697" s="34">
        <v>44155</v>
      </c>
      <c r="H697" s="28" t="s">
        <v>59</v>
      </c>
      <c r="M697">
        <v>32</v>
      </c>
    </row>
    <row r="698" spans="1:13" x14ac:dyDescent="0.35">
      <c r="A698" s="14" t="s">
        <v>391</v>
      </c>
      <c r="B698" s="14" t="s">
        <v>377</v>
      </c>
      <c r="C698" t="s">
        <v>394</v>
      </c>
      <c r="D698" s="18">
        <v>44137</v>
      </c>
      <c r="E698" s="18">
        <v>44129</v>
      </c>
      <c r="F698" s="34">
        <v>44155</v>
      </c>
      <c r="H698" s="28" t="s">
        <v>360</v>
      </c>
      <c r="M698">
        <v>32</v>
      </c>
    </row>
    <row r="699" spans="1:13" x14ac:dyDescent="0.35">
      <c r="A699" s="14" t="s">
        <v>391</v>
      </c>
      <c r="B699" s="14" t="s">
        <v>377</v>
      </c>
      <c r="C699" t="s">
        <v>397</v>
      </c>
      <c r="D699" s="18">
        <v>44137</v>
      </c>
      <c r="E699" s="18">
        <v>44132</v>
      </c>
      <c r="F699" s="34">
        <v>44155</v>
      </c>
      <c r="H699" s="28" t="s">
        <v>68</v>
      </c>
      <c r="M699">
        <v>39</v>
      </c>
    </row>
    <row r="700" spans="1:13" x14ac:dyDescent="0.35">
      <c r="A700" s="14" t="s">
        <v>391</v>
      </c>
      <c r="B700" s="14" t="s">
        <v>377</v>
      </c>
      <c r="C700" t="s">
        <v>397</v>
      </c>
      <c r="D700" s="18">
        <v>44137</v>
      </c>
      <c r="E700" s="18">
        <v>44132</v>
      </c>
      <c r="F700" s="34">
        <v>44155</v>
      </c>
      <c r="H700" s="28" t="s">
        <v>408</v>
      </c>
      <c r="M700">
        <v>39</v>
      </c>
    </row>
    <row r="701" spans="1:13" x14ac:dyDescent="0.35">
      <c r="A701" s="14" t="s">
        <v>391</v>
      </c>
      <c r="B701" s="14" t="s">
        <v>377</v>
      </c>
      <c r="C701" t="s">
        <v>397</v>
      </c>
      <c r="D701" s="18">
        <v>44137</v>
      </c>
      <c r="E701" s="18">
        <v>44132</v>
      </c>
      <c r="F701" s="34">
        <v>44155</v>
      </c>
      <c r="H701" s="28" t="s">
        <v>41</v>
      </c>
      <c r="K701" t="s">
        <v>381</v>
      </c>
      <c r="L701">
        <v>50</v>
      </c>
      <c r="M701">
        <v>39</v>
      </c>
    </row>
    <row r="702" spans="1:13" x14ac:dyDescent="0.35">
      <c r="A702" s="14" t="s">
        <v>391</v>
      </c>
      <c r="B702" s="14" t="s">
        <v>377</v>
      </c>
      <c r="C702" t="s">
        <v>397</v>
      </c>
      <c r="D702" s="18">
        <v>44137</v>
      </c>
      <c r="E702" s="18">
        <v>44132</v>
      </c>
      <c r="F702" s="34">
        <v>44155</v>
      </c>
      <c r="H702" s="28" t="s">
        <v>39</v>
      </c>
      <c r="K702" t="s">
        <v>381</v>
      </c>
      <c r="L702">
        <v>25</v>
      </c>
      <c r="M702">
        <v>39</v>
      </c>
    </row>
    <row r="703" spans="1:13" x14ac:dyDescent="0.35">
      <c r="A703" s="14" t="s">
        <v>391</v>
      </c>
      <c r="B703" s="14" t="s">
        <v>377</v>
      </c>
      <c r="C703" t="s">
        <v>397</v>
      </c>
      <c r="D703" s="18">
        <v>44137</v>
      </c>
      <c r="E703" s="18">
        <v>44132</v>
      </c>
      <c r="F703" s="34">
        <v>44155</v>
      </c>
      <c r="H703" s="28" t="s">
        <v>123</v>
      </c>
      <c r="M703">
        <v>39</v>
      </c>
    </row>
    <row r="704" spans="1:13" x14ac:dyDescent="0.35">
      <c r="A704" s="14" t="s">
        <v>391</v>
      </c>
      <c r="B704" s="14" t="s">
        <v>377</v>
      </c>
      <c r="C704" t="s">
        <v>397</v>
      </c>
      <c r="D704" s="18">
        <v>44137</v>
      </c>
      <c r="E704" s="18">
        <v>44132</v>
      </c>
      <c r="F704" s="34">
        <v>44155</v>
      </c>
      <c r="H704" s="28" t="s">
        <v>150</v>
      </c>
      <c r="M704">
        <v>39</v>
      </c>
    </row>
    <row r="705" spans="1:13" x14ac:dyDescent="0.35">
      <c r="A705" s="14" t="s">
        <v>391</v>
      </c>
      <c r="B705" s="14" t="s">
        <v>377</v>
      </c>
      <c r="C705" t="s">
        <v>397</v>
      </c>
      <c r="D705" s="18">
        <v>44137</v>
      </c>
      <c r="E705" s="18">
        <v>44132</v>
      </c>
      <c r="F705" s="34">
        <v>44155</v>
      </c>
      <c r="H705" s="28" t="s">
        <v>127</v>
      </c>
      <c r="M705">
        <v>39</v>
      </c>
    </row>
    <row r="706" spans="1:13" x14ac:dyDescent="0.35">
      <c r="A706" s="14" t="s">
        <v>391</v>
      </c>
      <c r="B706" s="14" t="s">
        <v>377</v>
      </c>
      <c r="C706" t="s">
        <v>397</v>
      </c>
      <c r="D706" s="18">
        <v>44137</v>
      </c>
      <c r="E706" s="18">
        <v>44132</v>
      </c>
      <c r="F706" s="34">
        <v>44155</v>
      </c>
      <c r="H706" s="28" t="s">
        <v>25</v>
      </c>
      <c r="K706" t="s">
        <v>381</v>
      </c>
      <c r="L706">
        <v>20</v>
      </c>
      <c r="M706">
        <v>39</v>
      </c>
    </row>
    <row r="707" spans="1:13" x14ac:dyDescent="0.35">
      <c r="A707" s="14" t="s">
        <v>391</v>
      </c>
      <c r="B707" s="14" t="s">
        <v>377</v>
      </c>
      <c r="C707" t="s">
        <v>397</v>
      </c>
      <c r="D707" s="18">
        <v>44137</v>
      </c>
      <c r="E707" s="18">
        <v>44132</v>
      </c>
      <c r="F707" s="34">
        <v>44155</v>
      </c>
      <c r="H707" s="28" t="s">
        <v>404</v>
      </c>
      <c r="K707" t="s">
        <v>380</v>
      </c>
      <c r="L707">
        <v>10</v>
      </c>
      <c r="M707">
        <v>39</v>
      </c>
    </row>
    <row r="708" spans="1:13" x14ac:dyDescent="0.35">
      <c r="A708" s="14" t="s">
        <v>391</v>
      </c>
      <c r="B708" s="14" t="s">
        <v>377</v>
      </c>
      <c r="C708" t="s">
        <v>397</v>
      </c>
      <c r="D708" s="18">
        <v>44137</v>
      </c>
      <c r="E708" s="18">
        <v>44132</v>
      </c>
      <c r="F708" s="34">
        <v>44155</v>
      </c>
      <c r="H708" s="28" t="s">
        <v>406</v>
      </c>
      <c r="K708" t="s">
        <v>380</v>
      </c>
      <c r="L708">
        <v>15</v>
      </c>
      <c r="M708">
        <v>39</v>
      </c>
    </row>
    <row r="709" spans="1:13" x14ac:dyDescent="0.35">
      <c r="A709" s="14" t="s">
        <v>391</v>
      </c>
      <c r="B709" s="14" t="s">
        <v>377</v>
      </c>
      <c r="C709" t="s">
        <v>397</v>
      </c>
      <c r="D709" s="18">
        <v>44137</v>
      </c>
      <c r="E709" s="18">
        <v>44132</v>
      </c>
      <c r="F709" s="34">
        <v>44155</v>
      </c>
      <c r="H709" s="28" t="s">
        <v>405</v>
      </c>
      <c r="K709" t="s">
        <v>380</v>
      </c>
      <c r="L709">
        <v>10</v>
      </c>
      <c r="M709">
        <v>39</v>
      </c>
    </row>
    <row r="710" spans="1:13" x14ac:dyDescent="0.35">
      <c r="A710" s="14" t="s">
        <v>391</v>
      </c>
      <c r="B710" s="14" t="s">
        <v>377</v>
      </c>
      <c r="C710" t="s">
        <v>397</v>
      </c>
      <c r="D710" s="18">
        <v>44137</v>
      </c>
      <c r="E710" s="18">
        <v>44132</v>
      </c>
      <c r="F710" s="34">
        <v>44155</v>
      </c>
      <c r="H710" s="28" t="s">
        <v>407</v>
      </c>
      <c r="K710" t="s">
        <v>380</v>
      </c>
      <c r="L710">
        <v>15</v>
      </c>
      <c r="M710">
        <v>39</v>
      </c>
    </row>
    <row r="711" spans="1:13" x14ac:dyDescent="0.35">
      <c r="A711" s="14" t="s">
        <v>391</v>
      </c>
      <c r="B711" s="14" t="s">
        <v>377</v>
      </c>
      <c r="C711" t="s">
        <v>397</v>
      </c>
      <c r="D711" s="18">
        <v>44137</v>
      </c>
      <c r="E711" s="18">
        <v>44132</v>
      </c>
      <c r="F711" s="34">
        <v>44155</v>
      </c>
      <c r="H711" s="28" t="s">
        <v>30</v>
      </c>
      <c r="M711">
        <v>39</v>
      </c>
    </row>
    <row r="712" spans="1:13" x14ac:dyDescent="0.35">
      <c r="A712" s="14" t="s">
        <v>391</v>
      </c>
      <c r="B712" s="14" t="s">
        <v>377</v>
      </c>
      <c r="C712" t="s">
        <v>397</v>
      </c>
      <c r="D712" s="18">
        <v>44137</v>
      </c>
      <c r="E712" s="18">
        <v>44132</v>
      </c>
      <c r="F712" s="34">
        <v>44155</v>
      </c>
      <c r="H712" s="28" t="s">
        <v>29</v>
      </c>
      <c r="K712" t="s">
        <v>381</v>
      </c>
      <c r="L712">
        <v>33</v>
      </c>
      <c r="M712">
        <v>39</v>
      </c>
    </row>
    <row r="713" spans="1:13" x14ac:dyDescent="0.35">
      <c r="A713" s="14" t="s">
        <v>391</v>
      </c>
      <c r="B713" s="14" t="s">
        <v>377</v>
      </c>
      <c r="C713" t="s">
        <v>397</v>
      </c>
      <c r="D713" s="18">
        <v>44137</v>
      </c>
      <c r="E713" s="18">
        <v>44132</v>
      </c>
      <c r="F713" s="34">
        <v>44155</v>
      </c>
      <c r="H713" s="28" t="s">
        <v>190</v>
      </c>
      <c r="M713">
        <v>39</v>
      </c>
    </row>
    <row r="714" spans="1:13" x14ac:dyDescent="0.35">
      <c r="A714" s="14" t="s">
        <v>391</v>
      </c>
      <c r="B714" s="14" t="s">
        <v>377</v>
      </c>
      <c r="C714" t="s">
        <v>397</v>
      </c>
      <c r="D714" s="18">
        <v>44137</v>
      </c>
      <c r="E714" s="18">
        <v>44132</v>
      </c>
      <c r="F714" s="34">
        <v>44155</v>
      </c>
      <c r="H714" s="28" t="s">
        <v>198</v>
      </c>
      <c r="M714">
        <v>39</v>
      </c>
    </row>
    <row r="715" spans="1:13" x14ac:dyDescent="0.35">
      <c r="A715" s="14" t="s">
        <v>391</v>
      </c>
      <c r="B715" s="14" t="s">
        <v>377</v>
      </c>
      <c r="C715" t="s">
        <v>397</v>
      </c>
      <c r="D715" s="18">
        <v>44137</v>
      </c>
      <c r="E715" s="18">
        <v>44132</v>
      </c>
      <c r="F715" s="34">
        <v>44155</v>
      </c>
      <c r="H715" s="28" t="s">
        <v>393</v>
      </c>
      <c r="M715">
        <v>39</v>
      </c>
    </row>
    <row r="716" spans="1:13" x14ac:dyDescent="0.35">
      <c r="A716" s="14" t="s">
        <v>391</v>
      </c>
      <c r="B716" s="14" t="s">
        <v>377</v>
      </c>
      <c r="C716" t="s">
        <v>397</v>
      </c>
      <c r="D716" s="18">
        <v>44137</v>
      </c>
      <c r="E716" s="18">
        <v>44132</v>
      </c>
      <c r="F716" s="34">
        <v>44155</v>
      </c>
      <c r="H716" s="28" t="s">
        <v>204</v>
      </c>
      <c r="M716">
        <v>39</v>
      </c>
    </row>
    <row r="717" spans="1:13" x14ac:dyDescent="0.35">
      <c r="A717" s="14" t="s">
        <v>391</v>
      </c>
      <c r="B717" s="14" t="s">
        <v>377</v>
      </c>
      <c r="C717" t="s">
        <v>397</v>
      </c>
      <c r="D717" s="18">
        <v>44137</v>
      </c>
      <c r="E717" s="18">
        <v>44132</v>
      </c>
      <c r="F717" s="34">
        <v>44155</v>
      </c>
      <c r="H717" s="28" t="s">
        <v>208</v>
      </c>
      <c r="M717">
        <v>39</v>
      </c>
    </row>
    <row r="718" spans="1:13" x14ac:dyDescent="0.35">
      <c r="A718" s="14" t="s">
        <v>391</v>
      </c>
      <c r="B718" s="14" t="s">
        <v>377</v>
      </c>
      <c r="C718" t="s">
        <v>397</v>
      </c>
      <c r="D718" s="18">
        <v>44137</v>
      </c>
      <c r="E718" s="18">
        <v>44132</v>
      </c>
      <c r="F718" s="34">
        <v>44155</v>
      </c>
      <c r="H718" s="28" t="s">
        <v>403</v>
      </c>
      <c r="M718">
        <v>39</v>
      </c>
    </row>
    <row r="719" spans="1:13" x14ac:dyDescent="0.35">
      <c r="A719" s="14" t="s">
        <v>391</v>
      </c>
      <c r="B719" s="14" t="s">
        <v>377</v>
      </c>
      <c r="C719" t="s">
        <v>397</v>
      </c>
      <c r="D719" s="18">
        <v>44137</v>
      </c>
      <c r="E719" s="18">
        <v>44132</v>
      </c>
      <c r="F719" s="34">
        <v>44155</v>
      </c>
      <c r="H719" s="28" t="s">
        <v>223</v>
      </c>
      <c r="M719">
        <v>39</v>
      </c>
    </row>
    <row r="720" spans="1:13" x14ac:dyDescent="0.35">
      <c r="A720" s="14" t="s">
        <v>391</v>
      </c>
      <c r="B720" s="14" t="s">
        <v>377</v>
      </c>
      <c r="C720" t="s">
        <v>397</v>
      </c>
      <c r="D720" s="18">
        <v>44137</v>
      </c>
      <c r="E720" s="18">
        <v>44132</v>
      </c>
      <c r="F720" s="34">
        <v>44155</v>
      </c>
      <c r="H720" s="28" t="s">
        <v>56</v>
      </c>
      <c r="K720" t="s">
        <v>381</v>
      </c>
      <c r="L720">
        <v>30</v>
      </c>
      <c r="M720">
        <v>39</v>
      </c>
    </row>
    <row r="721" spans="1:13" x14ac:dyDescent="0.35">
      <c r="A721" s="14" t="s">
        <v>391</v>
      </c>
      <c r="B721" s="14" t="s">
        <v>377</v>
      </c>
      <c r="C721" t="s">
        <v>397</v>
      </c>
      <c r="D721" s="18">
        <v>44137</v>
      </c>
      <c r="E721" s="18">
        <v>44132</v>
      </c>
      <c r="F721" s="34">
        <v>44155</v>
      </c>
      <c r="H721" s="28" t="s">
        <v>263</v>
      </c>
      <c r="M721">
        <v>39</v>
      </c>
    </row>
    <row r="722" spans="1:13" x14ac:dyDescent="0.35">
      <c r="A722" s="14" t="s">
        <v>391</v>
      </c>
      <c r="B722" s="14" t="s">
        <v>377</v>
      </c>
      <c r="C722" t="s">
        <v>397</v>
      </c>
      <c r="D722" s="18">
        <v>44137</v>
      </c>
      <c r="E722" s="18">
        <v>44132</v>
      </c>
      <c r="F722" s="34">
        <v>44155</v>
      </c>
      <c r="H722" s="28" t="s">
        <v>287</v>
      </c>
      <c r="M722">
        <v>39</v>
      </c>
    </row>
    <row r="723" spans="1:13" x14ac:dyDescent="0.35">
      <c r="A723" s="14" t="s">
        <v>391</v>
      </c>
      <c r="B723" s="14" t="s">
        <v>377</v>
      </c>
      <c r="C723" t="s">
        <v>397</v>
      </c>
      <c r="D723" s="18">
        <v>44137</v>
      </c>
      <c r="E723" s="18">
        <v>44132</v>
      </c>
      <c r="F723" s="34">
        <v>44155</v>
      </c>
      <c r="H723" s="28" t="s">
        <v>309</v>
      </c>
      <c r="M723">
        <v>39</v>
      </c>
    </row>
    <row r="724" spans="1:13" x14ac:dyDescent="0.35">
      <c r="A724" s="14" t="s">
        <v>391</v>
      </c>
      <c r="B724" s="14" t="s">
        <v>377</v>
      </c>
      <c r="C724" t="s">
        <v>397</v>
      </c>
      <c r="D724" s="18">
        <v>44137</v>
      </c>
      <c r="E724" s="18">
        <v>44132</v>
      </c>
      <c r="F724" s="34">
        <v>44155</v>
      </c>
      <c r="H724" s="28" t="s">
        <v>311</v>
      </c>
      <c r="M724">
        <v>39</v>
      </c>
    </row>
    <row r="725" spans="1:13" x14ac:dyDescent="0.35">
      <c r="A725" s="14" t="s">
        <v>391</v>
      </c>
      <c r="B725" s="14" t="s">
        <v>377</v>
      </c>
      <c r="C725" t="s">
        <v>397</v>
      </c>
      <c r="D725" s="18">
        <v>44137</v>
      </c>
      <c r="E725" s="18">
        <v>44132</v>
      </c>
      <c r="F725" s="34">
        <v>44155</v>
      </c>
      <c r="H725" s="28" t="s">
        <v>315</v>
      </c>
      <c r="K725" t="s">
        <v>381</v>
      </c>
      <c r="L725">
        <v>30</v>
      </c>
      <c r="M725">
        <v>39</v>
      </c>
    </row>
    <row r="726" spans="1:13" x14ac:dyDescent="0.35">
      <c r="A726" s="14" t="s">
        <v>391</v>
      </c>
      <c r="B726" s="14" t="s">
        <v>377</v>
      </c>
      <c r="C726" t="s">
        <v>397</v>
      </c>
      <c r="D726" s="18">
        <v>44137</v>
      </c>
      <c r="E726" s="18">
        <v>44132</v>
      </c>
      <c r="F726" s="34">
        <v>44155</v>
      </c>
      <c r="H726" s="28" t="s">
        <v>401</v>
      </c>
      <c r="K726" t="s">
        <v>381</v>
      </c>
      <c r="L726">
        <v>50</v>
      </c>
      <c r="M726">
        <v>39</v>
      </c>
    </row>
    <row r="727" spans="1:13" x14ac:dyDescent="0.35">
      <c r="A727" s="14" t="s">
        <v>391</v>
      </c>
      <c r="B727" s="14" t="s">
        <v>377</v>
      </c>
      <c r="C727" t="s">
        <v>397</v>
      </c>
      <c r="D727" s="18">
        <v>44137</v>
      </c>
      <c r="E727" s="18">
        <v>44132</v>
      </c>
      <c r="F727" s="34">
        <v>44155</v>
      </c>
      <c r="H727" s="28" t="s">
        <v>402</v>
      </c>
      <c r="K727" t="s">
        <v>380</v>
      </c>
      <c r="L727">
        <v>6</v>
      </c>
      <c r="M727">
        <v>39</v>
      </c>
    </row>
    <row r="728" spans="1:13" x14ac:dyDescent="0.35">
      <c r="A728" s="14" t="s">
        <v>391</v>
      </c>
      <c r="B728" s="14" t="s">
        <v>377</v>
      </c>
      <c r="C728" t="s">
        <v>397</v>
      </c>
      <c r="D728" s="18">
        <v>44137</v>
      </c>
      <c r="E728" s="18">
        <v>44132</v>
      </c>
      <c r="F728" s="34">
        <v>44155</v>
      </c>
      <c r="H728" s="28" t="s">
        <v>60</v>
      </c>
      <c r="K728" t="s">
        <v>380</v>
      </c>
      <c r="L728">
        <v>6</v>
      </c>
      <c r="M728">
        <v>39</v>
      </c>
    </row>
    <row r="729" spans="1:13" x14ac:dyDescent="0.35">
      <c r="A729" s="14" t="s">
        <v>391</v>
      </c>
      <c r="B729" s="14" t="s">
        <v>377</v>
      </c>
      <c r="C729" t="s">
        <v>397</v>
      </c>
      <c r="D729" s="18">
        <v>44137</v>
      </c>
      <c r="E729" s="18">
        <v>44132</v>
      </c>
      <c r="F729" s="34">
        <v>44155</v>
      </c>
      <c r="H729" s="28" t="s">
        <v>60</v>
      </c>
      <c r="K729" t="s">
        <v>380</v>
      </c>
      <c r="L729">
        <v>6</v>
      </c>
      <c r="M729">
        <v>39</v>
      </c>
    </row>
    <row r="730" spans="1:13" x14ac:dyDescent="0.35">
      <c r="A730" s="14" t="s">
        <v>391</v>
      </c>
      <c r="B730" s="14" t="s">
        <v>377</v>
      </c>
      <c r="C730" t="s">
        <v>397</v>
      </c>
      <c r="D730" s="18">
        <v>44137</v>
      </c>
      <c r="E730" s="18">
        <v>44132</v>
      </c>
      <c r="F730" s="34">
        <v>44155</v>
      </c>
      <c r="H730" s="28" t="s">
        <v>335</v>
      </c>
      <c r="M730">
        <v>39</v>
      </c>
    </row>
    <row r="731" spans="1:13" x14ac:dyDescent="0.35">
      <c r="A731" s="14" t="s">
        <v>391</v>
      </c>
      <c r="B731" s="14" t="s">
        <v>377</v>
      </c>
      <c r="C731" t="s">
        <v>397</v>
      </c>
      <c r="D731" s="18">
        <v>44137</v>
      </c>
      <c r="E731" s="18">
        <v>44132</v>
      </c>
      <c r="F731" s="34">
        <v>44155</v>
      </c>
      <c r="H731" s="28" t="s">
        <v>339</v>
      </c>
      <c r="M731">
        <v>39</v>
      </c>
    </row>
    <row r="732" spans="1:13" x14ac:dyDescent="0.35">
      <c r="A732" s="14" t="s">
        <v>391</v>
      </c>
      <c r="B732" s="14" t="s">
        <v>377</v>
      </c>
      <c r="C732" t="s">
        <v>397</v>
      </c>
      <c r="D732" s="18">
        <v>44137</v>
      </c>
      <c r="E732" s="18">
        <v>44132</v>
      </c>
      <c r="F732" s="34">
        <v>44155</v>
      </c>
      <c r="H732" s="28" t="s">
        <v>341</v>
      </c>
      <c r="M732">
        <v>39</v>
      </c>
    </row>
    <row r="733" spans="1:13" x14ac:dyDescent="0.35">
      <c r="A733" s="14" t="s">
        <v>391</v>
      </c>
      <c r="B733" s="14" t="s">
        <v>377</v>
      </c>
      <c r="C733" t="s">
        <v>397</v>
      </c>
      <c r="D733" s="18">
        <v>44137</v>
      </c>
      <c r="E733" s="18">
        <v>44132</v>
      </c>
      <c r="F733" s="34">
        <v>44155</v>
      </c>
      <c r="H733" s="28" t="s">
        <v>345</v>
      </c>
      <c r="K733" t="s">
        <v>381</v>
      </c>
      <c r="L733">
        <v>50</v>
      </c>
      <c r="M733">
        <v>39</v>
      </c>
    </row>
    <row r="734" spans="1:13" x14ac:dyDescent="0.35">
      <c r="A734" s="14" t="s">
        <v>391</v>
      </c>
      <c r="B734" s="14" t="s">
        <v>377</v>
      </c>
      <c r="C734" t="s">
        <v>397</v>
      </c>
      <c r="D734" s="18">
        <v>44137</v>
      </c>
      <c r="E734" s="18">
        <v>44132</v>
      </c>
      <c r="F734" s="34">
        <v>44155</v>
      </c>
      <c r="H734" s="28" t="s">
        <v>59</v>
      </c>
      <c r="M734">
        <v>39</v>
      </c>
    </row>
    <row r="735" spans="1:13" x14ac:dyDescent="0.35">
      <c r="A735" s="14" t="s">
        <v>391</v>
      </c>
      <c r="B735" s="14" t="s">
        <v>377</v>
      </c>
      <c r="C735" t="s">
        <v>397</v>
      </c>
      <c r="D735" s="18">
        <v>44137</v>
      </c>
      <c r="E735" s="18">
        <v>44132</v>
      </c>
      <c r="F735" s="34">
        <v>44155</v>
      </c>
      <c r="H735" s="28" t="s">
        <v>360</v>
      </c>
      <c r="M735">
        <v>39</v>
      </c>
    </row>
    <row r="736" spans="1:13" x14ac:dyDescent="0.35">
      <c r="A736" s="14" t="s">
        <v>391</v>
      </c>
      <c r="B736" s="14" t="s">
        <v>377</v>
      </c>
      <c r="C736" t="s">
        <v>400</v>
      </c>
      <c r="D736" s="18">
        <v>44138</v>
      </c>
      <c r="E736" s="18">
        <v>44132</v>
      </c>
      <c r="F736" s="34">
        <v>44155</v>
      </c>
      <c r="H736" s="28" t="s">
        <v>68</v>
      </c>
      <c r="M736">
        <v>16</v>
      </c>
    </row>
    <row r="737" spans="1:13" x14ac:dyDescent="0.35">
      <c r="A737" s="14" t="s">
        <v>391</v>
      </c>
      <c r="B737" s="14" t="s">
        <v>377</v>
      </c>
      <c r="C737" t="s">
        <v>400</v>
      </c>
      <c r="D737" s="18">
        <v>44138</v>
      </c>
      <c r="E737" s="18">
        <v>44132</v>
      </c>
      <c r="F737" s="34">
        <v>44155</v>
      </c>
      <c r="H737" s="28" t="s">
        <v>408</v>
      </c>
      <c r="M737">
        <v>16</v>
      </c>
    </row>
    <row r="738" spans="1:13" x14ac:dyDescent="0.35">
      <c r="A738" s="14" t="s">
        <v>391</v>
      </c>
      <c r="B738" s="14" t="s">
        <v>377</v>
      </c>
      <c r="C738" t="s">
        <v>400</v>
      </c>
      <c r="D738" s="18">
        <v>44138</v>
      </c>
      <c r="E738" s="18">
        <v>44132</v>
      </c>
      <c r="F738" s="34">
        <v>44155</v>
      </c>
      <c r="H738" s="28" t="s">
        <v>41</v>
      </c>
      <c r="K738" t="s">
        <v>381</v>
      </c>
      <c r="L738">
        <v>50</v>
      </c>
      <c r="M738">
        <v>16</v>
      </c>
    </row>
    <row r="739" spans="1:13" x14ac:dyDescent="0.35">
      <c r="A739" s="14" t="s">
        <v>391</v>
      </c>
      <c r="B739" s="14" t="s">
        <v>377</v>
      </c>
      <c r="C739" t="s">
        <v>400</v>
      </c>
      <c r="D739" s="18">
        <v>44138</v>
      </c>
      <c r="E739" s="18">
        <v>44132</v>
      </c>
      <c r="F739" s="34">
        <v>44155</v>
      </c>
      <c r="H739" s="28" t="s">
        <v>39</v>
      </c>
      <c r="K739" t="s">
        <v>381</v>
      </c>
      <c r="L739">
        <v>25</v>
      </c>
      <c r="M739">
        <v>16</v>
      </c>
    </row>
    <row r="740" spans="1:13" x14ac:dyDescent="0.35">
      <c r="A740" s="14" t="s">
        <v>391</v>
      </c>
      <c r="B740" s="14" t="s">
        <v>377</v>
      </c>
      <c r="C740" t="s">
        <v>400</v>
      </c>
      <c r="D740" s="18">
        <v>44138</v>
      </c>
      <c r="E740" s="18">
        <v>44132</v>
      </c>
      <c r="F740" s="34">
        <v>44155</v>
      </c>
      <c r="H740" s="28" t="s">
        <v>123</v>
      </c>
      <c r="M740">
        <v>16</v>
      </c>
    </row>
    <row r="741" spans="1:13" x14ac:dyDescent="0.35">
      <c r="A741" s="14" t="s">
        <v>391</v>
      </c>
      <c r="B741" s="14" t="s">
        <v>377</v>
      </c>
      <c r="C741" t="s">
        <v>400</v>
      </c>
      <c r="D741" s="18">
        <v>44138</v>
      </c>
      <c r="E741" s="18">
        <v>44132</v>
      </c>
      <c r="F741" s="34">
        <v>44155</v>
      </c>
      <c r="H741" s="28" t="s">
        <v>150</v>
      </c>
      <c r="M741">
        <v>16</v>
      </c>
    </row>
    <row r="742" spans="1:13" x14ac:dyDescent="0.35">
      <c r="A742" s="14" t="s">
        <v>391</v>
      </c>
      <c r="B742" s="14" t="s">
        <v>377</v>
      </c>
      <c r="C742" t="s">
        <v>400</v>
      </c>
      <c r="D742" s="18">
        <v>44138</v>
      </c>
      <c r="E742" s="18">
        <v>44132</v>
      </c>
      <c r="F742" s="34">
        <v>44155</v>
      </c>
      <c r="H742" s="28" t="s">
        <v>127</v>
      </c>
      <c r="M742">
        <v>16</v>
      </c>
    </row>
    <row r="743" spans="1:13" x14ac:dyDescent="0.35">
      <c r="A743" s="14" t="s">
        <v>391</v>
      </c>
      <c r="B743" s="14" t="s">
        <v>377</v>
      </c>
      <c r="C743" t="s">
        <v>400</v>
      </c>
      <c r="D743" s="18">
        <v>44138</v>
      </c>
      <c r="E743" s="18">
        <v>44132</v>
      </c>
      <c r="F743" s="34">
        <v>44155</v>
      </c>
      <c r="H743" s="28" t="s">
        <v>25</v>
      </c>
      <c r="K743" t="s">
        <v>381</v>
      </c>
      <c r="L743">
        <v>20</v>
      </c>
      <c r="M743">
        <v>16</v>
      </c>
    </row>
    <row r="744" spans="1:13" x14ac:dyDescent="0.35">
      <c r="A744" s="14" t="s">
        <v>391</v>
      </c>
      <c r="B744" s="14" t="s">
        <v>377</v>
      </c>
      <c r="C744" t="s">
        <v>400</v>
      </c>
      <c r="D744" s="18">
        <v>44138</v>
      </c>
      <c r="E744" s="18">
        <v>44132</v>
      </c>
      <c r="F744" s="34">
        <v>44155</v>
      </c>
      <c r="H744" s="28" t="s">
        <v>404</v>
      </c>
      <c r="K744" t="s">
        <v>380</v>
      </c>
      <c r="L744">
        <v>10</v>
      </c>
      <c r="M744">
        <v>16</v>
      </c>
    </row>
    <row r="745" spans="1:13" x14ac:dyDescent="0.35">
      <c r="A745" s="14" t="s">
        <v>391</v>
      </c>
      <c r="B745" s="14" t="s">
        <v>377</v>
      </c>
      <c r="C745" t="s">
        <v>400</v>
      </c>
      <c r="D745" s="18">
        <v>44138</v>
      </c>
      <c r="E745" s="18">
        <v>44132</v>
      </c>
      <c r="F745" s="34">
        <v>44155</v>
      </c>
      <c r="H745" s="28" t="s">
        <v>406</v>
      </c>
      <c r="K745" t="s">
        <v>380</v>
      </c>
      <c r="L745">
        <v>15</v>
      </c>
      <c r="M745">
        <v>16</v>
      </c>
    </row>
    <row r="746" spans="1:13" x14ac:dyDescent="0.35">
      <c r="A746" s="14" t="s">
        <v>391</v>
      </c>
      <c r="B746" s="14" t="s">
        <v>377</v>
      </c>
      <c r="C746" t="s">
        <v>400</v>
      </c>
      <c r="D746" s="18">
        <v>44138</v>
      </c>
      <c r="E746" s="18">
        <v>44132</v>
      </c>
      <c r="F746" s="34">
        <v>44155</v>
      </c>
      <c r="H746" s="28" t="s">
        <v>405</v>
      </c>
      <c r="K746" t="s">
        <v>380</v>
      </c>
      <c r="L746">
        <v>10</v>
      </c>
      <c r="M746">
        <v>16</v>
      </c>
    </row>
    <row r="747" spans="1:13" x14ac:dyDescent="0.35">
      <c r="A747" s="14" t="s">
        <v>391</v>
      </c>
      <c r="B747" s="14" t="s">
        <v>377</v>
      </c>
      <c r="C747" t="s">
        <v>400</v>
      </c>
      <c r="D747" s="18">
        <v>44138</v>
      </c>
      <c r="E747" s="18">
        <v>44132</v>
      </c>
      <c r="F747" s="34">
        <v>44155</v>
      </c>
      <c r="H747" s="28" t="s">
        <v>407</v>
      </c>
      <c r="K747" t="s">
        <v>380</v>
      </c>
      <c r="L747">
        <v>15</v>
      </c>
      <c r="M747">
        <v>16</v>
      </c>
    </row>
    <row r="748" spans="1:13" x14ac:dyDescent="0.35">
      <c r="A748" s="14" t="s">
        <v>391</v>
      </c>
      <c r="B748" s="14" t="s">
        <v>377</v>
      </c>
      <c r="C748" t="s">
        <v>400</v>
      </c>
      <c r="D748" s="18">
        <v>44138</v>
      </c>
      <c r="E748" s="18">
        <v>44132</v>
      </c>
      <c r="F748" s="34">
        <v>44155</v>
      </c>
      <c r="H748" s="28" t="s">
        <v>30</v>
      </c>
      <c r="M748">
        <v>16</v>
      </c>
    </row>
    <row r="749" spans="1:13" x14ac:dyDescent="0.35">
      <c r="A749" s="14" t="s">
        <v>391</v>
      </c>
      <c r="B749" s="14" t="s">
        <v>377</v>
      </c>
      <c r="C749" t="s">
        <v>400</v>
      </c>
      <c r="D749" s="18">
        <v>44138</v>
      </c>
      <c r="E749" s="18">
        <v>44132</v>
      </c>
      <c r="F749" s="34">
        <v>44155</v>
      </c>
      <c r="H749" s="28" t="s">
        <v>29</v>
      </c>
      <c r="K749" t="s">
        <v>381</v>
      </c>
      <c r="L749">
        <v>33</v>
      </c>
      <c r="M749">
        <v>16</v>
      </c>
    </row>
    <row r="750" spans="1:13" x14ac:dyDescent="0.35">
      <c r="A750" s="14" t="s">
        <v>391</v>
      </c>
      <c r="B750" s="14" t="s">
        <v>377</v>
      </c>
      <c r="C750" t="s">
        <v>400</v>
      </c>
      <c r="D750" s="18">
        <v>44138</v>
      </c>
      <c r="E750" s="18">
        <v>44132</v>
      </c>
      <c r="F750" s="34">
        <v>44155</v>
      </c>
      <c r="H750" s="28" t="s">
        <v>190</v>
      </c>
      <c r="M750">
        <v>16</v>
      </c>
    </row>
    <row r="751" spans="1:13" x14ac:dyDescent="0.35">
      <c r="A751" s="14" t="s">
        <v>391</v>
      </c>
      <c r="B751" s="14" t="s">
        <v>377</v>
      </c>
      <c r="C751" t="s">
        <v>400</v>
      </c>
      <c r="D751" s="18">
        <v>44138</v>
      </c>
      <c r="E751" s="18">
        <v>44132</v>
      </c>
      <c r="F751" s="34">
        <v>44155</v>
      </c>
      <c r="H751" s="28" t="s">
        <v>198</v>
      </c>
      <c r="M751">
        <v>16</v>
      </c>
    </row>
    <row r="752" spans="1:13" x14ac:dyDescent="0.35">
      <c r="A752" s="14" t="s">
        <v>391</v>
      </c>
      <c r="B752" s="14" t="s">
        <v>377</v>
      </c>
      <c r="C752" t="s">
        <v>400</v>
      </c>
      <c r="D752" s="18">
        <v>44138</v>
      </c>
      <c r="E752" s="18">
        <v>44132</v>
      </c>
      <c r="F752" s="34">
        <v>44155</v>
      </c>
      <c r="H752" s="28" t="s">
        <v>393</v>
      </c>
      <c r="M752">
        <v>16</v>
      </c>
    </row>
    <row r="753" spans="1:13" x14ac:dyDescent="0.35">
      <c r="A753" s="14" t="s">
        <v>391</v>
      </c>
      <c r="B753" s="14" t="s">
        <v>377</v>
      </c>
      <c r="C753" t="s">
        <v>400</v>
      </c>
      <c r="D753" s="18">
        <v>44138</v>
      </c>
      <c r="E753" s="18">
        <v>44132</v>
      </c>
      <c r="F753" s="34">
        <v>44155</v>
      </c>
      <c r="H753" s="28" t="s">
        <v>204</v>
      </c>
      <c r="M753">
        <v>16</v>
      </c>
    </row>
    <row r="754" spans="1:13" x14ac:dyDescent="0.35">
      <c r="A754" s="14" t="s">
        <v>391</v>
      </c>
      <c r="B754" s="14" t="s">
        <v>377</v>
      </c>
      <c r="C754" t="s">
        <v>400</v>
      </c>
      <c r="D754" s="18">
        <v>44138</v>
      </c>
      <c r="E754" s="18">
        <v>44132</v>
      </c>
      <c r="F754" s="34">
        <v>44155</v>
      </c>
      <c r="H754" s="28" t="s">
        <v>208</v>
      </c>
      <c r="M754">
        <v>16</v>
      </c>
    </row>
    <row r="755" spans="1:13" x14ac:dyDescent="0.35">
      <c r="A755" s="14" t="s">
        <v>391</v>
      </c>
      <c r="B755" s="14" t="s">
        <v>377</v>
      </c>
      <c r="C755" t="s">
        <v>400</v>
      </c>
      <c r="D755" s="18">
        <v>44138</v>
      </c>
      <c r="E755" s="18">
        <v>44132</v>
      </c>
      <c r="F755" s="34">
        <v>44155</v>
      </c>
      <c r="H755" s="28" t="s">
        <v>403</v>
      </c>
      <c r="M755">
        <v>16</v>
      </c>
    </row>
    <row r="756" spans="1:13" x14ac:dyDescent="0.35">
      <c r="A756" s="14" t="s">
        <v>391</v>
      </c>
      <c r="B756" s="14" t="s">
        <v>377</v>
      </c>
      <c r="C756" t="s">
        <v>400</v>
      </c>
      <c r="D756" s="18">
        <v>44138</v>
      </c>
      <c r="E756" s="18">
        <v>44132</v>
      </c>
      <c r="F756" s="34">
        <v>44155</v>
      </c>
      <c r="H756" s="28" t="s">
        <v>223</v>
      </c>
      <c r="M756">
        <v>16</v>
      </c>
    </row>
    <row r="757" spans="1:13" x14ac:dyDescent="0.35">
      <c r="A757" s="14" t="s">
        <v>391</v>
      </c>
      <c r="B757" s="14" t="s">
        <v>377</v>
      </c>
      <c r="C757" t="s">
        <v>400</v>
      </c>
      <c r="D757" s="18">
        <v>44138</v>
      </c>
      <c r="E757" s="18">
        <v>44132</v>
      </c>
      <c r="F757" s="34">
        <v>44155</v>
      </c>
      <c r="H757" s="28" t="s">
        <v>56</v>
      </c>
      <c r="K757" t="s">
        <v>381</v>
      </c>
      <c r="L757">
        <v>30</v>
      </c>
      <c r="M757">
        <v>16</v>
      </c>
    </row>
    <row r="758" spans="1:13" x14ac:dyDescent="0.35">
      <c r="A758" s="14" t="s">
        <v>391</v>
      </c>
      <c r="B758" s="14" t="s">
        <v>377</v>
      </c>
      <c r="C758" t="s">
        <v>400</v>
      </c>
      <c r="D758" s="18">
        <v>44138</v>
      </c>
      <c r="E758" s="18">
        <v>44132</v>
      </c>
      <c r="F758" s="34">
        <v>44155</v>
      </c>
      <c r="H758" s="28" t="s">
        <v>263</v>
      </c>
      <c r="M758">
        <v>16</v>
      </c>
    </row>
    <row r="759" spans="1:13" x14ac:dyDescent="0.35">
      <c r="A759" s="14" t="s">
        <v>391</v>
      </c>
      <c r="B759" s="14" t="s">
        <v>377</v>
      </c>
      <c r="C759" t="s">
        <v>400</v>
      </c>
      <c r="D759" s="18">
        <v>44138</v>
      </c>
      <c r="E759" s="18">
        <v>44132</v>
      </c>
      <c r="F759" s="34">
        <v>44155</v>
      </c>
      <c r="H759" s="28" t="s">
        <v>287</v>
      </c>
      <c r="M759">
        <v>16</v>
      </c>
    </row>
    <row r="760" spans="1:13" x14ac:dyDescent="0.35">
      <c r="A760" s="14" t="s">
        <v>391</v>
      </c>
      <c r="B760" s="14" t="s">
        <v>377</v>
      </c>
      <c r="C760" t="s">
        <v>400</v>
      </c>
      <c r="D760" s="18">
        <v>44138</v>
      </c>
      <c r="E760" s="18">
        <v>44132</v>
      </c>
      <c r="F760" s="34">
        <v>44155</v>
      </c>
      <c r="H760" s="28" t="s">
        <v>309</v>
      </c>
      <c r="M760">
        <v>16</v>
      </c>
    </row>
    <row r="761" spans="1:13" x14ac:dyDescent="0.35">
      <c r="A761" s="14" t="s">
        <v>391</v>
      </c>
      <c r="B761" s="14" t="s">
        <v>377</v>
      </c>
      <c r="C761" t="s">
        <v>400</v>
      </c>
      <c r="D761" s="18">
        <v>44138</v>
      </c>
      <c r="E761" s="18">
        <v>44132</v>
      </c>
      <c r="F761" s="34">
        <v>44155</v>
      </c>
      <c r="H761" s="28" t="s">
        <v>311</v>
      </c>
      <c r="M761">
        <v>16</v>
      </c>
    </row>
    <row r="762" spans="1:13" x14ac:dyDescent="0.35">
      <c r="A762" s="14" t="s">
        <v>391</v>
      </c>
      <c r="B762" s="14" t="s">
        <v>377</v>
      </c>
      <c r="C762" t="s">
        <v>400</v>
      </c>
      <c r="D762" s="18">
        <v>44138</v>
      </c>
      <c r="E762" s="18">
        <v>44132</v>
      </c>
      <c r="F762" s="34">
        <v>44155</v>
      </c>
      <c r="H762" s="28" t="s">
        <v>315</v>
      </c>
      <c r="K762" t="s">
        <v>381</v>
      </c>
      <c r="L762">
        <v>30</v>
      </c>
      <c r="M762">
        <v>16</v>
      </c>
    </row>
    <row r="763" spans="1:13" x14ac:dyDescent="0.35">
      <c r="A763" s="14" t="s">
        <v>391</v>
      </c>
      <c r="B763" s="14" t="s">
        <v>377</v>
      </c>
      <c r="C763" t="s">
        <v>400</v>
      </c>
      <c r="D763" s="18">
        <v>44138</v>
      </c>
      <c r="E763" s="18">
        <v>44132</v>
      </c>
      <c r="F763" s="34">
        <v>44155</v>
      </c>
      <c r="H763" s="28" t="s">
        <v>401</v>
      </c>
      <c r="K763" t="s">
        <v>381</v>
      </c>
      <c r="L763">
        <v>50</v>
      </c>
      <c r="M763">
        <v>16</v>
      </c>
    </row>
    <row r="764" spans="1:13" x14ac:dyDescent="0.35">
      <c r="A764" s="14" t="s">
        <v>391</v>
      </c>
      <c r="B764" s="14" t="s">
        <v>377</v>
      </c>
      <c r="C764" t="s">
        <v>400</v>
      </c>
      <c r="D764" s="18">
        <v>44138</v>
      </c>
      <c r="E764" s="18">
        <v>44132</v>
      </c>
      <c r="F764" s="34">
        <v>44155</v>
      </c>
      <c r="H764" s="28" t="s">
        <v>402</v>
      </c>
      <c r="K764" t="s">
        <v>380</v>
      </c>
      <c r="L764">
        <v>6</v>
      </c>
      <c r="M764">
        <v>16</v>
      </c>
    </row>
    <row r="765" spans="1:13" x14ac:dyDescent="0.35">
      <c r="A765" s="14" t="s">
        <v>391</v>
      </c>
      <c r="B765" s="14" t="s">
        <v>377</v>
      </c>
      <c r="C765" t="s">
        <v>400</v>
      </c>
      <c r="D765" s="18">
        <v>44138</v>
      </c>
      <c r="E765" s="18">
        <v>44132</v>
      </c>
      <c r="F765" s="34">
        <v>44155</v>
      </c>
      <c r="H765" s="28" t="s">
        <v>60</v>
      </c>
      <c r="K765" t="s">
        <v>380</v>
      </c>
      <c r="L765">
        <v>6</v>
      </c>
      <c r="M765">
        <v>16</v>
      </c>
    </row>
    <row r="766" spans="1:13" x14ac:dyDescent="0.35">
      <c r="A766" s="14" t="s">
        <v>391</v>
      </c>
      <c r="B766" s="14" t="s">
        <v>377</v>
      </c>
      <c r="C766" t="s">
        <v>400</v>
      </c>
      <c r="D766" s="18">
        <v>44138</v>
      </c>
      <c r="E766" s="18">
        <v>44132</v>
      </c>
      <c r="F766" s="34">
        <v>44155</v>
      </c>
      <c r="H766" s="28" t="s">
        <v>60</v>
      </c>
      <c r="K766" t="s">
        <v>380</v>
      </c>
      <c r="L766">
        <v>6</v>
      </c>
      <c r="M766">
        <v>16</v>
      </c>
    </row>
    <row r="767" spans="1:13" x14ac:dyDescent="0.35">
      <c r="A767" s="14" t="s">
        <v>391</v>
      </c>
      <c r="B767" s="14" t="s">
        <v>377</v>
      </c>
      <c r="C767" t="s">
        <v>400</v>
      </c>
      <c r="D767" s="18">
        <v>44138</v>
      </c>
      <c r="E767" s="18">
        <v>44132</v>
      </c>
      <c r="F767" s="34">
        <v>44155</v>
      </c>
      <c r="H767" s="28" t="s">
        <v>335</v>
      </c>
      <c r="M767">
        <v>16</v>
      </c>
    </row>
    <row r="768" spans="1:13" x14ac:dyDescent="0.35">
      <c r="A768" s="14" t="s">
        <v>391</v>
      </c>
      <c r="B768" s="14" t="s">
        <v>377</v>
      </c>
      <c r="C768" t="s">
        <v>400</v>
      </c>
      <c r="D768" s="18">
        <v>44138</v>
      </c>
      <c r="E768" s="18">
        <v>44132</v>
      </c>
      <c r="F768" s="34">
        <v>44155</v>
      </c>
      <c r="H768" s="28" t="s">
        <v>339</v>
      </c>
      <c r="M768">
        <v>16</v>
      </c>
    </row>
    <row r="769" spans="1:13" x14ac:dyDescent="0.35">
      <c r="A769" s="14" t="s">
        <v>391</v>
      </c>
      <c r="B769" s="14" t="s">
        <v>377</v>
      </c>
      <c r="C769" t="s">
        <v>400</v>
      </c>
      <c r="D769" s="18">
        <v>44138</v>
      </c>
      <c r="E769" s="18">
        <v>44132</v>
      </c>
      <c r="F769" s="34">
        <v>44155</v>
      </c>
      <c r="H769" s="28" t="s">
        <v>341</v>
      </c>
      <c r="M769">
        <v>16</v>
      </c>
    </row>
    <row r="770" spans="1:13" x14ac:dyDescent="0.35">
      <c r="A770" s="14" t="s">
        <v>391</v>
      </c>
      <c r="B770" s="14" t="s">
        <v>377</v>
      </c>
      <c r="C770" t="s">
        <v>400</v>
      </c>
      <c r="D770" s="18">
        <v>44138</v>
      </c>
      <c r="E770" s="18">
        <v>44132</v>
      </c>
      <c r="F770" s="34">
        <v>44155</v>
      </c>
      <c r="H770" s="28" t="s">
        <v>345</v>
      </c>
      <c r="K770" t="s">
        <v>381</v>
      </c>
      <c r="L770">
        <v>50</v>
      </c>
      <c r="M770">
        <v>16</v>
      </c>
    </row>
    <row r="771" spans="1:13" x14ac:dyDescent="0.35">
      <c r="A771" s="14" t="s">
        <v>391</v>
      </c>
      <c r="B771" s="14" t="s">
        <v>377</v>
      </c>
      <c r="C771" t="s">
        <v>400</v>
      </c>
      <c r="D771" s="18">
        <v>44138</v>
      </c>
      <c r="E771" s="18">
        <v>44132</v>
      </c>
      <c r="F771" s="34">
        <v>44155</v>
      </c>
      <c r="H771" s="28" t="s">
        <v>59</v>
      </c>
      <c r="M771">
        <v>16</v>
      </c>
    </row>
    <row r="772" spans="1:13" x14ac:dyDescent="0.35">
      <c r="A772" s="14" t="s">
        <v>391</v>
      </c>
      <c r="B772" s="14" t="s">
        <v>377</v>
      </c>
      <c r="C772" t="s">
        <v>400</v>
      </c>
      <c r="D772" s="18">
        <v>44138</v>
      </c>
      <c r="E772" s="18">
        <v>44132</v>
      </c>
      <c r="F772" s="34">
        <v>44155</v>
      </c>
      <c r="H772" s="28" t="s">
        <v>360</v>
      </c>
      <c r="M772">
        <v>16</v>
      </c>
    </row>
    <row r="773" spans="1:13" x14ac:dyDescent="0.35">
      <c r="A773" s="14" t="s">
        <v>391</v>
      </c>
      <c r="B773" s="14" t="s">
        <v>377</v>
      </c>
      <c r="C773" t="s">
        <v>392</v>
      </c>
      <c r="D773" s="18">
        <v>44138</v>
      </c>
      <c r="E773" s="18">
        <v>44125</v>
      </c>
      <c r="F773" s="34">
        <v>44148</v>
      </c>
      <c r="H773" s="28" t="s">
        <v>68</v>
      </c>
      <c r="M773">
        <v>41</v>
      </c>
    </row>
    <row r="774" spans="1:13" x14ac:dyDescent="0.35">
      <c r="A774" s="14" t="s">
        <v>391</v>
      </c>
      <c r="B774" s="14" t="s">
        <v>377</v>
      </c>
      <c r="C774" t="s">
        <v>392</v>
      </c>
      <c r="D774" s="18">
        <v>44138</v>
      </c>
      <c r="E774" s="18">
        <v>44125</v>
      </c>
      <c r="F774" s="34">
        <v>44148</v>
      </c>
      <c r="H774" s="28" t="s">
        <v>408</v>
      </c>
      <c r="M774">
        <v>41</v>
      </c>
    </row>
    <row r="775" spans="1:13" x14ac:dyDescent="0.35">
      <c r="A775" s="14" t="s">
        <v>391</v>
      </c>
      <c r="B775" s="14" t="s">
        <v>377</v>
      </c>
      <c r="C775" t="s">
        <v>392</v>
      </c>
      <c r="D775" s="18">
        <v>44138</v>
      </c>
      <c r="E775" s="18">
        <v>44125</v>
      </c>
      <c r="F775" s="34">
        <v>44148</v>
      </c>
      <c r="H775" s="28" t="s">
        <v>41</v>
      </c>
      <c r="K775" t="s">
        <v>381</v>
      </c>
      <c r="L775">
        <v>50</v>
      </c>
      <c r="M775">
        <v>41</v>
      </c>
    </row>
    <row r="776" spans="1:13" x14ac:dyDescent="0.35">
      <c r="A776" s="14" t="s">
        <v>391</v>
      </c>
      <c r="B776" s="14" t="s">
        <v>377</v>
      </c>
      <c r="C776" t="s">
        <v>392</v>
      </c>
      <c r="D776" s="18">
        <v>44138</v>
      </c>
      <c r="E776" s="18">
        <v>44125</v>
      </c>
      <c r="F776" s="34">
        <v>44148</v>
      </c>
      <c r="H776" s="28" t="s">
        <v>39</v>
      </c>
      <c r="K776" t="s">
        <v>381</v>
      </c>
      <c r="L776">
        <v>25</v>
      </c>
      <c r="M776">
        <v>41</v>
      </c>
    </row>
    <row r="777" spans="1:13" x14ac:dyDescent="0.35">
      <c r="A777" s="14" t="s">
        <v>391</v>
      </c>
      <c r="B777" s="14" t="s">
        <v>377</v>
      </c>
      <c r="C777" t="s">
        <v>392</v>
      </c>
      <c r="D777" s="18">
        <v>44138</v>
      </c>
      <c r="E777" s="18">
        <v>44125</v>
      </c>
      <c r="F777" s="34">
        <v>44148</v>
      </c>
      <c r="H777" s="28" t="s">
        <v>123</v>
      </c>
      <c r="M777">
        <v>41</v>
      </c>
    </row>
    <row r="778" spans="1:13" x14ac:dyDescent="0.35">
      <c r="A778" s="14" t="s">
        <v>391</v>
      </c>
      <c r="B778" s="14" t="s">
        <v>377</v>
      </c>
      <c r="C778" t="s">
        <v>392</v>
      </c>
      <c r="D778" s="18">
        <v>44138</v>
      </c>
      <c r="E778" s="18">
        <v>44125</v>
      </c>
      <c r="F778" s="34">
        <v>44148</v>
      </c>
      <c r="H778" s="28" t="s">
        <v>150</v>
      </c>
      <c r="M778">
        <v>41</v>
      </c>
    </row>
    <row r="779" spans="1:13" x14ac:dyDescent="0.35">
      <c r="A779" s="14" t="s">
        <v>391</v>
      </c>
      <c r="B779" s="14" t="s">
        <v>377</v>
      </c>
      <c r="C779" t="s">
        <v>392</v>
      </c>
      <c r="D779" s="18">
        <v>44138</v>
      </c>
      <c r="E779" s="18">
        <v>44125</v>
      </c>
      <c r="F779" s="34">
        <v>44148</v>
      </c>
      <c r="H779" s="28" t="s">
        <v>127</v>
      </c>
      <c r="M779">
        <v>41</v>
      </c>
    </row>
    <row r="780" spans="1:13" x14ac:dyDescent="0.35">
      <c r="A780" s="14" t="s">
        <v>391</v>
      </c>
      <c r="B780" s="14" t="s">
        <v>377</v>
      </c>
      <c r="C780" t="s">
        <v>392</v>
      </c>
      <c r="D780" s="18">
        <v>44138</v>
      </c>
      <c r="E780" s="18">
        <v>44125</v>
      </c>
      <c r="F780" s="34">
        <v>44148</v>
      </c>
      <c r="H780" s="28" t="s">
        <v>25</v>
      </c>
      <c r="K780" t="s">
        <v>381</v>
      </c>
      <c r="L780">
        <v>20</v>
      </c>
      <c r="M780">
        <v>41</v>
      </c>
    </row>
    <row r="781" spans="1:13" x14ac:dyDescent="0.35">
      <c r="A781" s="14" t="s">
        <v>391</v>
      </c>
      <c r="B781" s="14" t="s">
        <v>377</v>
      </c>
      <c r="C781" t="s">
        <v>392</v>
      </c>
      <c r="D781" s="18">
        <v>44138</v>
      </c>
      <c r="E781" s="18">
        <v>44125</v>
      </c>
      <c r="F781" s="34">
        <v>44148</v>
      </c>
      <c r="H781" s="28" t="s">
        <v>404</v>
      </c>
      <c r="K781" t="s">
        <v>380</v>
      </c>
      <c r="L781">
        <v>10</v>
      </c>
      <c r="M781">
        <v>41</v>
      </c>
    </row>
    <row r="782" spans="1:13" x14ac:dyDescent="0.35">
      <c r="A782" s="14" t="s">
        <v>391</v>
      </c>
      <c r="B782" s="14" t="s">
        <v>377</v>
      </c>
      <c r="C782" t="s">
        <v>392</v>
      </c>
      <c r="D782" s="18">
        <v>44138</v>
      </c>
      <c r="E782" s="18">
        <v>44125</v>
      </c>
      <c r="F782" s="34">
        <v>44148</v>
      </c>
      <c r="H782" s="28" t="s">
        <v>406</v>
      </c>
      <c r="K782" t="s">
        <v>380</v>
      </c>
      <c r="L782">
        <v>15</v>
      </c>
      <c r="M782">
        <v>41</v>
      </c>
    </row>
    <row r="783" spans="1:13" x14ac:dyDescent="0.35">
      <c r="A783" s="14" t="s">
        <v>391</v>
      </c>
      <c r="B783" s="14" t="s">
        <v>377</v>
      </c>
      <c r="C783" t="s">
        <v>392</v>
      </c>
      <c r="D783" s="18">
        <v>44138</v>
      </c>
      <c r="E783" s="18">
        <v>44125</v>
      </c>
      <c r="F783" s="34">
        <v>44148</v>
      </c>
      <c r="H783" s="28" t="s">
        <v>405</v>
      </c>
      <c r="K783" t="s">
        <v>380</v>
      </c>
      <c r="L783">
        <v>10</v>
      </c>
      <c r="M783">
        <v>41</v>
      </c>
    </row>
    <row r="784" spans="1:13" x14ac:dyDescent="0.35">
      <c r="A784" s="14" t="s">
        <v>391</v>
      </c>
      <c r="B784" s="14" t="s">
        <v>377</v>
      </c>
      <c r="C784" t="s">
        <v>392</v>
      </c>
      <c r="D784" s="18">
        <v>44138</v>
      </c>
      <c r="E784" s="18">
        <v>44125</v>
      </c>
      <c r="F784" s="34">
        <v>44148</v>
      </c>
      <c r="H784" s="28" t="s">
        <v>407</v>
      </c>
      <c r="K784" t="s">
        <v>380</v>
      </c>
      <c r="L784">
        <v>15</v>
      </c>
      <c r="M784">
        <v>41</v>
      </c>
    </row>
    <row r="785" spans="1:13" x14ac:dyDescent="0.35">
      <c r="A785" s="14" t="s">
        <v>391</v>
      </c>
      <c r="B785" s="14" t="s">
        <v>377</v>
      </c>
      <c r="C785" t="s">
        <v>392</v>
      </c>
      <c r="D785" s="18">
        <v>44138</v>
      </c>
      <c r="E785" s="18">
        <v>44125</v>
      </c>
      <c r="F785" s="34">
        <v>44148</v>
      </c>
      <c r="H785" s="28" t="s">
        <v>30</v>
      </c>
      <c r="M785">
        <v>41</v>
      </c>
    </row>
    <row r="786" spans="1:13" x14ac:dyDescent="0.35">
      <c r="A786" s="14" t="s">
        <v>391</v>
      </c>
      <c r="B786" s="14" t="s">
        <v>377</v>
      </c>
      <c r="C786" t="s">
        <v>392</v>
      </c>
      <c r="D786" s="18">
        <v>44138</v>
      </c>
      <c r="E786" s="18">
        <v>44125</v>
      </c>
      <c r="F786" s="34">
        <v>44148</v>
      </c>
      <c r="H786" s="28" t="s">
        <v>29</v>
      </c>
      <c r="K786" t="s">
        <v>381</v>
      </c>
      <c r="L786">
        <v>33</v>
      </c>
      <c r="M786">
        <v>41</v>
      </c>
    </row>
    <row r="787" spans="1:13" x14ac:dyDescent="0.35">
      <c r="A787" s="14" t="s">
        <v>391</v>
      </c>
      <c r="B787" s="14" t="s">
        <v>377</v>
      </c>
      <c r="C787" t="s">
        <v>392</v>
      </c>
      <c r="D787" s="18">
        <v>44138</v>
      </c>
      <c r="E787" s="18">
        <v>44125</v>
      </c>
      <c r="F787" s="34">
        <v>44148</v>
      </c>
      <c r="H787" s="28" t="s">
        <v>190</v>
      </c>
      <c r="M787">
        <v>41</v>
      </c>
    </row>
    <row r="788" spans="1:13" x14ac:dyDescent="0.35">
      <c r="A788" s="14" t="s">
        <v>391</v>
      </c>
      <c r="B788" s="14" t="s">
        <v>377</v>
      </c>
      <c r="C788" t="s">
        <v>392</v>
      </c>
      <c r="D788" s="18">
        <v>44138</v>
      </c>
      <c r="E788" s="18">
        <v>44125</v>
      </c>
      <c r="F788" s="34">
        <v>44148</v>
      </c>
      <c r="H788" s="28" t="s">
        <v>198</v>
      </c>
      <c r="M788">
        <v>41</v>
      </c>
    </row>
    <row r="789" spans="1:13" x14ac:dyDescent="0.35">
      <c r="A789" s="14" t="s">
        <v>391</v>
      </c>
      <c r="B789" s="14" t="s">
        <v>377</v>
      </c>
      <c r="C789" t="s">
        <v>392</v>
      </c>
      <c r="D789" s="18">
        <v>44138</v>
      </c>
      <c r="E789" s="18">
        <v>44125</v>
      </c>
      <c r="F789" s="34">
        <v>44148</v>
      </c>
      <c r="H789" s="28" t="s">
        <v>393</v>
      </c>
      <c r="M789">
        <v>41</v>
      </c>
    </row>
    <row r="790" spans="1:13" x14ac:dyDescent="0.35">
      <c r="A790" s="14" t="s">
        <v>391</v>
      </c>
      <c r="B790" s="14" t="s">
        <v>377</v>
      </c>
      <c r="C790" t="s">
        <v>392</v>
      </c>
      <c r="D790" s="18">
        <v>44138</v>
      </c>
      <c r="E790" s="18">
        <v>44125</v>
      </c>
      <c r="F790" s="34">
        <v>44148</v>
      </c>
      <c r="H790" s="28" t="s">
        <v>204</v>
      </c>
      <c r="M790">
        <v>41</v>
      </c>
    </row>
    <row r="791" spans="1:13" x14ac:dyDescent="0.35">
      <c r="A791" s="14" t="s">
        <v>391</v>
      </c>
      <c r="B791" s="14" t="s">
        <v>377</v>
      </c>
      <c r="C791" t="s">
        <v>392</v>
      </c>
      <c r="D791" s="18">
        <v>44138</v>
      </c>
      <c r="E791" s="18">
        <v>44125</v>
      </c>
      <c r="F791" s="34">
        <v>44148</v>
      </c>
      <c r="H791" s="28" t="s">
        <v>208</v>
      </c>
      <c r="M791">
        <v>41</v>
      </c>
    </row>
    <row r="792" spans="1:13" x14ac:dyDescent="0.35">
      <c r="A792" s="14" t="s">
        <v>391</v>
      </c>
      <c r="B792" s="14" t="s">
        <v>377</v>
      </c>
      <c r="C792" t="s">
        <v>392</v>
      </c>
      <c r="D792" s="18">
        <v>44138</v>
      </c>
      <c r="E792" s="18">
        <v>44125</v>
      </c>
      <c r="F792" s="34">
        <v>44148</v>
      </c>
      <c r="H792" s="28" t="s">
        <v>403</v>
      </c>
      <c r="M792">
        <v>41</v>
      </c>
    </row>
    <row r="793" spans="1:13" x14ac:dyDescent="0.35">
      <c r="A793" s="14" t="s">
        <v>391</v>
      </c>
      <c r="B793" s="14" t="s">
        <v>377</v>
      </c>
      <c r="C793" t="s">
        <v>392</v>
      </c>
      <c r="D793" s="18">
        <v>44138</v>
      </c>
      <c r="E793" s="18">
        <v>44125</v>
      </c>
      <c r="F793" s="34">
        <v>44148</v>
      </c>
      <c r="H793" s="28" t="s">
        <v>223</v>
      </c>
      <c r="M793">
        <v>41</v>
      </c>
    </row>
    <row r="794" spans="1:13" x14ac:dyDescent="0.35">
      <c r="A794" s="14" t="s">
        <v>391</v>
      </c>
      <c r="B794" s="14" t="s">
        <v>377</v>
      </c>
      <c r="C794" t="s">
        <v>392</v>
      </c>
      <c r="D794" s="18">
        <v>44138</v>
      </c>
      <c r="E794" s="18">
        <v>44125</v>
      </c>
      <c r="F794" s="34">
        <v>44148</v>
      </c>
      <c r="H794" s="28" t="s">
        <v>56</v>
      </c>
      <c r="K794" t="s">
        <v>381</v>
      </c>
      <c r="L794">
        <v>30</v>
      </c>
      <c r="M794">
        <v>41</v>
      </c>
    </row>
    <row r="795" spans="1:13" x14ac:dyDescent="0.35">
      <c r="A795" s="14" t="s">
        <v>391</v>
      </c>
      <c r="B795" s="14" t="s">
        <v>377</v>
      </c>
      <c r="C795" t="s">
        <v>392</v>
      </c>
      <c r="D795" s="18">
        <v>44138</v>
      </c>
      <c r="E795" s="18">
        <v>44125</v>
      </c>
      <c r="F795" s="34">
        <v>44148</v>
      </c>
      <c r="H795" s="28" t="s">
        <v>263</v>
      </c>
      <c r="M795">
        <v>41</v>
      </c>
    </row>
    <row r="796" spans="1:13" x14ac:dyDescent="0.35">
      <c r="A796" s="14" t="s">
        <v>391</v>
      </c>
      <c r="B796" s="14" t="s">
        <v>377</v>
      </c>
      <c r="C796" t="s">
        <v>392</v>
      </c>
      <c r="D796" s="18">
        <v>44138</v>
      </c>
      <c r="E796" s="18">
        <v>44125</v>
      </c>
      <c r="F796" s="34">
        <v>44148</v>
      </c>
      <c r="H796" s="28" t="s">
        <v>287</v>
      </c>
      <c r="M796">
        <v>41</v>
      </c>
    </row>
    <row r="797" spans="1:13" x14ac:dyDescent="0.35">
      <c r="A797" s="14" t="s">
        <v>391</v>
      </c>
      <c r="B797" s="14" t="s">
        <v>377</v>
      </c>
      <c r="C797" t="s">
        <v>392</v>
      </c>
      <c r="D797" s="18">
        <v>44138</v>
      </c>
      <c r="E797" s="18">
        <v>44125</v>
      </c>
      <c r="F797" s="34">
        <v>44148</v>
      </c>
      <c r="H797" s="28" t="s">
        <v>309</v>
      </c>
      <c r="M797">
        <v>41</v>
      </c>
    </row>
    <row r="798" spans="1:13" x14ac:dyDescent="0.35">
      <c r="A798" s="14" t="s">
        <v>391</v>
      </c>
      <c r="B798" s="14" t="s">
        <v>377</v>
      </c>
      <c r="C798" t="s">
        <v>392</v>
      </c>
      <c r="D798" s="18">
        <v>44138</v>
      </c>
      <c r="E798" s="18">
        <v>44125</v>
      </c>
      <c r="F798" s="34">
        <v>44148</v>
      </c>
      <c r="H798" s="28" t="s">
        <v>311</v>
      </c>
      <c r="M798">
        <v>41</v>
      </c>
    </row>
    <row r="799" spans="1:13" x14ac:dyDescent="0.35">
      <c r="A799" s="14" t="s">
        <v>391</v>
      </c>
      <c r="B799" s="14" t="s">
        <v>377</v>
      </c>
      <c r="C799" t="s">
        <v>392</v>
      </c>
      <c r="D799" s="18">
        <v>44138</v>
      </c>
      <c r="E799" s="18">
        <v>44125</v>
      </c>
      <c r="F799" s="34">
        <v>44148</v>
      </c>
      <c r="H799" s="28" t="s">
        <v>315</v>
      </c>
      <c r="K799" t="s">
        <v>381</v>
      </c>
      <c r="L799">
        <v>30</v>
      </c>
      <c r="M799">
        <v>41</v>
      </c>
    </row>
    <row r="800" spans="1:13" x14ac:dyDescent="0.35">
      <c r="A800" s="14" t="s">
        <v>391</v>
      </c>
      <c r="B800" s="14" t="s">
        <v>377</v>
      </c>
      <c r="C800" t="s">
        <v>392</v>
      </c>
      <c r="D800" s="18">
        <v>44138</v>
      </c>
      <c r="E800" s="18">
        <v>44125</v>
      </c>
      <c r="F800" s="34">
        <v>44148</v>
      </c>
      <c r="H800" s="28" t="s">
        <v>401</v>
      </c>
      <c r="K800" t="s">
        <v>381</v>
      </c>
      <c r="L800">
        <v>50</v>
      </c>
      <c r="M800">
        <v>41</v>
      </c>
    </row>
    <row r="801" spans="1:13" x14ac:dyDescent="0.35">
      <c r="A801" s="14" t="s">
        <v>391</v>
      </c>
      <c r="B801" s="14" t="s">
        <v>377</v>
      </c>
      <c r="C801" t="s">
        <v>392</v>
      </c>
      <c r="D801" s="18">
        <v>44138</v>
      </c>
      <c r="E801" s="18">
        <v>44125</v>
      </c>
      <c r="F801" s="34">
        <v>44148</v>
      </c>
      <c r="H801" s="28" t="s">
        <v>402</v>
      </c>
      <c r="K801" t="s">
        <v>380</v>
      </c>
      <c r="L801">
        <v>6</v>
      </c>
      <c r="M801">
        <v>41</v>
      </c>
    </row>
    <row r="802" spans="1:13" x14ac:dyDescent="0.35">
      <c r="A802" s="14" t="s">
        <v>391</v>
      </c>
      <c r="B802" s="14" t="s">
        <v>377</v>
      </c>
      <c r="C802" t="s">
        <v>392</v>
      </c>
      <c r="D802" s="18">
        <v>44138</v>
      </c>
      <c r="E802" s="18">
        <v>44125</v>
      </c>
      <c r="F802" s="34">
        <v>44148</v>
      </c>
      <c r="H802" s="28" t="s">
        <v>60</v>
      </c>
      <c r="K802" t="s">
        <v>380</v>
      </c>
      <c r="L802">
        <v>6</v>
      </c>
      <c r="M802">
        <v>41</v>
      </c>
    </row>
    <row r="803" spans="1:13" x14ac:dyDescent="0.35">
      <c r="A803" s="14" t="s">
        <v>391</v>
      </c>
      <c r="B803" s="14" t="s">
        <v>377</v>
      </c>
      <c r="C803" t="s">
        <v>392</v>
      </c>
      <c r="D803" s="18">
        <v>44138</v>
      </c>
      <c r="E803" s="18">
        <v>44125</v>
      </c>
      <c r="F803" s="34">
        <v>44148</v>
      </c>
      <c r="H803" s="28" t="s">
        <v>60</v>
      </c>
      <c r="K803" t="s">
        <v>380</v>
      </c>
      <c r="L803">
        <v>6</v>
      </c>
      <c r="M803">
        <v>41</v>
      </c>
    </row>
    <row r="804" spans="1:13" x14ac:dyDescent="0.35">
      <c r="A804" s="14" t="s">
        <v>391</v>
      </c>
      <c r="B804" s="14" t="s">
        <v>377</v>
      </c>
      <c r="C804" t="s">
        <v>392</v>
      </c>
      <c r="D804" s="18">
        <v>44138</v>
      </c>
      <c r="E804" s="18">
        <v>44125</v>
      </c>
      <c r="F804" s="34">
        <v>44148</v>
      </c>
      <c r="H804" s="28" t="s">
        <v>335</v>
      </c>
      <c r="M804">
        <v>41</v>
      </c>
    </row>
    <row r="805" spans="1:13" x14ac:dyDescent="0.35">
      <c r="A805" s="14" t="s">
        <v>391</v>
      </c>
      <c r="B805" s="14" t="s">
        <v>377</v>
      </c>
      <c r="C805" t="s">
        <v>392</v>
      </c>
      <c r="D805" s="18">
        <v>44138</v>
      </c>
      <c r="E805" s="18">
        <v>44125</v>
      </c>
      <c r="F805" s="34">
        <v>44148</v>
      </c>
      <c r="H805" s="28" t="s">
        <v>339</v>
      </c>
      <c r="M805">
        <v>41</v>
      </c>
    </row>
    <row r="806" spans="1:13" x14ac:dyDescent="0.35">
      <c r="A806" s="14" t="s">
        <v>391</v>
      </c>
      <c r="B806" s="14" t="s">
        <v>377</v>
      </c>
      <c r="C806" t="s">
        <v>392</v>
      </c>
      <c r="D806" s="18">
        <v>44138</v>
      </c>
      <c r="E806" s="18">
        <v>44125</v>
      </c>
      <c r="F806" s="34">
        <v>44148</v>
      </c>
      <c r="H806" s="28" t="s">
        <v>341</v>
      </c>
      <c r="M806">
        <v>41</v>
      </c>
    </row>
    <row r="807" spans="1:13" x14ac:dyDescent="0.35">
      <c r="A807" s="14" t="s">
        <v>391</v>
      </c>
      <c r="B807" s="14" t="s">
        <v>377</v>
      </c>
      <c r="C807" t="s">
        <v>392</v>
      </c>
      <c r="D807" s="18">
        <v>44138</v>
      </c>
      <c r="E807" s="18">
        <v>44125</v>
      </c>
      <c r="F807" s="34">
        <v>44148</v>
      </c>
      <c r="H807" s="28" t="s">
        <v>345</v>
      </c>
      <c r="K807" t="s">
        <v>381</v>
      </c>
      <c r="L807">
        <v>50</v>
      </c>
      <c r="M807">
        <v>41</v>
      </c>
    </row>
    <row r="808" spans="1:13" x14ac:dyDescent="0.35">
      <c r="A808" s="14" t="s">
        <v>391</v>
      </c>
      <c r="B808" s="14" t="s">
        <v>377</v>
      </c>
      <c r="C808" t="s">
        <v>392</v>
      </c>
      <c r="D808" s="18">
        <v>44138</v>
      </c>
      <c r="E808" s="18">
        <v>44125</v>
      </c>
      <c r="F808" s="34">
        <v>44148</v>
      </c>
      <c r="H808" s="28" t="s">
        <v>59</v>
      </c>
      <c r="M808">
        <v>41</v>
      </c>
    </row>
    <row r="809" spans="1:13" x14ac:dyDescent="0.35">
      <c r="A809" s="14" t="s">
        <v>391</v>
      </c>
      <c r="B809" s="14" t="s">
        <v>377</v>
      </c>
      <c r="C809" t="s">
        <v>392</v>
      </c>
      <c r="D809" s="18">
        <v>44138</v>
      </c>
      <c r="E809" s="18">
        <v>44125</v>
      </c>
      <c r="F809" s="34">
        <v>44148</v>
      </c>
      <c r="H809" s="28" t="s">
        <v>360</v>
      </c>
      <c r="M809">
        <v>41</v>
      </c>
    </row>
    <row r="810" spans="1:13" x14ac:dyDescent="0.35">
      <c r="A810" s="14" t="s">
        <v>1341</v>
      </c>
      <c r="B810" s="14" t="s">
        <v>377</v>
      </c>
      <c r="D810" s="18">
        <v>44141</v>
      </c>
      <c r="E810" s="18">
        <v>44140</v>
      </c>
      <c r="F810" s="18">
        <v>44151</v>
      </c>
      <c r="H810" s="8" t="s">
        <v>68</v>
      </c>
    </row>
    <row r="811" spans="1:13" x14ac:dyDescent="0.35">
      <c r="A811" s="14" t="s">
        <v>1341</v>
      </c>
      <c r="B811" s="14" t="s">
        <v>377</v>
      </c>
      <c r="D811" s="18">
        <v>44141</v>
      </c>
      <c r="E811" s="18">
        <v>44140</v>
      </c>
      <c r="F811" s="34">
        <v>44215</v>
      </c>
      <c r="H811" s="8" t="s">
        <v>72</v>
      </c>
    </row>
    <row r="812" spans="1:13" x14ac:dyDescent="0.35">
      <c r="A812" s="14" t="s">
        <v>1341</v>
      </c>
      <c r="B812" s="14" t="s">
        <v>377</v>
      </c>
      <c r="D812" s="18">
        <v>44141</v>
      </c>
      <c r="E812" s="18">
        <v>44140</v>
      </c>
      <c r="F812" s="18">
        <v>44151</v>
      </c>
      <c r="H812" s="8" t="s">
        <v>41</v>
      </c>
      <c r="K812" t="s">
        <v>381</v>
      </c>
      <c r="L812">
        <v>75</v>
      </c>
    </row>
    <row r="813" spans="1:13" x14ac:dyDescent="0.35">
      <c r="A813" s="14" t="s">
        <v>1341</v>
      </c>
      <c r="B813" s="14" t="s">
        <v>377</v>
      </c>
      <c r="D813" s="18">
        <v>44141</v>
      </c>
      <c r="E813" s="18">
        <v>44140</v>
      </c>
      <c r="F813" s="34">
        <v>44215</v>
      </c>
      <c r="H813" s="8" t="s">
        <v>111</v>
      </c>
      <c r="K813" t="s">
        <v>381</v>
      </c>
      <c r="L813">
        <v>50</v>
      </c>
    </row>
    <row r="814" spans="1:13" x14ac:dyDescent="0.35">
      <c r="A814" s="14" t="s">
        <v>1341</v>
      </c>
      <c r="B814" s="14" t="s">
        <v>377</v>
      </c>
      <c r="D814" s="18">
        <v>44141</v>
      </c>
      <c r="E814" s="18">
        <v>44140</v>
      </c>
      <c r="F814" s="18">
        <v>44151</v>
      </c>
      <c r="H814" s="8" t="s">
        <v>150</v>
      </c>
    </row>
    <row r="815" spans="1:13" x14ac:dyDescent="0.35">
      <c r="A815" s="14" t="s">
        <v>1341</v>
      </c>
      <c r="B815" s="14" t="s">
        <v>377</v>
      </c>
      <c r="D815" s="18">
        <v>44141</v>
      </c>
      <c r="E815" s="18">
        <v>44140</v>
      </c>
      <c r="F815" s="34">
        <v>44215</v>
      </c>
      <c r="H815" s="8" t="s">
        <v>42</v>
      </c>
      <c r="K815" t="s">
        <v>381</v>
      </c>
      <c r="L815">
        <v>30</v>
      </c>
    </row>
    <row r="816" spans="1:13" x14ac:dyDescent="0.35">
      <c r="A816" s="14" t="s">
        <v>1341</v>
      </c>
      <c r="B816" s="14" t="s">
        <v>377</v>
      </c>
      <c r="D816" s="18">
        <v>44141</v>
      </c>
      <c r="E816" s="18">
        <v>44140</v>
      </c>
      <c r="F816" s="34">
        <v>44215</v>
      </c>
      <c r="H816" s="8" t="s">
        <v>43</v>
      </c>
      <c r="K816" t="s">
        <v>381</v>
      </c>
      <c r="L816">
        <v>30</v>
      </c>
    </row>
    <row r="817" spans="1:12" x14ac:dyDescent="0.35">
      <c r="A817" s="14" t="s">
        <v>1341</v>
      </c>
      <c r="B817" s="14" t="s">
        <v>377</v>
      </c>
      <c r="D817" s="18">
        <v>44141</v>
      </c>
      <c r="E817" s="18">
        <v>44140</v>
      </c>
      <c r="F817" s="34">
        <v>44215</v>
      </c>
      <c r="H817" s="8" t="s">
        <v>23</v>
      </c>
      <c r="K817" t="s">
        <v>380</v>
      </c>
      <c r="L817">
        <v>6</v>
      </c>
    </row>
    <row r="818" spans="1:12" x14ac:dyDescent="0.35">
      <c r="A818" s="14" t="s">
        <v>1341</v>
      </c>
      <c r="B818" s="14" t="s">
        <v>377</v>
      </c>
      <c r="D818" s="18">
        <v>44141</v>
      </c>
      <c r="E818" s="18">
        <v>44140</v>
      </c>
      <c r="F818" s="34">
        <v>44215</v>
      </c>
      <c r="H818" s="8" t="s">
        <v>24</v>
      </c>
      <c r="K818" t="s">
        <v>380</v>
      </c>
      <c r="L818">
        <v>6</v>
      </c>
    </row>
    <row r="819" spans="1:12" x14ac:dyDescent="0.35">
      <c r="A819" s="14" t="s">
        <v>1341</v>
      </c>
      <c r="B819" s="14" t="s">
        <v>377</v>
      </c>
      <c r="D819" s="18">
        <v>44141</v>
      </c>
      <c r="E819" s="18">
        <v>44140</v>
      </c>
      <c r="F819" s="34">
        <v>44215</v>
      </c>
      <c r="H819" s="8" t="s">
        <v>30</v>
      </c>
      <c r="K819" t="s">
        <v>381</v>
      </c>
      <c r="L819">
        <v>33</v>
      </c>
    </row>
    <row r="820" spans="1:12" x14ac:dyDescent="0.35">
      <c r="A820" s="14" t="s">
        <v>1341</v>
      </c>
      <c r="B820" s="14" t="s">
        <v>377</v>
      </c>
      <c r="D820" s="18">
        <v>44141</v>
      </c>
      <c r="E820" s="18">
        <v>44140</v>
      </c>
      <c r="F820" s="18">
        <v>44150</v>
      </c>
      <c r="H820" s="8" t="s">
        <v>29</v>
      </c>
      <c r="K820" t="s">
        <v>381</v>
      </c>
      <c r="L820">
        <v>50</v>
      </c>
    </row>
    <row r="821" spans="1:12" x14ac:dyDescent="0.35">
      <c r="A821" s="14" t="s">
        <v>1341</v>
      </c>
      <c r="B821" s="14" t="s">
        <v>377</v>
      </c>
      <c r="D821" s="18">
        <v>44141</v>
      </c>
      <c r="E821" s="18">
        <v>44140</v>
      </c>
      <c r="F821" s="34">
        <v>44215</v>
      </c>
      <c r="H821" s="28" t="s">
        <v>188</v>
      </c>
    </row>
    <row r="822" spans="1:12" x14ac:dyDescent="0.35">
      <c r="A822" s="14" t="s">
        <v>1341</v>
      </c>
      <c r="B822" s="14" t="s">
        <v>377</v>
      </c>
      <c r="D822" s="18">
        <v>44141</v>
      </c>
      <c r="E822" s="18">
        <v>44140</v>
      </c>
      <c r="F822" s="34">
        <v>44215</v>
      </c>
      <c r="H822" s="8" t="s">
        <v>198</v>
      </c>
    </row>
    <row r="823" spans="1:12" x14ac:dyDescent="0.35">
      <c r="A823" s="14" t="s">
        <v>1341</v>
      </c>
      <c r="B823" s="14" t="s">
        <v>377</v>
      </c>
      <c r="D823" s="18">
        <v>44141</v>
      </c>
      <c r="E823" s="18">
        <v>44140</v>
      </c>
      <c r="F823" s="34">
        <v>44215</v>
      </c>
      <c r="H823" s="28" t="s">
        <v>393</v>
      </c>
    </row>
    <row r="824" spans="1:12" x14ac:dyDescent="0.35">
      <c r="A824" s="14" t="s">
        <v>1341</v>
      </c>
      <c r="B824" s="14" t="s">
        <v>377</v>
      </c>
      <c r="D824" s="18">
        <v>44141</v>
      </c>
      <c r="E824" s="18">
        <v>44140</v>
      </c>
      <c r="F824" s="34">
        <v>44215</v>
      </c>
      <c r="H824" s="28" t="s">
        <v>204</v>
      </c>
    </row>
    <row r="825" spans="1:12" x14ac:dyDescent="0.35">
      <c r="A825" s="14" t="s">
        <v>1341</v>
      </c>
      <c r="B825" s="14" t="s">
        <v>377</v>
      </c>
      <c r="D825" s="18">
        <v>44141</v>
      </c>
      <c r="E825" s="18">
        <v>44140</v>
      </c>
      <c r="F825" s="34">
        <v>44215</v>
      </c>
      <c r="H825" s="8" t="s">
        <v>210</v>
      </c>
    </row>
    <row r="826" spans="1:12" x14ac:dyDescent="0.35">
      <c r="A826" s="14" t="s">
        <v>1341</v>
      </c>
      <c r="B826" s="14" t="s">
        <v>377</v>
      </c>
      <c r="D826" s="18">
        <v>44141</v>
      </c>
      <c r="E826" s="18">
        <v>44140</v>
      </c>
      <c r="F826" s="34">
        <v>44215</v>
      </c>
      <c r="H826" s="28" t="s">
        <v>56</v>
      </c>
    </row>
    <row r="827" spans="1:12" x14ac:dyDescent="0.35">
      <c r="A827" s="14" t="s">
        <v>1341</v>
      </c>
      <c r="B827" s="14" t="s">
        <v>377</v>
      </c>
      <c r="D827" s="18">
        <v>44141</v>
      </c>
      <c r="E827" s="18">
        <v>44140</v>
      </c>
      <c r="F827" s="34">
        <v>44215</v>
      </c>
      <c r="H827" s="8" t="s">
        <v>287</v>
      </c>
    </row>
    <row r="828" spans="1:12" x14ac:dyDescent="0.35">
      <c r="A828" s="14" t="s">
        <v>1341</v>
      </c>
      <c r="B828" s="14" t="s">
        <v>377</v>
      </c>
      <c r="D828" s="18">
        <v>44141</v>
      </c>
      <c r="E828" s="18">
        <v>44140</v>
      </c>
      <c r="F828" s="34">
        <v>44215</v>
      </c>
      <c r="H828" s="28" t="s">
        <v>309</v>
      </c>
    </row>
    <row r="829" spans="1:12" x14ac:dyDescent="0.35">
      <c r="A829" s="14" t="s">
        <v>1341</v>
      </c>
      <c r="B829" s="14" t="s">
        <v>377</v>
      </c>
      <c r="D829" s="18">
        <v>44141</v>
      </c>
      <c r="E829" s="18">
        <v>44140</v>
      </c>
      <c r="F829" s="34">
        <v>44215</v>
      </c>
      <c r="H829" s="28" t="s">
        <v>313</v>
      </c>
      <c r="K829" t="s">
        <v>381</v>
      </c>
      <c r="L829">
        <v>75</v>
      </c>
    </row>
    <row r="830" spans="1:12" x14ac:dyDescent="0.35">
      <c r="A830" s="14" t="s">
        <v>1341</v>
      </c>
      <c r="B830" s="14" t="s">
        <v>377</v>
      </c>
      <c r="D830" s="18">
        <v>44141</v>
      </c>
      <c r="E830" s="18">
        <v>44140</v>
      </c>
      <c r="F830" s="34">
        <v>44215</v>
      </c>
      <c r="H830" s="28" t="s">
        <v>315</v>
      </c>
      <c r="K830" t="s">
        <v>381</v>
      </c>
      <c r="L830">
        <v>50</v>
      </c>
    </row>
    <row r="831" spans="1:12" x14ac:dyDescent="0.35">
      <c r="A831" s="14" t="s">
        <v>1341</v>
      </c>
      <c r="B831" s="14" t="s">
        <v>377</v>
      </c>
      <c r="D831" s="18">
        <v>44141</v>
      </c>
      <c r="E831" s="18">
        <v>44140</v>
      </c>
      <c r="F831" s="34">
        <v>44215</v>
      </c>
      <c r="H831" s="28" t="s">
        <v>60</v>
      </c>
      <c r="K831" t="s">
        <v>380</v>
      </c>
      <c r="L831">
        <v>6</v>
      </c>
    </row>
    <row r="832" spans="1:12" x14ac:dyDescent="0.35">
      <c r="A832" s="14" t="s">
        <v>1341</v>
      </c>
      <c r="B832" s="14" t="s">
        <v>377</v>
      </c>
      <c r="D832" s="18">
        <v>44141</v>
      </c>
      <c r="E832" s="18">
        <v>44140</v>
      </c>
      <c r="F832" s="34">
        <v>44215</v>
      </c>
      <c r="H832" s="8" t="s">
        <v>335</v>
      </c>
    </row>
    <row r="833" spans="1:13" x14ac:dyDescent="0.35">
      <c r="A833" s="14" t="s">
        <v>1341</v>
      </c>
      <c r="B833" s="14" t="s">
        <v>377</v>
      </c>
      <c r="D833" s="18">
        <v>44141</v>
      </c>
      <c r="E833" s="18">
        <v>44140</v>
      </c>
      <c r="F833" s="34">
        <v>44215</v>
      </c>
      <c r="H833" s="8" t="s">
        <v>57</v>
      </c>
      <c r="K833" t="s">
        <v>380</v>
      </c>
      <c r="L833">
        <v>30</v>
      </c>
    </row>
    <row r="834" spans="1:13" x14ac:dyDescent="0.35">
      <c r="A834" s="14" t="s">
        <v>1341</v>
      </c>
      <c r="B834" s="14" t="s">
        <v>377</v>
      </c>
      <c r="D834" s="18">
        <v>44141</v>
      </c>
      <c r="E834" s="18">
        <v>44140</v>
      </c>
      <c r="F834" s="34">
        <v>44215</v>
      </c>
      <c r="H834" s="8" t="s">
        <v>58</v>
      </c>
      <c r="K834" t="s">
        <v>380</v>
      </c>
      <c r="L834">
        <v>30</v>
      </c>
    </row>
    <row r="835" spans="1:13" x14ac:dyDescent="0.35">
      <c r="A835" s="14" t="s">
        <v>391</v>
      </c>
      <c r="B835" s="14" t="s">
        <v>377</v>
      </c>
      <c r="C835" t="s">
        <v>394</v>
      </c>
      <c r="D835" s="18">
        <v>44146</v>
      </c>
      <c r="E835" s="18">
        <v>44145</v>
      </c>
      <c r="F835" s="34">
        <v>44155</v>
      </c>
      <c r="H835" s="28" t="s">
        <v>96</v>
      </c>
      <c r="M835">
        <v>32</v>
      </c>
    </row>
    <row r="836" spans="1:13" x14ac:dyDescent="0.35">
      <c r="A836" s="14" t="s">
        <v>391</v>
      </c>
      <c r="B836" s="14" t="s">
        <v>377</v>
      </c>
      <c r="C836" t="s">
        <v>394</v>
      </c>
      <c r="D836" s="18">
        <v>44146</v>
      </c>
      <c r="E836" s="18">
        <v>44145</v>
      </c>
      <c r="F836" s="34">
        <v>44155</v>
      </c>
      <c r="H836" s="28" t="s">
        <v>72</v>
      </c>
      <c r="M836">
        <v>32</v>
      </c>
    </row>
    <row r="837" spans="1:13" x14ac:dyDescent="0.35">
      <c r="A837" s="14" t="s">
        <v>391</v>
      </c>
      <c r="B837" s="14" t="s">
        <v>377</v>
      </c>
      <c r="C837" t="s">
        <v>394</v>
      </c>
      <c r="D837" s="18">
        <v>44146</v>
      </c>
      <c r="E837" s="18">
        <v>44145</v>
      </c>
      <c r="F837" s="34">
        <v>44155</v>
      </c>
      <c r="H837" s="28" t="s">
        <v>47</v>
      </c>
      <c r="K837" t="s">
        <v>381</v>
      </c>
      <c r="L837">
        <v>20</v>
      </c>
      <c r="M837">
        <v>32</v>
      </c>
    </row>
    <row r="838" spans="1:13" x14ac:dyDescent="0.35">
      <c r="A838" s="14" t="s">
        <v>391</v>
      </c>
      <c r="B838" s="14" t="s">
        <v>377</v>
      </c>
      <c r="C838" t="s">
        <v>394</v>
      </c>
      <c r="D838" s="18">
        <v>44146</v>
      </c>
      <c r="E838" s="18">
        <v>44145</v>
      </c>
      <c r="F838" s="34">
        <v>44155</v>
      </c>
      <c r="H838" s="28" t="s">
        <v>50</v>
      </c>
      <c r="K838" t="s">
        <v>381</v>
      </c>
      <c r="L838">
        <v>50</v>
      </c>
      <c r="M838">
        <v>32</v>
      </c>
    </row>
    <row r="839" spans="1:13" x14ac:dyDescent="0.35">
      <c r="A839" s="14" t="s">
        <v>391</v>
      </c>
      <c r="B839" s="14" t="s">
        <v>377</v>
      </c>
      <c r="C839" t="s">
        <v>394</v>
      </c>
      <c r="D839" s="18">
        <v>44146</v>
      </c>
      <c r="E839" s="18">
        <v>44145</v>
      </c>
      <c r="F839" s="34">
        <v>44155</v>
      </c>
      <c r="H839" s="28" t="s">
        <v>41</v>
      </c>
      <c r="K839" t="s">
        <v>381</v>
      </c>
      <c r="L839">
        <v>50</v>
      </c>
      <c r="M839">
        <v>32</v>
      </c>
    </row>
    <row r="840" spans="1:13" x14ac:dyDescent="0.35">
      <c r="A840" s="14" t="s">
        <v>391</v>
      </c>
      <c r="B840" s="14" t="s">
        <v>377</v>
      </c>
      <c r="C840" t="s">
        <v>394</v>
      </c>
      <c r="D840" s="18">
        <v>44146</v>
      </c>
      <c r="E840" s="18">
        <v>44145</v>
      </c>
      <c r="F840" s="34">
        <v>44155</v>
      </c>
      <c r="H840" s="28" t="s">
        <v>116</v>
      </c>
      <c r="K840" t="s">
        <v>381</v>
      </c>
      <c r="L840">
        <v>25</v>
      </c>
      <c r="M840">
        <v>32</v>
      </c>
    </row>
    <row r="841" spans="1:13" x14ac:dyDescent="0.35">
      <c r="A841" s="14" t="s">
        <v>391</v>
      </c>
      <c r="B841" s="14" t="s">
        <v>377</v>
      </c>
      <c r="C841" t="s">
        <v>394</v>
      </c>
      <c r="D841" s="18">
        <v>44146</v>
      </c>
      <c r="E841" s="18">
        <v>44145</v>
      </c>
      <c r="F841" s="34">
        <v>44155</v>
      </c>
      <c r="H841" s="28" t="s">
        <v>125</v>
      </c>
      <c r="M841">
        <v>32</v>
      </c>
    </row>
    <row r="842" spans="1:13" x14ac:dyDescent="0.35">
      <c r="A842" s="14" t="s">
        <v>391</v>
      </c>
      <c r="B842" s="14" t="s">
        <v>377</v>
      </c>
      <c r="C842" t="s">
        <v>394</v>
      </c>
      <c r="D842" s="18">
        <v>44146</v>
      </c>
      <c r="E842" s="18">
        <v>44145</v>
      </c>
      <c r="F842" s="34">
        <v>44155</v>
      </c>
      <c r="H842" s="28" t="s">
        <v>127</v>
      </c>
      <c r="M842">
        <v>32</v>
      </c>
    </row>
    <row r="843" spans="1:13" x14ac:dyDescent="0.35">
      <c r="A843" s="14" t="s">
        <v>391</v>
      </c>
      <c r="B843" s="14" t="s">
        <v>377</v>
      </c>
      <c r="C843" t="s">
        <v>394</v>
      </c>
      <c r="D843" s="18">
        <v>44146</v>
      </c>
      <c r="E843" s="18">
        <v>44145</v>
      </c>
      <c r="F843" s="34">
        <v>44155</v>
      </c>
      <c r="H843" s="28" t="s">
        <v>42</v>
      </c>
      <c r="K843" t="s">
        <v>380</v>
      </c>
      <c r="L843">
        <v>6</v>
      </c>
      <c r="M843">
        <v>32</v>
      </c>
    </row>
    <row r="844" spans="1:13" x14ac:dyDescent="0.35">
      <c r="A844" s="14" t="s">
        <v>391</v>
      </c>
      <c r="B844" s="14" t="s">
        <v>377</v>
      </c>
      <c r="C844" t="s">
        <v>394</v>
      </c>
      <c r="D844" s="18">
        <v>44146</v>
      </c>
      <c r="E844" s="18">
        <v>44145</v>
      </c>
      <c r="F844" s="34">
        <v>44155</v>
      </c>
      <c r="H844" s="28" t="s">
        <v>25</v>
      </c>
      <c r="K844" t="s">
        <v>381</v>
      </c>
      <c r="L844">
        <v>40</v>
      </c>
      <c r="M844">
        <v>32</v>
      </c>
    </row>
    <row r="845" spans="1:13" x14ac:dyDescent="0.35">
      <c r="A845" s="14" t="s">
        <v>391</v>
      </c>
      <c r="B845" s="14" t="s">
        <v>377</v>
      </c>
      <c r="C845" t="s">
        <v>394</v>
      </c>
      <c r="D845" s="18">
        <v>44146</v>
      </c>
      <c r="E845" s="18">
        <v>44145</v>
      </c>
      <c r="F845" s="34">
        <v>44155</v>
      </c>
      <c r="H845" s="28" t="s">
        <v>23</v>
      </c>
      <c r="K845" t="s">
        <v>380</v>
      </c>
      <c r="L845">
        <v>6</v>
      </c>
      <c r="M845">
        <v>32</v>
      </c>
    </row>
    <row r="846" spans="1:13" x14ac:dyDescent="0.35">
      <c r="A846" s="14" t="s">
        <v>391</v>
      </c>
      <c r="B846" s="14" t="s">
        <v>377</v>
      </c>
      <c r="C846" t="s">
        <v>394</v>
      </c>
      <c r="D846" s="18">
        <v>44146</v>
      </c>
      <c r="E846" s="18">
        <v>44145</v>
      </c>
      <c r="F846" s="34">
        <v>44155</v>
      </c>
      <c r="H846" s="28" t="s">
        <v>24</v>
      </c>
      <c r="K846" t="s">
        <v>380</v>
      </c>
      <c r="L846">
        <v>6</v>
      </c>
      <c r="M846">
        <v>32</v>
      </c>
    </row>
    <row r="847" spans="1:13" x14ac:dyDescent="0.35">
      <c r="A847" s="14" t="s">
        <v>391</v>
      </c>
      <c r="B847" s="14" t="s">
        <v>377</v>
      </c>
      <c r="C847" t="s">
        <v>394</v>
      </c>
      <c r="D847" s="18">
        <v>44146</v>
      </c>
      <c r="E847" s="18">
        <v>44145</v>
      </c>
      <c r="F847" s="34">
        <v>44155</v>
      </c>
      <c r="H847" s="28" t="s">
        <v>30</v>
      </c>
      <c r="K847" t="s">
        <v>381</v>
      </c>
      <c r="L847">
        <v>33</v>
      </c>
      <c r="M847">
        <v>32</v>
      </c>
    </row>
    <row r="848" spans="1:13" x14ac:dyDescent="0.35">
      <c r="A848" s="14" t="s">
        <v>391</v>
      </c>
      <c r="B848" s="14" t="s">
        <v>377</v>
      </c>
      <c r="C848" t="s">
        <v>394</v>
      </c>
      <c r="D848" s="18">
        <v>44146</v>
      </c>
      <c r="E848" s="18">
        <v>44145</v>
      </c>
      <c r="F848" s="34">
        <v>44155</v>
      </c>
      <c r="H848" s="28" t="s">
        <v>29</v>
      </c>
      <c r="K848" t="s">
        <v>381</v>
      </c>
      <c r="L848">
        <v>33</v>
      </c>
      <c r="M848">
        <v>32</v>
      </c>
    </row>
    <row r="849" spans="1:13" x14ac:dyDescent="0.35">
      <c r="A849" s="14" t="s">
        <v>391</v>
      </c>
      <c r="B849" s="14" t="s">
        <v>377</v>
      </c>
      <c r="C849" t="s">
        <v>394</v>
      </c>
      <c r="D849" s="18">
        <v>44146</v>
      </c>
      <c r="E849" s="18">
        <v>44145</v>
      </c>
      <c r="F849" s="34">
        <v>44155</v>
      </c>
      <c r="H849" s="28" t="s">
        <v>188</v>
      </c>
      <c r="M849">
        <v>32</v>
      </c>
    </row>
    <row r="850" spans="1:13" x14ac:dyDescent="0.35">
      <c r="A850" s="14" t="s">
        <v>391</v>
      </c>
      <c r="B850" s="14" t="s">
        <v>377</v>
      </c>
      <c r="C850" t="s">
        <v>394</v>
      </c>
      <c r="D850" s="18">
        <v>44146</v>
      </c>
      <c r="E850" s="18">
        <v>44145</v>
      </c>
      <c r="F850" s="34">
        <v>44155</v>
      </c>
      <c r="H850" s="28" t="s">
        <v>192</v>
      </c>
      <c r="M850">
        <v>32</v>
      </c>
    </row>
    <row r="851" spans="1:13" x14ac:dyDescent="0.35">
      <c r="A851" s="14" t="s">
        <v>391</v>
      </c>
      <c r="B851" s="14" t="s">
        <v>377</v>
      </c>
      <c r="C851" t="s">
        <v>394</v>
      </c>
      <c r="D851" s="18">
        <v>44146</v>
      </c>
      <c r="E851" s="18">
        <v>44145</v>
      </c>
      <c r="F851" s="34">
        <v>44155</v>
      </c>
      <c r="H851" s="28" t="s">
        <v>198</v>
      </c>
      <c r="M851">
        <v>32</v>
      </c>
    </row>
    <row r="852" spans="1:13" x14ac:dyDescent="0.35">
      <c r="A852" s="14" t="s">
        <v>391</v>
      </c>
      <c r="B852" s="14" t="s">
        <v>377</v>
      </c>
      <c r="C852" t="s">
        <v>394</v>
      </c>
      <c r="D852" s="18">
        <v>44146</v>
      </c>
      <c r="E852" s="18">
        <v>44145</v>
      </c>
      <c r="F852" s="34">
        <v>44155</v>
      </c>
      <c r="H852" s="28" t="s">
        <v>393</v>
      </c>
      <c r="M852">
        <v>32</v>
      </c>
    </row>
    <row r="853" spans="1:13" x14ac:dyDescent="0.35">
      <c r="A853" s="14" t="s">
        <v>391</v>
      </c>
      <c r="B853" s="14" t="s">
        <v>377</v>
      </c>
      <c r="C853" t="s">
        <v>394</v>
      </c>
      <c r="D853" s="18">
        <v>44146</v>
      </c>
      <c r="E853" s="18">
        <v>44145</v>
      </c>
      <c r="F853" s="34">
        <v>44155</v>
      </c>
      <c r="H853" s="28" t="s">
        <v>204</v>
      </c>
      <c r="M853">
        <v>32</v>
      </c>
    </row>
    <row r="854" spans="1:13" x14ac:dyDescent="0.35">
      <c r="A854" s="14" t="s">
        <v>391</v>
      </c>
      <c r="B854" s="14" t="s">
        <v>377</v>
      </c>
      <c r="C854" t="s">
        <v>394</v>
      </c>
      <c r="D854" s="18">
        <v>44146</v>
      </c>
      <c r="E854" s="18">
        <v>44145</v>
      </c>
      <c r="F854" s="34">
        <v>44155</v>
      </c>
      <c r="H854" s="28" t="s">
        <v>208</v>
      </c>
      <c r="M854">
        <v>32</v>
      </c>
    </row>
    <row r="855" spans="1:13" x14ac:dyDescent="0.35">
      <c r="A855" s="14" t="s">
        <v>391</v>
      </c>
      <c r="B855" s="14" t="s">
        <v>377</v>
      </c>
      <c r="C855" t="s">
        <v>394</v>
      </c>
      <c r="D855" s="18">
        <v>44146</v>
      </c>
      <c r="E855" s="18">
        <v>44145</v>
      </c>
      <c r="F855" s="34">
        <v>44155</v>
      </c>
      <c r="H855" s="28" t="s">
        <v>210</v>
      </c>
      <c r="M855">
        <v>32</v>
      </c>
    </row>
    <row r="856" spans="1:13" x14ac:dyDescent="0.35">
      <c r="A856" s="14" t="s">
        <v>391</v>
      </c>
      <c r="B856" s="14" t="s">
        <v>377</v>
      </c>
      <c r="C856" t="s">
        <v>394</v>
      </c>
      <c r="D856" s="18">
        <v>44146</v>
      </c>
      <c r="E856" s="18">
        <v>44145</v>
      </c>
      <c r="F856" s="34">
        <v>44155</v>
      </c>
      <c r="H856" s="28" t="s">
        <v>31</v>
      </c>
      <c r="K856" t="s">
        <v>381</v>
      </c>
      <c r="L856">
        <v>30</v>
      </c>
      <c r="M856">
        <v>32</v>
      </c>
    </row>
    <row r="857" spans="1:13" x14ac:dyDescent="0.35">
      <c r="A857" s="14" t="s">
        <v>391</v>
      </c>
      <c r="B857" s="14" t="s">
        <v>377</v>
      </c>
      <c r="C857" t="s">
        <v>394</v>
      </c>
      <c r="D857" s="18">
        <v>44146</v>
      </c>
      <c r="E857" s="18">
        <v>44145</v>
      </c>
      <c r="F857" s="34">
        <v>44155</v>
      </c>
      <c r="H857" s="28" t="s">
        <v>56</v>
      </c>
      <c r="K857" t="s">
        <v>381</v>
      </c>
      <c r="L857">
        <v>50</v>
      </c>
      <c r="M857">
        <v>32</v>
      </c>
    </row>
    <row r="858" spans="1:13" x14ac:dyDescent="0.35">
      <c r="A858" s="14" t="s">
        <v>391</v>
      </c>
      <c r="B858" s="14" t="s">
        <v>377</v>
      </c>
      <c r="C858" t="s">
        <v>394</v>
      </c>
      <c r="D858" s="18">
        <v>44146</v>
      </c>
      <c r="E858" s="18">
        <v>44145</v>
      </c>
      <c r="F858" s="34">
        <v>44155</v>
      </c>
      <c r="H858" s="28" t="s">
        <v>263</v>
      </c>
      <c r="M858">
        <v>32</v>
      </c>
    </row>
    <row r="859" spans="1:13" x14ac:dyDescent="0.35">
      <c r="A859" s="14" t="s">
        <v>391</v>
      </c>
      <c r="B859" s="14" t="s">
        <v>377</v>
      </c>
      <c r="C859" t="s">
        <v>394</v>
      </c>
      <c r="D859" s="18">
        <v>44146</v>
      </c>
      <c r="E859" s="18">
        <v>44145</v>
      </c>
      <c r="F859" s="34">
        <v>44155</v>
      </c>
      <c r="H859" s="28" t="s">
        <v>287</v>
      </c>
      <c r="M859">
        <v>32</v>
      </c>
    </row>
    <row r="860" spans="1:13" x14ac:dyDescent="0.35">
      <c r="A860" s="14" t="s">
        <v>391</v>
      </c>
      <c r="B860" s="14" t="s">
        <v>377</v>
      </c>
      <c r="C860" t="s">
        <v>394</v>
      </c>
      <c r="D860" s="18">
        <v>44146</v>
      </c>
      <c r="E860" s="18">
        <v>44145</v>
      </c>
      <c r="F860" s="34">
        <v>44155</v>
      </c>
      <c r="H860" s="28" t="s">
        <v>307</v>
      </c>
      <c r="M860">
        <v>32</v>
      </c>
    </row>
    <row r="861" spans="1:13" x14ac:dyDescent="0.35">
      <c r="A861" s="14" t="s">
        <v>391</v>
      </c>
      <c r="B861" s="14" t="s">
        <v>377</v>
      </c>
      <c r="C861" t="s">
        <v>394</v>
      </c>
      <c r="D861" s="18">
        <v>44146</v>
      </c>
      <c r="E861" s="18">
        <v>44145</v>
      </c>
      <c r="F861" s="34">
        <v>44155</v>
      </c>
      <c r="H861" s="28" t="s">
        <v>311</v>
      </c>
      <c r="M861">
        <v>32</v>
      </c>
    </row>
    <row r="862" spans="1:13" x14ac:dyDescent="0.35">
      <c r="A862" s="14" t="s">
        <v>391</v>
      </c>
      <c r="B862" s="14" t="s">
        <v>377</v>
      </c>
      <c r="C862" t="s">
        <v>394</v>
      </c>
      <c r="D862" s="18">
        <v>44146</v>
      </c>
      <c r="E862" s="18">
        <v>44145</v>
      </c>
      <c r="F862" s="34">
        <v>44155</v>
      </c>
      <c r="H862" s="28" t="s">
        <v>313</v>
      </c>
      <c r="K862" t="s">
        <v>381</v>
      </c>
      <c r="L862">
        <v>50</v>
      </c>
      <c r="M862">
        <v>32</v>
      </c>
    </row>
    <row r="863" spans="1:13" x14ac:dyDescent="0.35">
      <c r="A863" s="14" t="s">
        <v>391</v>
      </c>
      <c r="B863" s="14" t="s">
        <v>377</v>
      </c>
      <c r="C863" t="s">
        <v>394</v>
      </c>
      <c r="D863" s="18">
        <v>44146</v>
      </c>
      <c r="E863" s="18">
        <v>44145</v>
      </c>
      <c r="F863" s="34">
        <v>44155</v>
      </c>
      <c r="H863" s="28" t="s">
        <v>327</v>
      </c>
      <c r="K863" t="s">
        <v>380</v>
      </c>
      <c r="L863">
        <v>6</v>
      </c>
      <c r="M863">
        <v>32</v>
      </c>
    </row>
    <row r="864" spans="1:13" x14ac:dyDescent="0.35">
      <c r="A864" s="14" t="s">
        <v>391</v>
      </c>
      <c r="B864" s="14" t="s">
        <v>377</v>
      </c>
      <c r="C864" t="s">
        <v>394</v>
      </c>
      <c r="D864" s="18">
        <v>44146</v>
      </c>
      <c r="E864" s="18">
        <v>44145</v>
      </c>
      <c r="F864" s="34">
        <v>44155</v>
      </c>
      <c r="H864" s="28" t="s">
        <v>335</v>
      </c>
      <c r="M864">
        <v>32</v>
      </c>
    </row>
    <row r="865" spans="1:13" x14ac:dyDescent="0.35">
      <c r="A865" s="14" t="s">
        <v>391</v>
      </c>
      <c r="B865" s="14" t="s">
        <v>377</v>
      </c>
      <c r="C865" t="s">
        <v>394</v>
      </c>
      <c r="D865" s="18">
        <v>44146</v>
      </c>
      <c r="E865" s="18">
        <v>44145</v>
      </c>
      <c r="F865" s="34">
        <v>44155</v>
      </c>
      <c r="H865" s="28" t="s">
        <v>339</v>
      </c>
      <c r="M865">
        <v>32</v>
      </c>
    </row>
    <row r="866" spans="1:13" x14ac:dyDescent="0.35">
      <c r="A866" s="14" t="s">
        <v>391</v>
      </c>
      <c r="B866" s="14" t="s">
        <v>377</v>
      </c>
      <c r="C866" t="s">
        <v>394</v>
      </c>
      <c r="D866" s="18">
        <v>44146</v>
      </c>
      <c r="E866" s="18">
        <v>44145</v>
      </c>
      <c r="F866" s="34">
        <v>44155</v>
      </c>
      <c r="H866" s="28" t="s">
        <v>345</v>
      </c>
      <c r="K866" t="s">
        <v>381</v>
      </c>
      <c r="L866">
        <v>50</v>
      </c>
      <c r="M866">
        <v>32</v>
      </c>
    </row>
    <row r="867" spans="1:13" x14ac:dyDescent="0.35">
      <c r="A867" s="14" t="s">
        <v>391</v>
      </c>
      <c r="B867" s="14" t="s">
        <v>377</v>
      </c>
      <c r="C867" t="s">
        <v>394</v>
      </c>
      <c r="D867" s="18">
        <v>44146</v>
      </c>
      <c r="E867" s="18">
        <v>44145</v>
      </c>
      <c r="F867" s="34">
        <v>44155</v>
      </c>
      <c r="H867" s="28" t="s">
        <v>59</v>
      </c>
    </row>
    <row r="868" spans="1:13" x14ac:dyDescent="0.35">
      <c r="A868" s="14" t="s">
        <v>391</v>
      </c>
      <c r="B868" s="14" t="s">
        <v>377</v>
      </c>
      <c r="C868" t="s">
        <v>394</v>
      </c>
      <c r="D868" s="18">
        <v>44146</v>
      </c>
      <c r="E868" s="18">
        <v>44145</v>
      </c>
      <c r="F868" s="34">
        <v>44155</v>
      </c>
      <c r="H868" s="28" t="s">
        <v>360</v>
      </c>
      <c r="M868">
        <v>32</v>
      </c>
    </row>
    <row r="869" spans="1:13" x14ac:dyDescent="0.35">
      <c r="A869" s="14" t="s">
        <v>391</v>
      </c>
      <c r="B869" s="14" t="s">
        <v>377</v>
      </c>
      <c r="C869" t="s">
        <v>392</v>
      </c>
      <c r="D869" s="18">
        <v>44146</v>
      </c>
      <c r="E869" s="18">
        <v>44113</v>
      </c>
      <c r="F869" s="34">
        <v>44160</v>
      </c>
      <c r="H869" s="28" t="s">
        <v>56</v>
      </c>
      <c r="K869" t="s">
        <v>381</v>
      </c>
      <c r="L869">
        <v>30</v>
      </c>
      <c r="M869">
        <v>12</v>
      </c>
    </row>
    <row r="870" spans="1:13" x14ac:dyDescent="0.35">
      <c r="A870" s="14" t="s">
        <v>391</v>
      </c>
      <c r="B870" s="14" t="s">
        <v>377</v>
      </c>
      <c r="C870" t="s">
        <v>392</v>
      </c>
      <c r="D870" s="18">
        <v>44146</v>
      </c>
      <c r="E870" s="18">
        <v>44113</v>
      </c>
      <c r="F870" s="34">
        <v>44160</v>
      </c>
      <c r="H870" s="28" t="s">
        <v>307</v>
      </c>
      <c r="M870">
        <v>12</v>
      </c>
    </row>
    <row r="871" spans="1:13" x14ac:dyDescent="0.35">
      <c r="A871" s="14" t="s">
        <v>1341</v>
      </c>
      <c r="B871" s="14" t="s">
        <v>377</v>
      </c>
      <c r="D871" s="18">
        <v>44151</v>
      </c>
      <c r="E871" s="18">
        <v>44150</v>
      </c>
      <c r="F871" s="34">
        <v>44215</v>
      </c>
      <c r="H871" s="28" t="s">
        <v>68</v>
      </c>
      <c r="I871" s="8"/>
    </row>
    <row r="872" spans="1:13" x14ac:dyDescent="0.35">
      <c r="A872" s="14" t="s">
        <v>1341</v>
      </c>
      <c r="B872" s="14" t="s">
        <v>377</v>
      </c>
      <c r="D872" s="18">
        <v>44151</v>
      </c>
      <c r="E872" s="18">
        <v>44150</v>
      </c>
      <c r="F872" s="34">
        <v>44215</v>
      </c>
      <c r="H872" s="28" t="s">
        <v>408</v>
      </c>
      <c r="I872" s="8"/>
    </row>
    <row r="873" spans="1:13" x14ac:dyDescent="0.35">
      <c r="A873" s="14" t="s">
        <v>1341</v>
      </c>
      <c r="B873" s="14" t="s">
        <v>377</v>
      </c>
      <c r="D873" s="18">
        <v>44151</v>
      </c>
      <c r="E873" s="18">
        <v>44150</v>
      </c>
      <c r="F873" s="34">
        <v>44215</v>
      </c>
      <c r="H873" s="28" t="s">
        <v>41</v>
      </c>
      <c r="K873" t="s">
        <v>381</v>
      </c>
      <c r="L873">
        <v>50</v>
      </c>
    </row>
    <row r="874" spans="1:13" x14ac:dyDescent="0.35">
      <c r="A874" s="14" t="s">
        <v>1341</v>
      </c>
      <c r="B874" s="14" t="s">
        <v>377</v>
      </c>
      <c r="D874" s="18">
        <v>44151</v>
      </c>
      <c r="E874" s="18">
        <v>44150</v>
      </c>
      <c r="F874" s="34">
        <v>44215</v>
      </c>
      <c r="H874" s="28" t="s">
        <v>39</v>
      </c>
      <c r="K874" t="s">
        <v>381</v>
      </c>
      <c r="L874">
        <v>25</v>
      </c>
    </row>
    <row r="875" spans="1:13" x14ac:dyDescent="0.35">
      <c r="A875" s="14" t="s">
        <v>1341</v>
      </c>
      <c r="B875" s="14" t="s">
        <v>377</v>
      </c>
      <c r="D875" s="18">
        <v>44151</v>
      </c>
      <c r="E875" s="18">
        <v>44150</v>
      </c>
      <c r="F875" s="34">
        <v>44215</v>
      </c>
      <c r="H875" s="28" t="s">
        <v>123</v>
      </c>
      <c r="I875" s="8"/>
    </row>
    <row r="876" spans="1:13" x14ac:dyDescent="0.35">
      <c r="A876" s="14" t="s">
        <v>1341</v>
      </c>
      <c r="B876" s="14" t="s">
        <v>377</v>
      </c>
      <c r="D876" s="18">
        <v>44151</v>
      </c>
      <c r="E876" s="18">
        <v>44150</v>
      </c>
      <c r="F876" s="34">
        <v>44215</v>
      </c>
      <c r="H876" s="28" t="s">
        <v>150</v>
      </c>
      <c r="I876" s="8"/>
    </row>
    <row r="877" spans="1:13" x14ac:dyDescent="0.35">
      <c r="A877" s="14" t="s">
        <v>1341</v>
      </c>
      <c r="B877" s="14" t="s">
        <v>377</v>
      </c>
      <c r="D877" s="18">
        <v>44151</v>
      </c>
      <c r="E877" s="18">
        <v>44150</v>
      </c>
      <c r="F877" s="34">
        <v>44215</v>
      </c>
      <c r="H877" s="28" t="s">
        <v>127</v>
      </c>
    </row>
    <row r="878" spans="1:13" x14ac:dyDescent="0.35">
      <c r="A878" s="14" t="s">
        <v>1341</v>
      </c>
      <c r="B878" s="14" t="s">
        <v>377</v>
      </c>
      <c r="D878" s="18">
        <v>44151</v>
      </c>
      <c r="E878" s="18">
        <v>44150</v>
      </c>
      <c r="F878" s="34">
        <v>44215</v>
      </c>
      <c r="H878" s="28" t="s">
        <v>25</v>
      </c>
      <c r="I878" s="8"/>
      <c r="K878" t="s">
        <v>381</v>
      </c>
      <c r="L878">
        <v>20</v>
      </c>
    </row>
    <row r="879" spans="1:13" x14ac:dyDescent="0.35">
      <c r="A879" s="14" t="s">
        <v>1341</v>
      </c>
      <c r="B879" s="14" t="s">
        <v>377</v>
      </c>
      <c r="D879" s="18">
        <v>44151</v>
      </c>
      <c r="E879" s="18">
        <v>44150</v>
      </c>
      <c r="F879" s="34">
        <v>44215</v>
      </c>
      <c r="H879" s="28" t="s">
        <v>24</v>
      </c>
      <c r="I879" s="8"/>
      <c r="K879" t="s">
        <v>380</v>
      </c>
      <c r="L879">
        <v>15</v>
      </c>
    </row>
    <row r="880" spans="1:13" x14ac:dyDescent="0.35">
      <c r="A880" s="14" t="s">
        <v>1341</v>
      </c>
      <c r="B880" s="14" t="s">
        <v>377</v>
      </c>
      <c r="D880" s="18">
        <v>44151</v>
      </c>
      <c r="E880" s="18">
        <v>44150</v>
      </c>
      <c r="F880" s="34">
        <v>44215</v>
      </c>
      <c r="H880" s="28" t="s">
        <v>27</v>
      </c>
      <c r="I880" s="8"/>
      <c r="K880" t="s">
        <v>380</v>
      </c>
      <c r="L880">
        <v>10</v>
      </c>
    </row>
    <row r="881" spans="1:12" x14ac:dyDescent="0.35">
      <c r="A881" s="14" t="s">
        <v>1341</v>
      </c>
      <c r="B881" s="14" t="s">
        <v>377</v>
      </c>
      <c r="D881" s="18">
        <v>44151</v>
      </c>
      <c r="E881" s="18">
        <v>44150</v>
      </c>
      <c r="F881" s="34">
        <v>44215</v>
      </c>
      <c r="H881" s="28" t="s">
        <v>28</v>
      </c>
      <c r="I881" s="8"/>
      <c r="K881" t="s">
        <v>380</v>
      </c>
      <c r="L881">
        <v>15</v>
      </c>
    </row>
    <row r="882" spans="1:12" x14ac:dyDescent="0.35">
      <c r="A882" s="14" t="s">
        <v>1341</v>
      </c>
      <c r="B882" s="14" t="s">
        <v>377</v>
      </c>
      <c r="D882" s="18">
        <v>44151</v>
      </c>
      <c r="E882" s="18">
        <v>44150</v>
      </c>
      <c r="F882" s="34">
        <v>44215</v>
      </c>
      <c r="H882" s="28" t="s">
        <v>30</v>
      </c>
    </row>
    <row r="883" spans="1:12" x14ac:dyDescent="0.35">
      <c r="A883" s="14" t="s">
        <v>1341</v>
      </c>
      <c r="B883" s="14" t="s">
        <v>377</v>
      </c>
      <c r="D883" s="18">
        <v>44151</v>
      </c>
      <c r="E883" s="18">
        <v>44150</v>
      </c>
      <c r="F883" s="34">
        <v>44215</v>
      </c>
      <c r="H883" s="28" t="s">
        <v>29</v>
      </c>
      <c r="K883" t="s">
        <v>381</v>
      </c>
      <c r="L883">
        <v>33</v>
      </c>
    </row>
    <row r="884" spans="1:12" x14ac:dyDescent="0.35">
      <c r="A884" s="14" t="s">
        <v>1341</v>
      </c>
      <c r="B884" s="14" t="s">
        <v>377</v>
      </c>
      <c r="D884" s="18">
        <v>44151</v>
      </c>
      <c r="E884" s="18">
        <v>44150</v>
      </c>
      <c r="F884" s="34">
        <v>44215</v>
      </c>
      <c r="H884" s="28" t="s">
        <v>190</v>
      </c>
      <c r="I884" s="28"/>
    </row>
    <row r="885" spans="1:12" x14ac:dyDescent="0.35">
      <c r="A885" s="14" t="s">
        <v>1341</v>
      </c>
      <c r="B885" s="14" t="s">
        <v>377</v>
      </c>
      <c r="D885" s="18">
        <v>44151</v>
      </c>
      <c r="E885" s="18">
        <v>44150</v>
      </c>
      <c r="F885" s="34">
        <v>44215</v>
      </c>
      <c r="H885" s="28" t="s">
        <v>198</v>
      </c>
      <c r="I885" s="8"/>
    </row>
    <row r="886" spans="1:12" x14ac:dyDescent="0.35">
      <c r="A886" s="14" t="s">
        <v>1341</v>
      </c>
      <c r="B886" s="14" t="s">
        <v>377</v>
      </c>
      <c r="D886" s="18">
        <v>44151</v>
      </c>
      <c r="E886" s="18">
        <v>44150</v>
      </c>
      <c r="F886" s="34">
        <v>44215</v>
      </c>
      <c r="H886" s="28" t="s">
        <v>393</v>
      </c>
      <c r="I886" s="8"/>
    </row>
    <row r="887" spans="1:12" x14ac:dyDescent="0.35">
      <c r="A887" s="14" t="s">
        <v>1341</v>
      </c>
      <c r="B887" s="14" t="s">
        <v>377</v>
      </c>
      <c r="D887" s="18">
        <v>44151</v>
      </c>
      <c r="E887" s="18">
        <v>44150</v>
      </c>
      <c r="F887" s="34">
        <v>44215</v>
      </c>
      <c r="H887" s="28" t="s">
        <v>204</v>
      </c>
      <c r="I887" s="8"/>
    </row>
    <row r="888" spans="1:12" x14ac:dyDescent="0.35">
      <c r="A888" s="14" t="s">
        <v>1341</v>
      </c>
      <c r="B888" s="14" t="s">
        <v>377</v>
      </c>
      <c r="D888" s="18">
        <v>44151</v>
      </c>
      <c r="E888" s="18">
        <v>44150</v>
      </c>
      <c r="F888" s="34">
        <v>44215</v>
      </c>
      <c r="H888" s="28" t="s">
        <v>208</v>
      </c>
      <c r="I888" s="8"/>
    </row>
    <row r="889" spans="1:12" x14ac:dyDescent="0.35">
      <c r="A889" s="14" t="s">
        <v>1341</v>
      </c>
      <c r="B889" s="14" t="s">
        <v>377</v>
      </c>
      <c r="D889" s="18">
        <v>44151</v>
      </c>
      <c r="E889" s="18">
        <v>44150</v>
      </c>
      <c r="F889" s="34">
        <v>44215</v>
      </c>
      <c r="H889" s="28" t="s">
        <v>210</v>
      </c>
      <c r="I889" s="8"/>
    </row>
    <row r="890" spans="1:12" x14ac:dyDescent="0.35">
      <c r="A890" s="14" t="s">
        <v>1341</v>
      </c>
      <c r="B890" s="14" t="s">
        <v>377</v>
      </c>
      <c r="D890" s="18">
        <v>44151</v>
      </c>
      <c r="E890" s="18">
        <v>44150</v>
      </c>
      <c r="F890" s="34">
        <v>44215</v>
      </c>
      <c r="H890" s="28" t="s">
        <v>223</v>
      </c>
      <c r="I890" s="8"/>
    </row>
    <row r="891" spans="1:12" x14ac:dyDescent="0.35">
      <c r="A891" s="14" t="s">
        <v>1341</v>
      </c>
      <c r="B891" s="14" t="s">
        <v>377</v>
      </c>
      <c r="D891" s="18">
        <v>44151</v>
      </c>
      <c r="E891" s="18">
        <v>44150</v>
      </c>
      <c r="F891" s="34">
        <v>44215</v>
      </c>
      <c r="H891" s="28" t="s">
        <v>56</v>
      </c>
      <c r="I891" s="8"/>
      <c r="K891" t="s">
        <v>381</v>
      </c>
      <c r="L891">
        <v>30</v>
      </c>
    </row>
    <row r="892" spans="1:12" x14ac:dyDescent="0.35">
      <c r="A892" s="14" t="s">
        <v>1341</v>
      </c>
      <c r="B892" s="14" t="s">
        <v>377</v>
      </c>
      <c r="D892" s="18">
        <v>44151</v>
      </c>
      <c r="E892" s="18">
        <v>44150</v>
      </c>
      <c r="F892" s="34">
        <v>44215</v>
      </c>
      <c r="H892" s="28" t="s">
        <v>263</v>
      </c>
      <c r="I892" s="28"/>
    </row>
    <row r="893" spans="1:12" x14ac:dyDescent="0.35">
      <c r="A893" s="14" t="s">
        <v>1341</v>
      </c>
      <c r="B893" s="14" t="s">
        <v>377</v>
      </c>
      <c r="D893" s="18">
        <v>44151</v>
      </c>
      <c r="E893" s="18">
        <v>44150</v>
      </c>
      <c r="F893" s="34">
        <v>44215</v>
      </c>
      <c r="H893" s="28" t="s">
        <v>287</v>
      </c>
    </row>
    <row r="894" spans="1:12" x14ac:dyDescent="0.35">
      <c r="A894" s="14" t="s">
        <v>1341</v>
      </c>
      <c r="B894" s="14" t="s">
        <v>377</v>
      </c>
      <c r="D894" s="18">
        <v>44151</v>
      </c>
      <c r="E894" s="18">
        <v>44150</v>
      </c>
      <c r="F894" s="34">
        <v>44215</v>
      </c>
      <c r="H894" s="28" t="s">
        <v>309</v>
      </c>
      <c r="I894" s="28"/>
    </row>
    <row r="895" spans="1:12" x14ac:dyDescent="0.35">
      <c r="A895" s="14" t="s">
        <v>1341</v>
      </c>
      <c r="B895" s="14" t="s">
        <v>377</v>
      </c>
      <c r="D895" s="18">
        <v>44151</v>
      </c>
      <c r="E895" s="18">
        <v>44150</v>
      </c>
      <c r="F895" s="34">
        <v>44215</v>
      </c>
      <c r="H895" s="28" t="s">
        <v>311</v>
      </c>
      <c r="I895" s="8"/>
    </row>
    <row r="896" spans="1:12" x14ac:dyDescent="0.35">
      <c r="A896" s="14" t="s">
        <v>1341</v>
      </c>
      <c r="B896" s="14" t="s">
        <v>377</v>
      </c>
      <c r="D896" s="18">
        <v>44151</v>
      </c>
      <c r="E896" s="18">
        <v>44150</v>
      </c>
      <c r="F896" s="34">
        <v>44215</v>
      </c>
      <c r="H896" s="28" t="s">
        <v>315</v>
      </c>
      <c r="I896" s="28"/>
      <c r="K896" t="s">
        <v>381</v>
      </c>
      <c r="L896">
        <v>30</v>
      </c>
    </row>
    <row r="897" spans="1:13" x14ac:dyDescent="0.35">
      <c r="A897" s="14" t="s">
        <v>1341</v>
      </c>
      <c r="B897" s="14" t="s">
        <v>377</v>
      </c>
      <c r="D897" s="18">
        <v>44151</v>
      </c>
      <c r="E897" s="18">
        <v>44150</v>
      </c>
      <c r="F897" s="34">
        <v>44215</v>
      </c>
      <c r="H897" s="28" t="s">
        <v>401</v>
      </c>
      <c r="I897" s="28"/>
      <c r="K897" t="s">
        <v>381</v>
      </c>
      <c r="L897">
        <v>50</v>
      </c>
    </row>
    <row r="898" spans="1:13" x14ac:dyDescent="0.35">
      <c r="A898" s="14" t="s">
        <v>1341</v>
      </c>
      <c r="B898" s="14" t="s">
        <v>377</v>
      </c>
      <c r="D898" s="18">
        <v>44151</v>
      </c>
      <c r="E898" s="18">
        <v>44150</v>
      </c>
      <c r="F898" s="34">
        <v>44215</v>
      </c>
      <c r="H898" s="28" t="s">
        <v>402</v>
      </c>
      <c r="I898" s="28"/>
      <c r="K898" t="s">
        <v>380</v>
      </c>
      <c r="L898">
        <v>6</v>
      </c>
    </row>
    <row r="899" spans="1:13" x14ac:dyDescent="0.35">
      <c r="A899" s="14" t="s">
        <v>1341</v>
      </c>
      <c r="B899" s="14" t="s">
        <v>377</v>
      </c>
      <c r="D899" s="18">
        <v>44151</v>
      </c>
      <c r="E899" s="18">
        <v>44150</v>
      </c>
      <c r="F899" s="34">
        <v>44215</v>
      </c>
      <c r="H899" s="28" t="s">
        <v>60</v>
      </c>
      <c r="I899" s="28"/>
      <c r="K899" t="s">
        <v>380</v>
      </c>
      <c r="L899">
        <v>6</v>
      </c>
    </row>
    <row r="900" spans="1:13" x14ac:dyDescent="0.35">
      <c r="A900" s="14" t="s">
        <v>1341</v>
      </c>
      <c r="B900" s="14" t="s">
        <v>377</v>
      </c>
      <c r="D900" s="18">
        <v>44151</v>
      </c>
      <c r="E900" s="18">
        <v>44150</v>
      </c>
      <c r="F900" s="34">
        <v>44215</v>
      </c>
      <c r="H900" s="28" t="s">
        <v>60</v>
      </c>
      <c r="K900" t="s">
        <v>380</v>
      </c>
      <c r="L900">
        <v>6</v>
      </c>
    </row>
    <row r="901" spans="1:13" x14ac:dyDescent="0.35">
      <c r="A901" s="14" t="s">
        <v>1341</v>
      </c>
      <c r="B901" s="14" t="s">
        <v>377</v>
      </c>
      <c r="D901" s="18">
        <v>44151</v>
      </c>
      <c r="E901" s="18">
        <v>44150</v>
      </c>
      <c r="F901" s="34">
        <v>44215</v>
      </c>
      <c r="H901" s="28" t="s">
        <v>335</v>
      </c>
      <c r="I901" s="8"/>
    </row>
    <row r="902" spans="1:13" x14ac:dyDescent="0.35">
      <c r="A902" s="14" t="s">
        <v>1341</v>
      </c>
      <c r="B902" s="14" t="s">
        <v>377</v>
      </c>
      <c r="D902" s="18">
        <v>44151</v>
      </c>
      <c r="E902" s="18">
        <v>44150</v>
      </c>
      <c r="F902" s="34">
        <v>44215</v>
      </c>
      <c r="H902" s="28" t="s">
        <v>339</v>
      </c>
      <c r="I902" s="28"/>
    </row>
    <row r="903" spans="1:13" x14ac:dyDescent="0.35">
      <c r="A903" s="14" t="s">
        <v>1341</v>
      </c>
      <c r="B903" s="14" t="s">
        <v>377</v>
      </c>
      <c r="D903" s="18">
        <v>44151</v>
      </c>
      <c r="E903" s="18">
        <v>44150</v>
      </c>
      <c r="F903" s="34">
        <v>44215</v>
      </c>
      <c r="H903" s="28" t="s">
        <v>341</v>
      </c>
    </row>
    <row r="904" spans="1:13" x14ac:dyDescent="0.35">
      <c r="A904" s="14" t="s">
        <v>1341</v>
      </c>
      <c r="B904" s="14" t="s">
        <v>377</v>
      </c>
      <c r="D904" s="18">
        <v>44151</v>
      </c>
      <c r="E904" s="18">
        <v>44150</v>
      </c>
      <c r="F904" s="34">
        <v>44215</v>
      </c>
      <c r="H904" s="28" t="s">
        <v>345</v>
      </c>
      <c r="K904" t="s">
        <v>381</v>
      </c>
      <c r="L904">
        <v>50</v>
      </c>
    </row>
    <row r="905" spans="1:13" x14ac:dyDescent="0.35">
      <c r="A905" s="14" t="s">
        <v>1341</v>
      </c>
      <c r="B905" s="14" t="s">
        <v>377</v>
      </c>
      <c r="D905" s="18">
        <v>44151</v>
      </c>
      <c r="E905" s="18">
        <v>44150</v>
      </c>
      <c r="F905" s="34">
        <v>44215</v>
      </c>
      <c r="H905" s="28" t="s">
        <v>59</v>
      </c>
    </row>
    <row r="906" spans="1:13" x14ac:dyDescent="0.35">
      <c r="A906" s="14" t="s">
        <v>1341</v>
      </c>
      <c r="B906" s="14" t="s">
        <v>377</v>
      </c>
      <c r="D906" s="18">
        <v>44151</v>
      </c>
      <c r="E906" s="18">
        <v>44150</v>
      </c>
      <c r="F906" s="34">
        <v>44215</v>
      </c>
      <c r="H906" s="28" t="s">
        <v>360</v>
      </c>
    </row>
    <row r="907" spans="1:13" x14ac:dyDescent="0.35">
      <c r="A907" s="14" t="s">
        <v>391</v>
      </c>
      <c r="B907" s="14" t="s">
        <v>377</v>
      </c>
      <c r="C907" t="s">
        <v>392</v>
      </c>
      <c r="D907" s="18">
        <v>44152</v>
      </c>
      <c r="E907" s="18">
        <v>44148</v>
      </c>
      <c r="F907" s="34">
        <v>44160</v>
      </c>
      <c r="H907" s="28" t="s">
        <v>96</v>
      </c>
      <c r="M907">
        <v>18</v>
      </c>
    </row>
    <row r="908" spans="1:13" x14ac:dyDescent="0.35">
      <c r="A908" s="14" t="s">
        <v>391</v>
      </c>
      <c r="B908" s="14" t="s">
        <v>377</v>
      </c>
      <c r="C908" t="s">
        <v>392</v>
      </c>
      <c r="D908" s="18">
        <v>44152</v>
      </c>
      <c r="E908" s="18">
        <v>44148</v>
      </c>
      <c r="F908" s="34">
        <v>44160</v>
      </c>
      <c r="H908" s="28" t="s">
        <v>72</v>
      </c>
      <c r="M908">
        <v>18</v>
      </c>
    </row>
    <row r="909" spans="1:13" x14ac:dyDescent="0.35">
      <c r="A909" s="14" t="s">
        <v>391</v>
      </c>
      <c r="B909" s="14" t="s">
        <v>377</v>
      </c>
      <c r="C909" t="s">
        <v>392</v>
      </c>
      <c r="D909" s="18">
        <v>44152</v>
      </c>
      <c r="E909" s="18">
        <v>44148</v>
      </c>
      <c r="F909" s="34">
        <v>44160</v>
      </c>
      <c r="H909" s="28" t="s">
        <v>47</v>
      </c>
      <c r="K909" t="s">
        <v>381</v>
      </c>
      <c r="L909">
        <v>20</v>
      </c>
      <c r="M909">
        <v>18</v>
      </c>
    </row>
    <row r="910" spans="1:13" x14ac:dyDescent="0.35">
      <c r="A910" s="14" t="s">
        <v>391</v>
      </c>
      <c r="B910" s="14" t="s">
        <v>377</v>
      </c>
      <c r="C910" t="s">
        <v>392</v>
      </c>
      <c r="D910" s="18">
        <v>44152</v>
      </c>
      <c r="E910" s="18">
        <v>44148</v>
      </c>
      <c r="F910" s="34">
        <v>44160</v>
      </c>
      <c r="H910" s="28" t="s">
        <v>50</v>
      </c>
      <c r="K910" t="s">
        <v>381</v>
      </c>
      <c r="L910">
        <v>50</v>
      </c>
      <c r="M910">
        <v>18</v>
      </c>
    </row>
    <row r="911" spans="1:13" x14ac:dyDescent="0.35">
      <c r="A911" s="14" t="s">
        <v>391</v>
      </c>
      <c r="B911" s="14" t="s">
        <v>377</v>
      </c>
      <c r="C911" t="s">
        <v>392</v>
      </c>
      <c r="D911" s="18">
        <v>44152</v>
      </c>
      <c r="E911" s="18">
        <v>44148</v>
      </c>
      <c r="F911" s="34">
        <v>44160</v>
      </c>
      <c r="H911" s="28" t="s">
        <v>41</v>
      </c>
      <c r="K911" t="s">
        <v>381</v>
      </c>
      <c r="L911">
        <v>50</v>
      </c>
      <c r="M911">
        <v>18</v>
      </c>
    </row>
    <row r="912" spans="1:13" x14ac:dyDescent="0.35">
      <c r="A912" s="14" t="s">
        <v>391</v>
      </c>
      <c r="B912" s="14" t="s">
        <v>377</v>
      </c>
      <c r="C912" t="s">
        <v>392</v>
      </c>
      <c r="D912" s="18">
        <v>44152</v>
      </c>
      <c r="E912" s="18">
        <v>44148</v>
      </c>
      <c r="F912" s="34">
        <v>44160</v>
      </c>
      <c r="H912" s="28" t="s">
        <v>116</v>
      </c>
      <c r="K912" t="s">
        <v>381</v>
      </c>
      <c r="L912">
        <v>25</v>
      </c>
      <c r="M912">
        <v>18</v>
      </c>
    </row>
    <row r="913" spans="1:13" x14ac:dyDescent="0.35">
      <c r="A913" s="14" t="s">
        <v>391</v>
      </c>
      <c r="B913" s="14" t="s">
        <v>377</v>
      </c>
      <c r="C913" t="s">
        <v>392</v>
      </c>
      <c r="D913" s="18">
        <v>44152</v>
      </c>
      <c r="E913" s="18">
        <v>44148</v>
      </c>
      <c r="F913" s="34">
        <v>44160</v>
      </c>
      <c r="H913" s="28" t="s">
        <v>125</v>
      </c>
      <c r="M913">
        <v>18</v>
      </c>
    </row>
    <row r="914" spans="1:13" x14ac:dyDescent="0.35">
      <c r="A914" s="14" t="s">
        <v>391</v>
      </c>
      <c r="B914" s="14" t="s">
        <v>377</v>
      </c>
      <c r="C914" t="s">
        <v>392</v>
      </c>
      <c r="D914" s="18">
        <v>44152</v>
      </c>
      <c r="E914" s="18">
        <v>44148</v>
      </c>
      <c r="F914" s="34">
        <v>44160</v>
      </c>
      <c r="H914" s="28" t="s">
        <v>127</v>
      </c>
      <c r="M914">
        <v>18</v>
      </c>
    </row>
    <row r="915" spans="1:13" x14ac:dyDescent="0.35">
      <c r="A915" s="14" t="s">
        <v>391</v>
      </c>
      <c r="B915" s="14" t="s">
        <v>377</v>
      </c>
      <c r="C915" t="s">
        <v>392</v>
      </c>
      <c r="D915" s="18">
        <v>44152</v>
      </c>
      <c r="E915" s="18">
        <v>44148</v>
      </c>
      <c r="F915" s="34">
        <v>44160</v>
      </c>
      <c r="H915" s="28" t="s">
        <v>42</v>
      </c>
      <c r="K915" t="s">
        <v>380</v>
      </c>
      <c r="L915">
        <v>6</v>
      </c>
      <c r="M915">
        <v>18</v>
      </c>
    </row>
    <row r="916" spans="1:13" x14ac:dyDescent="0.35">
      <c r="A916" s="14" t="s">
        <v>391</v>
      </c>
      <c r="B916" s="14" t="s">
        <v>377</v>
      </c>
      <c r="C916" t="s">
        <v>392</v>
      </c>
      <c r="D916" s="18">
        <v>44152</v>
      </c>
      <c r="E916" s="18">
        <v>44148</v>
      </c>
      <c r="F916" s="34">
        <v>44160</v>
      </c>
      <c r="H916" s="28" t="s">
        <v>25</v>
      </c>
      <c r="K916" t="s">
        <v>381</v>
      </c>
      <c r="L916">
        <v>40</v>
      </c>
      <c r="M916">
        <v>18</v>
      </c>
    </row>
    <row r="917" spans="1:13" x14ac:dyDescent="0.35">
      <c r="A917" s="14" t="s">
        <v>391</v>
      </c>
      <c r="B917" s="14" t="s">
        <v>377</v>
      </c>
      <c r="C917" t="s">
        <v>392</v>
      </c>
      <c r="D917" s="18">
        <v>44152</v>
      </c>
      <c r="E917" s="18">
        <v>44148</v>
      </c>
      <c r="F917" s="34">
        <v>44160</v>
      </c>
      <c r="H917" s="28" t="s">
        <v>23</v>
      </c>
      <c r="K917" t="s">
        <v>380</v>
      </c>
      <c r="L917">
        <v>6</v>
      </c>
      <c r="M917">
        <v>18</v>
      </c>
    </row>
    <row r="918" spans="1:13" x14ac:dyDescent="0.35">
      <c r="A918" s="14" t="s">
        <v>391</v>
      </c>
      <c r="B918" s="14" t="s">
        <v>377</v>
      </c>
      <c r="C918" t="s">
        <v>392</v>
      </c>
      <c r="D918" s="18">
        <v>44152</v>
      </c>
      <c r="E918" s="18">
        <v>44148</v>
      </c>
      <c r="F918" s="34">
        <v>44160</v>
      </c>
      <c r="H918" s="28" t="s">
        <v>24</v>
      </c>
      <c r="K918" t="s">
        <v>380</v>
      </c>
      <c r="L918">
        <v>6</v>
      </c>
      <c r="M918">
        <v>18</v>
      </c>
    </row>
    <row r="919" spans="1:13" x14ac:dyDescent="0.35">
      <c r="A919" s="14" t="s">
        <v>391</v>
      </c>
      <c r="B919" s="14" t="s">
        <v>377</v>
      </c>
      <c r="C919" t="s">
        <v>392</v>
      </c>
      <c r="D919" s="18">
        <v>44152</v>
      </c>
      <c r="E919" s="18">
        <v>44148</v>
      </c>
      <c r="F919" s="34">
        <v>44160</v>
      </c>
      <c r="H919" s="28" t="s">
        <v>30</v>
      </c>
      <c r="K919" t="s">
        <v>381</v>
      </c>
      <c r="L919">
        <v>33</v>
      </c>
      <c r="M919">
        <v>18</v>
      </c>
    </row>
    <row r="920" spans="1:13" x14ac:dyDescent="0.35">
      <c r="A920" s="14" t="s">
        <v>391</v>
      </c>
      <c r="B920" s="14" t="s">
        <v>377</v>
      </c>
      <c r="C920" t="s">
        <v>392</v>
      </c>
      <c r="D920" s="18">
        <v>44152</v>
      </c>
      <c r="E920" s="18">
        <v>44148</v>
      </c>
      <c r="F920" s="34">
        <v>44160</v>
      </c>
      <c r="H920" s="28" t="s">
        <v>29</v>
      </c>
      <c r="K920" t="s">
        <v>381</v>
      </c>
      <c r="L920">
        <v>33</v>
      </c>
      <c r="M920">
        <v>18</v>
      </c>
    </row>
    <row r="921" spans="1:13" x14ac:dyDescent="0.35">
      <c r="A921" s="14" t="s">
        <v>391</v>
      </c>
      <c r="B921" s="14" t="s">
        <v>377</v>
      </c>
      <c r="C921" t="s">
        <v>392</v>
      </c>
      <c r="D921" s="18">
        <v>44152</v>
      </c>
      <c r="E921" s="18">
        <v>44148</v>
      </c>
      <c r="F921" s="34">
        <v>44160</v>
      </c>
      <c r="H921" s="28" t="s">
        <v>188</v>
      </c>
      <c r="M921">
        <v>18</v>
      </c>
    </row>
    <row r="922" spans="1:13" x14ac:dyDescent="0.35">
      <c r="A922" s="14" t="s">
        <v>391</v>
      </c>
      <c r="B922" s="14" t="s">
        <v>377</v>
      </c>
      <c r="C922" t="s">
        <v>392</v>
      </c>
      <c r="D922" s="18">
        <v>44152</v>
      </c>
      <c r="E922" s="18">
        <v>44148</v>
      </c>
      <c r="F922" s="34">
        <v>44160</v>
      </c>
      <c r="H922" s="28" t="s">
        <v>192</v>
      </c>
      <c r="M922">
        <v>18</v>
      </c>
    </row>
    <row r="923" spans="1:13" x14ac:dyDescent="0.35">
      <c r="A923" s="14" t="s">
        <v>391</v>
      </c>
      <c r="B923" s="14" t="s">
        <v>377</v>
      </c>
      <c r="C923" t="s">
        <v>392</v>
      </c>
      <c r="D923" s="18">
        <v>44152</v>
      </c>
      <c r="E923" s="18">
        <v>44148</v>
      </c>
      <c r="F923" s="34">
        <v>44160</v>
      </c>
      <c r="H923" s="28" t="s">
        <v>198</v>
      </c>
      <c r="M923">
        <v>18</v>
      </c>
    </row>
    <row r="924" spans="1:13" x14ac:dyDescent="0.35">
      <c r="A924" s="14" t="s">
        <v>391</v>
      </c>
      <c r="B924" s="14" t="s">
        <v>377</v>
      </c>
      <c r="C924" t="s">
        <v>392</v>
      </c>
      <c r="D924" s="18">
        <v>44152</v>
      </c>
      <c r="E924" s="18">
        <v>44148</v>
      </c>
      <c r="F924" s="34">
        <v>44160</v>
      </c>
      <c r="H924" s="28" t="s">
        <v>393</v>
      </c>
      <c r="M924">
        <v>18</v>
      </c>
    </row>
    <row r="925" spans="1:13" x14ac:dyDescent="0.35">
      <c r="A925" s="14" t="s">
        <v>391</v>
      </c>
      <c r="B925" s="14" t="s">
        <v>377</v>
      </c>
      <c r="C925" t="s">
        <v>392</v>
      </c>
      <c r="D925" s="18">
        <v>44152</v>
      </c>
      <c r="E925" s="18">
        <v>44148</v>
      </c>
      <c r="F925" s="34">
        <v>44160</v>
      </c>
      <c r="H925" s="28" t="s">
        <v>204</v>
      </c>
      <c r="M925">
        <v>18</v>
      </c>
    </row>
    <row r="926" spans="1:13" x14ac:dyDescent="0.35">
      <c r="A926" s="14" t="s">
        <v>391</v>
      </c>
      <c r="B926" s="14" t="s">
        <v>377</v>
      </c>
      <c r="C926" t="s">
        <v>392</v>
      </c>
      <c r="D926" s="18">
        <v>44152</v>
      </c>
      <c r="E926" s="18">
        <v>44148</v>
      </c>
      <c r="F926" s="34">
        <v>44160</v>
      </c>
      <c r="H926" s="28" t="s">
        <v>208</v>
      </c>
      <c r="M926">
        <v>18</v>
      </c>
    </row>
    <row r="927" spans="1:13" x14ac:dyDescent="0.35">
      <c r="A927" s="14" t="s">
        <v>391</v>
      </c>
      <c r="B927" s="14" t="s">
        <v>377</v>
      </c>
      <c r="C927" t="s">
        <v>392</v>
      </c>
      <c r="D927" s="18">
        <v>44152</v>
      </c>
      <c r="E927" s="18">
        <v>44148</v>
      </c>
      <c r="F927" s="34">
        <v>44160</v>
      </c>
      <c r="H927" s="28" t="s">
        <v>210</v>
      </c>
      <c r="M927">
        <v>18</v>
      </c>
    </row>
    <row r="928" spans="1:13" x14ac:dyDescent="0.35">
      <c r="A928" s="14" t="s">
        <v>391</v>
      </c>
      <c r="B928" s="14" t="s">
        <v>377</v>
      </c>
      <c r="C928" t="s">
        <v>392</v>
      </c>
      <c r="D928" s="18">
        <v>44152</v>
      </c>
      <c r="E928" s="18">
        <v>44148</v>
      </c>
      <c r="F928" s="34">
        <v>44160</v>
      </c>
      <c r="H928" s="28" t="s">
        <v>31</v>
      </c>
      <c r="K928" t="s">
        <v>381</v>
      </c>
      <c r="L928">
        <v>30</v>
      </c>
      <c r="M928">
        <v>18</v>
      </c>
    </row>
    <row r="929" spans="1:13" x14ac:dyDescent="0.35">
      <c r="A929" s="14" t="s">
        <v>391</v>
      </c>
      <c r="B929" s="14" t="s">
        <v>377</v>
      </c>
      <c r="C929" t="s">
        <v>392</v>
      </c>
      <c r="D929" s="18">
        <v>44152</v>
      </c>
      <c r="E929" s="18">
        <v>44148</v>
      </c>
      <c r="F929" s="34">
        <v>44160</v>
      </c>
      <c r="H929" s="28" t="s">
        <v>56</v>
      </c>
      <c r="K929" t="s">
        <v>381</v>
      </c>
      <c r="L929">
        <v>50</v>
      </c>
      <c r="M929">
        <v>18</v>
      </c>
    </row>
    <row r="930" spans="1:13" x14ac:dyDescent="0.35">
      <c r="A930" s="14" t="s">
        <v>391</v>
      </c>
      <c r="B930" s="14" t="s">
        <v>377</v>
      </c>
      <c r="C930" t="s">
        <v>392</v>
      </c>
      <c r="D930" s="18">
        <v>44152</v>
      </c>
      <c r="E930" s="18">
        <v>44148</v>
      </c>
      <c r="F930" s="34">
        <v>44160</v>
      </c>
      <c r="H930" s="28" t="s">
        <v>263</v>
      </c>
      <c r="M930">
        <v>18</v>
      </c>
    </row>
    <row r="931" spans="1:13" x14ac:dyDescent="0.35">
      <c r="A931" s="14" t="s">
        <v>391</v>
      </c>
      <c r="B931" s="14" t="s">
        <v>377</v>
      </c>
      <c r="C931" t="s">
        <v>392</v>
      </c>
      <c r="D931" s="18">
        <v>44152</v>
      </c>
      <c r="E931" s="18">
        <v>44148</v>
      </c>
      <c r="F931" s="34">
        <v>44160</v>
      </c>
      <c r="H931" s="28" t="s">
        <v>287</v>
      </c>
      <c r="M931">
        <v>18</v>
      </c>
    </row>
    <row r="932" spans="1:13" x14ac:dyDescent="0.35">
      <c r="A932" s="14" t="s">
        <v>391</v>
      </c>
      <c r="B932" s="14" t="s">
        <v>377</v>
      </c>
      <c r="C932" t="s">
        <v>392</v>
      </c>
      <c r="D932" s="18">
        <v>44152</v>
      </c>
      <c r="E932" s="18">
        <v>44148</v>
      </c>
      <c r="F932" s="34">
        <v>44160</v>
      </c>
      <c r="H932" s="28" t="s">
        <v>307</v>
      </c>
      <c r="M932">
        <v>18</v>
      </c>
    </row>
    <row r="933" spans="1:13" x14ac:dyDescent="0.35">
      <c r="A933" s="14" t="s">
        <v>391</v>
      </c>
      <c r="B933" s="14" t="s">
        <v>377</v>
      </c>
      <c r="C933" t="s">
        <v>392</v>
      </c>
      <c r="D933" s="18">
        <v>44152</v>
      </c>
      <c r="E933" s="18">
        <v>44148</v>
      </c>
      <c r="F933" s="34">
        <v>44160</v>
      </c>
      <c r="H933" s="28" t="s">
        <v>311</v>
      </c>
      <c r="M933">
        <v>18</v>
      </c>
    </row>
    <row r="934" spans="1:13" x14ac:dyDescent="0.35">
      <c r="A934" s="14" t="s">
        <v>391</v>
      </c>
      <c r="B934" s="14" t="s">
        <v>377</v>
      </c>
      <c r="C934" t="s">
        <v>392</v>
      </c>
      <c r="D934" s="18">
        <v>44152</v>
      </c>
      <c r="E934" s="18">
        <v>44148</v>
      </c>
      <c r="F934" s="34">
        <v>44160</v>
      </c>
      <c r="H934" s="28" t="s">
        <v>313</v>
      </c>
      <c r="K934" t="s">
        <v>381</v>
      </c>
      <c r="L934">
        <v>50</v>
      </c>
      <c r="M934">
        <v>18</v>
      </c>
    </row>
    <row r="935" spans="1:13" x14ac:dyDescent="0.35">
      <c r="A935" s="14" t="s">
        <v>391</v>
      </c>
      <c r="B935" s="14" t="s">
        <v>377</v>
      </c>
      <c r="C935" t="s">
        <v>392</v>
      </c>
      <c r="D935" s="18">
        <v>44152</v>
      </c>
      <c r="E935" s="18">
        <v>44148</v>
      </c>
      <c r="F935" s="34">
        <v>44160</v>
      </c>
      <c r="H935" s="28" t="s">
        <v>327</v>
      </c>
      <c r="K935" t="s">
        <v>380</v>
      </c>
      <c r="L935">
        <v>6</v>
      </c>
      <c r="M935">
        <v>18</v>
      </c>
    </row>
    <row r="936" spans="1:13" x14ac:dyDescent="0.35">
      <c r="A936" s="14" t="s">
        <v>391</v>
      </c>
      <c r="B936" s="14" t="s">
        <v>377</v>
      </c>
      <c r="C936" t="s">
        <v>392</v>
      </c>
      <c r="D936" s="18">
        <v>44152</v>
      </c>
      <c r="E936" s="18">
        <v>44148</v>
      </c>
      <c r="F936" s="34">
        <v>44160</v>
      </c>
      <c r="H936" s="28" t="s">
        <v>335</v>
      </c>
      <c r="M936">
        <v>18</v>
      </c>
    </row>
    <row r="937" spans="1:13" x14ac:dyDescent="0.35">
      <c r="A937" s="14" t="s">
        <v>391</v>
      </c>
      <c r="B937" s="14" t="s">
        <v>377</v>
      </c>
      <c r="C937" t="s">
        <v>392</v>
      </c>
      <c r="D937" s="18">
        <v>44152</v>
      </c>
      <c r="E937" s="18">
        <v>44148</v>
      </c>
      <c r="F937" s="34">
        <v>44160</v>
      </c>
      <c r="H937" s="28" t="s">
        <v>339</v>
      </c>
      <c r="M937">
        <v>18</v>
      </c>
    </row>
    <row r="938" spans="1:13" x14ac:dyDescent="0.35">
      <c r="A938" s="14" t="s">
        <v>391</v>
      </c>
      <c r="B938" s="14" t="s">
        <v>377</v>
      </c>
      <c r="C938" t="s">
        <v>392</v>
      </c>
      <c r="D938" s="18">
        <v>44152</v>
      </c>
      <c r="E938" s="18">
        <v>44148</v>
      </c>
      <c r="F938" s="34">
        <v>44160</v>
      </c>
      <c r="H938" s="28" t="s">
        <v>345</v>
      </c>
      <c r="K938" t="s">
        <v>381</v>
      </c>
      <c r="L938">
        <v>50</v>
      </c>
      <c r="M938">
        <v>18</v>
      </c>
    </row>
    <row r="939" spans="1:13" x14ac:dyDescent="0.35">
      <c r="A939" s="14" t="s">
        <v>391</v>
      </c>
      <c r="B939" s="14" t="s">
        <v>377</v>
      </c>
      <c r="C939" t="s">
        <v>392</v>
      </c>
      <c r="D939" s="18">
        <v>44152</v>
      </c>
      <c r="E939" s="18">
        <v>44148</v>
      </c>
      <c r="F939" s="34">
        <v>44160</v>
      </c>
      <c r="H939" s="28" t="s">
        <v>59</v>
      </c>
      <c r="M939">
        <v>18</v>
      </c>
    </row>
    <row r="940" spans="1:13" x14ac:dyDescent="0.35">
      <c r="A940" s="14" t="s">
        <v>391</v>
      </c>
      <c r="B940" s="14" t="s">
        <v>377</v>
      </c>
      <c r="C940" t="s">
        <v>392</v>
      </c>
      <c r="D940" s="18">
        <v>44152</v>
      </c>
      <c r="E940" s="18">
        <v>44148</v>
      </c>
      <c r="F940" s="34">
        <v>44160</v>
      </c>
      <c r="H940" s="28" t="s">
        <v>360</v>
      </c>
      <c r="M940">
        <v>18</v>
      </c>
    </row>
    <row r="941" spans="1:13" x14ac:dyDescent="0.35">
      <c r="A941" s="14" t="s">
        <v>391</v>
      </c>
      <c r="B941" s="14" t="s">
        <v>377</v>
      </c>
      <c r="C941" t="s">
        <v>400</v>
      </c>
      <c r="D941" s="18">
        <v>44154</v>
      </c>
      <c r="E941" s="18">
        <v>44117</v>
      </c>
      <c r="F941" s="34">
        <v>44165</v>
      </c>
      <c r="H941" s="28" t="s">
        <v>68</v>
      </c>
      <c r="M941">
        <v>23</v>
      </c>
    </row>
    <row r="942" spans="1:13" x14ac:dyDescent="0.35">
      <c r="A942" s="14" t="s">
        <v>391</v>
      </c>
      <c r="B942" s="14" t="s">
        <v>377</v>
      </c>
      <c r="C942" t="s">
        <v>400</v>
      </c>
      <c r="D942" s="18">
        <v>44154</v>
      </c>
      <c r="E942" s="18">
        <v>44117</v>
      </c>
      <c r="F942" s="34">
        <v>44165</v>
      </c>
      <c r="H942" s="28" t="s">
        <v>408</v>
      </c>
      <c r="M942">
        <v>23</v>
      </c>
    </row>
    <row r="943" spans="1:13" x14ac:dyDescent="0.35">
      <c r="A943" s="14" t="s">
        <v>391</v>
      </c>
      <c r="B943" s="14" t="s">
        <v>377</v>
      </c>
      <c r="C943" t="s">
        <v>400</v>
      </c>
      <c r="D943" s="18">
        <v>44154</v>
      </c>
      <c r="E943" s="18">
        <v>44117</v>
      </c>
      <c r="F943" s="34">
        <v>44165</v>
      </c>
      <c r="H943" s="28" t="s">
        <v>41</v>
      </c>
      <c r="K943" t="s">
        <v>381</v>
      </c>
      <c r="L943">
        <v>50</v>
      </c>
      <c r="M943">
        <v>23</v>
      </c>
    </row>
    <row r="944" spans="1:13" x14ac:dyDescent="0.35">
      <c r="A944" s="14" t="s">
        <v>391</v>
      </c>
      <c r="B944" s="14" t="s">
        <v>377</v>
      </c>
      <c r="C944" t="s">
        <v>400</v>
      </c>
      <c r="D944" s="18">
        <v>44154</v>
      </c>
      <c r="E944" s="18">
        <v>44117</v>
      </c>
      <c r="F944" s="34">
        <v>44165</v>
      </c>
      <c r="H944" s="28" t="s">
        <v>39</v>
      </c>
      <c r="K944" t="s">
        <v>381</v>
      </c>
      <c r="L944">
        <v>25</v>
      </c>
      <c r="M944">
        <v>23</v>
      </c>
    </row>
    <row r="945" spans="1:13" x14ac:dyDescent="0.35">
      <c r="A945" s="14" t="s">
        <v>391</v>
      </c>
      <c r="B945" s="14" t="s">
        <v>377</v>
      </c>
      <c r="C945" t="s">
        <v>400</v>
      </c>
      <c r="D945" s="18">
        <v>44154</v>
      </c>
      <c r="E945" s="18">
        <v>44117</v>
      </c>
      <c r="F945" s="34">
        <v>44165</v>
      </c>
      <c r="H945" s="28" t="s">
        <v>123</v>
      </c>
      <c r="M945">
        <v>23</v>
      </c>
    </row>
    <row r="946" spans="1:13" x14ac:dyDescent="0.35">
      <c r="A946" s="14" t="s">
        <v>391</v>
      </c>
      <c r="B946" s="14" t="s">
        <v>377</v>
      </c>
      <c r="C946" t="s">
        <v>400</v>
      </c>
      <c r="D946" s="18">
        <v>44154</v>
      </c>
      <c r="E946" s="18">
        <v>44117</v>
      </c>
      <c r="F946" s="34">
        <v>44165</v>
      </c>
      <c r="H946" s="28" t="s">
        <v>150</v>
      </c>
      <c r="M946">
        <v>23</v>
      </c>
    </row>
    <row r="947" spans="1:13" x14ac:dyDescent="0.35">
      <c r="A947" s="14" t="s">
        <v>391</v>
      </c>
      <c r="B947" s="14" t="s">
        <v>377</v>
      </c>
      <c r="C947" t="s">
        <v>400</v>
      </c>
      <c r="D947" s="18">
        <v>44154</v>
      </c>
      <c r="E947" s="18">
        <v>44117</v>
      </c>
      <c r="F947" s="34">
        <v>44165</v>
      </c>
      <c r="H947" s="28" t="s">
        <v>127</v>
      </c>
      <c r="M947">
        <v>23</v>
      </c>
    </row>
    <row r="948" spans="1:13" x14ac:dyDescent="0.35">
      <c r="A948" s="14" t="s">
        <v>391</v>
      </c>
      <c r="B948" s="14" t="s">
        <v>377</v>
      </c>
      <c r="C948" t="s">
        <v>400</v>
      </c>
      <c r="D948" s="18">
        <v>44154</v>
      </c>
      <c r="E948" s="18">
        <v>44117</v>
      </c>
      <c r="F948" s="34">
        <v>44165</v>
      </c>
      <c r="H948" s="28" t="s">
        <v>25</v>
      </c>
      <c r="K948" t="s">
        <v>381</v>
      </c>
      <c r="L948">
        <v>20</v>
      </c>
      <c r="M948">
        <v>23</v>
      </c>
    </row>
    <row r="949" spans="1:13" x14ac:dyDescent="0.35">
      <c r="A949" s="14" t="s">
        <v>391</v>
      </c>
      <c r="B949" s="14" t="s">
        <v>377</v>
      </c>
      <c r="C949" t="s">
        <v>400</v>
      </c>
      <c r="D949" s="18">
        <v>44154</v>
      </c>
      <c r="E949" s="18">
        <v>44117</v>
      </c>
      <c r="F949" s="34">
        <v>44165</v>
      </c>
      <c r="H949" s="28" t="s">
        <v>23</v>
      </c>
      <c r="K949" t="s">
        <v>380</v>
      </c>
      <c r="L949">
        <v>10</v>
      </c>
      <c r="M949">
        <v>23</v>
      </c>
    </row>
    <row r="950" spans="1:13" x14ac:dyDescent="0.35">
      <c r="A950" s="14" t="s">
        <v>391</v>
      </c>
      <c r="B950" s="14" t="s">
        <v>377</v>
      </c>
      <c r="C950" t="s">
        <v>400</v>
      </c>
      <c r="D950" s="18">
        <v>44154</v>
      </c>
      <c r="E950" s="18">
        <v>44117</v>
      </c>
      <c r="F950" s="34">
        <v>44165</v>
      </c>
      <c r="H950" s="28" t="s">
        <v>24</v>
      </c>
      <c r="K950" t="s">
        <v>380</v>
      </c>
      <c r="L950">
        <v>15</v>
      </c>
      <c r="M950">
        <v>23</v>
      </c>
    </row>
    <row r="951" spans="1:13" x14ac:dyDescent="0.35">
      <c r="A951" s="14" t="s">
        <v>391</v>
      </c>
      <c r="B951" s="14" t="s">
        <v>377</v>
      </c>
      <c r="C951" t="s">
        <v>400</v>
      </c>
      <c r="D951" s="18">
        <v>44154</v>
      </c>
      <c r="E951" s="18">
        <v>44117</v>
      </c>
      <c r="F951" s="34">
        <v>44165</v>
      </c>
      <c r="H951" s="28" t="s">
        <v>27</v>
      </c>
      <c r="K951" t="s">
        <v>380</v>
      </c>
      <c r="L951">
        <v>10</v>
      </c>
      <c r="M951">
        <v>23</v>
      </c>
    </row>
    <row r="952" spans="1:13" x14ac:dyDescent="0.35">
      <c r="A952" s="14" t="s">
        <v>391</v>
      </c>
      <c r="B952" s="14" t="s">
        <v>377</v>
      </c>
      <c r="C952" t="s">
        <v>400</v>
      </c>
      <c r="D952" s="18">
        <v>44154</v>
      </c>
      <c r="E952" s="18">
        <v>44117</v>
      </c>
      <c r="F952" s="34">
        <v>44165</v>
      </c>
      <c r="H952" s="28" t="s">
        <v>28</v>
      </c>
      <c r="K952" t="s">
        <v>380</v>
      </c>
      <c r="L952">
        <v>15</v>
      </c>
      <c r="M952">
        <v>23</v>
      </c>
    </row>
    <row r="953" spans="1:13" x14ac:dyDescent="0.35">
      <c r="A953" s="14" t="s">
        <v>391</v>
      </c>
      <c r="B953" s="14" t="s">
        <v>377</v>
      </c>
      <c r="C953" t="s">
        <v>400</v>
      </c>
      <c r="D953" s="18">
        <v>44154</v>
      </c>
      <c r="E953" s="18">
        <v>44117</v>
      </c>
      <c r="F953" s="34">
        <v>44165</v>
      </c>
      <c r="H953" s="28" t="s">
        <v>30</v>
      </c>
      <c r="M953">
        <v>23</v>
      </c>
    </row>
    <row r="954" spans="1:13" x14ac:dyDescent="0.35">
      <c r="A954" s="14" t="s">
        <v>391</v>
      </c>
      <c r="B954" s="14" t="s">
        <v>377</v>
      </c>
      <c r="C954" t="s">
        <v>400</v>
      </c>
      <c r="D954" s="18">
        <v>44154</v>
      </c>
      <c r="E954" s="18">
        <v>44117</v>
      </c>
      <c r="F954" s="34">
        <v>44165</v>
      </c>
      <c r="H954" s="28" t="s">
        <v>29</v>
      </c>
      <c r="K954" t="s">
        <v>381</v>
      </c>
      <c r="L954">
        <v>33</v>
      </c>
      <c r="M954">
        <v>23</v>
      </c>
    </row>
    <row r="955" spans="1:13" x14ac:dyDescent="0.35">
      <c r="A955" s="14" t="s">
        <v>391</v>
      </c>
      <c r="B955" s="14" t="s">
        <v>377</v>
      </c>
      <c r="C955" t="s">
        <v>400</v>
      </c>
      <c r="D955" s="18">
        <v>44154</v>
      </c>
      <c r="E955" s="18">
        <v>44117</v>
      </c>
      <c r="F955" s="34">
        <v>44165</v>
      </c>
      <c r="H955" s="28" t="s">
        <v>190</v>
      </c>
      <c r="M955">
        <v>23</v>
      </c>
    </row>
    <row r="956" spans="1:13" x14ac:dyDescent="0.35">
      <c r="A956" s="14" t="s">
        <v>391</v>
      </c>
      <c r="B956" s="14" t="s">
        <v>377</v>
      </c>
      <c r="C956" t="s">
        <v>400</v>
      </c>
      <c r="D956" s="18">
        <v>44154</v>
      </c>
      <c r="E956" s="18">
        <v>44117</v>
      </c>
      <c r="F956" s="34">
        <v>44165</v>
      </c>
      <c r="H956" s="28" t="s">
        <v>198</v>
      </c>
      <c r="M956">
        <v>23</v>
      </c>
    </row>
    <row r="957" spans="1:13" x14ac:dyDescent="0.35">
      <c r="A957" s="14" t="s">
        <v>391</v>
      </c>
      <c r="B957" s="14" t="s">
        <v>377</v>
      </c>
      <c r="C957" t="s">
        <v>400</v>
      </c>
      <c r="D957" s="18">
        <v>44154</v>
      </c>
      <c r="E957" s="18">
        <v>44117</v>
      </c>
      <c r="F957" s="34">
        <v>44165</v>
      </c>
      <c r="H957" s="28" t="s">
        <v>393</v>
      </c>
      <c r="M957">
        <v>23</v>
      </c>
    </row>
    <row r="958" spans="1:13" x14ac:dyDescent="0.35">
      <c r="A958" s="14" t="s">
        <v>391</v>
      </c>
      <c r="B958" s="14" t="s">
        <v>377</v>
      </c>
      <c r="C958" t="s">
        <v>400</v>
      </c>
      <c r="D958" s="18">
        <v>44154</v>
      </c>
      <c r="E958" s="18">
        <v>44117</v>
      </c>
      <c r="F958" s="34">
        <v>44165</v>
      </c>
      <c r="H958" s="28" t="s">
        <v>204</v>
      </c>
      <c r="M958">
        <v>23</v>
      </c>
    </row>
    <row r="959" spans="1:13" x14ac:dyDescent="0.35">
      <c r="A959" s="14" t="s">
        <v>391</v>
      </c>
      <c r="B959" s="14" t="s">
        <v>377</v>
      </c>
      <c r="C959" t="s">
        <v>400</v>
      </c>
      <c r="D959" s="18">
        <v>44154</v>
      </c>
      <c r="E959" s="18">
        <v>44117</v>
      </c>
      <c r="F959" s="34">
        <v>44165</v>
      </c>
      <c r="H959" s="28" t="s">
        <v>208</v>
      </c>
      <c r="M959">
        <v>23</v>
      </c>
    </row>
    <row r="960" spans="1:13" x14ac:dyDescent="0.35">
      <c r="A960" s="14" t="s">
        <v>391</v>
      </c>
      <c r="B960" s="14" t="s">
        <v>377</v>
      </c>
      <c r="C960" t="s">
        <v>400</v>
      </c>
      <c r="D960" s="18">
        <v>44154</v>
      </c>
      <c r="E960" s="18">
        <v>44117</v>
      </c>
      <c r="F960" s="34">
        <v>44165</v>
      </c>
      <c r="H960" s="28" t="s">
        <v>403</v>
      </c>
      <c r="M960">
        <v>23</v>
      </c>
    </row>
    <row r="961" spans="1:13" x14ac:dyDescent="0.35">
      <c r="A961" s="14" t="s">
        <v>391</v>
      </c>
      <c r="B961" s="14" t="s">
        <v>377</v>
      </c>
      <c r="C961" t="s">
        <v>400</v>
      </c>
      <c r="D961" s="18">
        <v>44154</v>
      </c>
      <c r="E961" s="18">
        <v>44117</v>
      </c>
      <c r="F961" s="34">
        <v>44165</v>
      </c>
      <c r="H961" s="28" t="s">
        <v>223</v>
      </c>
      <c r="M961">
        <v>23</v>
      </c>
    </row>
    <row r="962" spans="1:13" x14ac:dyDescent="0.35">
      <c r="A962" s="14" t="s">
        <v>391</v>
      </c>
      <c r="B962" s="14" t="s">
        <v>377</v>
      </c>
      <c r="C962" t="s">
        <v>400</v>
      </c>
      <c r="D962" s="18">
        <v>44154</v>
      </c>
      <c r="E962" s="18">
        <v>44117</v>
      </c>
      <c r="F962" s="34">
        <v>44165</v>
      </c>
      <c r="H962" s="28" t="s">
        <v>56</v>
      </c>
      <c r="K962" t="s">
        <v>381</v>
      </c>
      <c r="L962">
        <v>30</v>
      </c>
      <c r="M962">
        <v>23</v>
      </c>
    </row>
    <row r="963" spans="1:13" x14ac:dyDescent="0.35">
      <c r="A963" s="14" t="s">
        <v>391</v>
      </c>
      <c r="B963" s="14" t="s">
        <v>377</v>
      </c>
      <c r="C963" t="s">
        <v>400</v>
      </c>
      <c r="D963" s="18">
        <v>44154</v>
      </c>
      <c r="E963" s="18">
        <v>44117</v>
      </c>
      <c r="F963" s="34">
        <v>44165</v>
      </c>
      <c r="H963" s="28" t="s">
        <v>263</v>
      </c>
      <c r="M963">
        <v>23</v>
      </c>
    </row>
    <row r="964" spans="1:13" x14ac:dyDescent="0.35">
      <c r="A964" s="14" t="s">
        <v>391</v>
      </c>
      <c r="B964" s="14" t="s">
        <v>377</v>
      </c>
      <c r="C964" t="s">
        <v>400</v>
      </c>
      <c r="D964" s="18">
        <v>44154</v>
      </c>
      <c r="E964" s="18">
        <v>44117</v>
      </c>
      <c r="F964" s="34">
        <v>44165</v>
      </c>
      <c r="H964" s="28" t="s">
        <v>287</v>
      </c>
      <c r="M964">
        <v>23</v>
      </c>
    </row>
    <row r="965" spans="1:13" x14ac:dyDescent="0.35">
      <c r="A965" s="14" t="s">
        <v>391</v>
      </c>
      <c r="B965" s="14" t="s">
        <v>377</v>
      </c>
      <c r="C965" t="s">
        <v>400</v>
      </c>
      <c r="D965" s="18">
        <v>44154</v>
      </c>
      <c r="E965" s="18">
        <v>44117</v>
      </c>
      <c r="F965" s="34">
        <v>44165</v>
      </c>
      <c r="H965" s="28" t="s">
        <v>309</v>
      </c>
      <c r="M965">
        <v>23</v>
      </c>
    </row>
    <row r="966" spans="1:13" x14ac:dyDescent="0.35">
      <c r="A966" s="14" t="s">
        <v>391</v>
      </c>
      <c r="B966" s="14" t="s">
        <v>377</v>
      </c>
      <c r="C966" t="s">
        <v>400</v>
      </c>
      <c r="D966" s="18">
        <v>44154</v>
      </c>
      <c r="E966" s="18">
        <v>44117</v>
      </c>
      <c r="F966" s="34">
        <v>44165</v>
      </c>
      <c r="H966" s="28" t="s">
        <v>311</v>
      </c>
      <c r="M966">
        <v>23</v>
      </c>
    </row>
    <row r="967" spans="1:13" x14ac:dyDescent="0.35">
      <c r="A967" s="14" t="s">
        <v>391</v>
      </c>
      <c r="B967" s="14" t="s">
        <v>377</v>
      </c>
      <c r="C967" t="s">
        <v>400</v>
      </c>
      <c r="D967" s="18">
        <v>44154</v>
      </c>
      <c r="E967" s="18">
        <v>44117</v>
      </c>
      <c r="F967" s="34">
        <v>44165</v>
      </c>
      <c r="H967" s="28" t="s">
        <v>315</v>
      </c>
      <c r="K967" t="s">
        <v>381</v>
      </c>
      <c r="L967">
        <v>30</v>
      </c>
      <c r="M967">
        <v>23</v>
      </c>
    </row>
    <row r="968" spans="1:13" x14ac:dyDescent="0.35">
      <c r="A968" s="14" t="s">
        <v>391</v>
      </c>
      <c r="B968" s="14" t="s">
        <v>377</v>
      </c>
      <c r="C968" t="s">
        <v>400</v>
      </c>
      <c r="D968" s="18">
        <v>44154</v>
      </c>
      <c r="E968" s="18">
        <v>44117</v>
      </c>
      <c r="F968" s="34">
        <v>44165</v>
      </c>
      <c r="H968" s="28" t="s">
        <v>401</v>
      </c>
      <c r="K968" t="s">
        <v>381</v>
      </c>
      <c r="L968">
        <v>50</v>
      </c>
      <c r="M968">
        <v>23</v>
      </c>
    </row>
    <row r="969" spans="1:13" x14ac:dyDescent="0.35">
      <c r="A969" s="14" t="s">
        <v>391</v>
      </c>
      <c r="B969" s="14" t="s">
        <v>377</v>
      </c>
      <c r="C969" t="s">
        <v>400</v>
      </c>
      <c r="D969" s="18">
        <v>44154</v>
      </c>
      <c r="E969" s="18">
        <v>44117</v>
      </c>
      <c r="F969" s="34">
        <v>44165</v>
      </c>
      <c r="H969" s="28" t="s">
        <v>402</v>
      </c>
      <c r="K969" t="s">
        <v>380</v>
      </c>
      <c r="L969">
        <v>6</v>
      </c>
      <c r="M969">
        <v>23</v>
      </c>
    </row>
    <row r="970" spans="1:13" x14ac:dyDescent="0.35">
      <c r="A970" s="14" t="s">
        <v>391</v>
      </c>
      <c r="B970" s="14" t="s">
        <v>377</v>
      </c>
      <c r="C970" t="s">
        <v>400</v>
      </c>
      <c r="D970" s="18">
        <v>44154</v>
      </c>
      <c r="E970" s="18">
        <v>44117</v>
      </c>
      <c r="F970" s="34">
        <v>44165</v>
      </c>
      <c r="H970" s="28" t="s">
        <v>60</v>
      </c>
      <c r="K970" t="s">
        <v>380</v>
      </c>
      <c r="L970">
        <v>6</v>
      </c>
      <c r="M970">
        <v>23</v>
      </c>
    </row>
    <row r="971" spans="1:13" x14ac:dyDescent="0.35">
      <c r="A971" s="14" t="s">
        <v>391</v>
      </c>
      <c r="B971" s="14" t="s">
        <v>377</v>
      </c>
      <c r="C971" t="s">
        <v>400</v>
      </c>
      <c r="D971" s="18">
        <v>44154</v>
      </c>
      <c r="E971" s="18">
        <v>44117</v>
      </c>
      <c r="F971" s="34">
        <v>44165</v>
      </c>
      <c r="H971" s="28" t="s">
        <v>60</v>
      </c>
      <c r="K971" t="s">
        <v>380</v>
      </c>
      <c r="L971">
        <v>6</v>
      </c>
      <c r="M971">
        <v>23</v>
      </c>
    </row>
    <row r="972" spans="1:13" x14ac:dyDescent="0.35">
      <c r="A972" s="14" t="s">
        <v>391</v>
      </c>
      <c r="B972" s="14" t="s">
        <v>377</v>
      </c>
      <c r="C972" t="s">
        <v>400</v>
      </c>
      <c r="D972" s="18">
        <v>44154</v>
      </c>
      <c r="E972" s="18">
        <v>44117</v>
      </c>
      <c r="F972" s="34">
        <v>44165</v>
      </c>
      <c r="H972" s="28" t="s">
        <v>335</v>
      </c>
      <c r="M972">
        <v>23</v>
      </c>
    </row>
    <row r="973" spans="1:13" x14ac:dyDescent="0.35">
      <c r="A973" s="14" t="s">
        <v>391</v>
      </c>
      <c r="B973" s="14" t="s">
        <v>377</v>
      </c>
      <c r="C973" t="s">
        <v>400</v>
      </c>
      <c r="D973" s="18">
        <v>44154</v>
      </c>
      <c r="E973" s="18">
        <v>44117</v>
      </c>
      <c r="F973" s="34">
        <v>44165</v>
      </c>
      <c r="H973" s="28" t="s">
        <v>339</v>
      </c>
      <c r="M973">
        <v>23</v>
      </c>
    </row>
    <row r="974" spans="1:13" x14ac:dyDescent="0.35">
      <c r="A974" s="14" t="s">
        <v>391</v>
      </c>
      <c r="B974" s="14" t="s">
        <v>377</v>
      </c>
      <c r="C974" t="s">
        <v>400</v>
      </c>
      <c r="D974" s="18">
        <v>44154</v>
      </c>
      <c r="E974" s="18">
        <v>44117</v>
      </c>
      <c r="F974" s="34">
        <v>44165</v>
      </c>
      <c r="H974" s="28" t="s">
        <v>341</v>
      </c>
      <c r="M974">
        <v>23</v>
      </c>
    </row>
    <row r="975" spans="1:13" x14ac:dyDescent="0.35">
      <c r="A975" s="14" t="s">
        <v>391</v>
      </c>
      <c r="B975" s="14" t="s">
        <v>377</v>
      </c>
      <c r="C975" t="s">
        <v>400</v>
      </c>
      <c r="D975" s="18">
        <v>44154</v>
      </c>
      <c r="E975" s="18">
        <v>44117</v>
      </c>
      <c r="F975" s="34">
        <v>44165</v>
      </c>
      <c r="H975" s="28" t="s">
        <v>345</v>
      </c>
      <c r="K975" t="s">
        <v>381</v>
      </c>
      <c r="L975">
        <v>50</v>
      </c>
      <c r="M975">
        <v>23</v>
      </c>
    </row>
    <row r="976" spans="1:13" x14ac:dyDescent="0.35">
      <c r="A976" s="14" t="s">
        <v>391</v>
      </c>
      <c r="B976" s="14" t="s">
        <v>377</v>
      </c>
      <c r="C976" t="s">
        <v>400</v>
      </c>
      <c r="D976" s="18">
        <v>44154</v>
      </c>
      <c r="E976" s="18">
        <v>44117</v>
      </c>
      <c r="F976" s="34">
        <v>44165</v>
      </c>
      <c r="H976" s="28" t="s">
        <v>59</v>
      </c>
      <c r="M976">
        <v>23</v>
      </c>
    </row>
    <row r="977" spans="1:13" x14ac:dyDescent="0.35">
      <c r="A977" s="14" t="s">
        <v>391</v>
      </c>
      <c r="B977" s="14" t="s">
        <v>377</v>
      </c>
      <c r="C977" t="s">
        <v>400</v>
      </c>
      <c r="D977" s="18">
        <v>44154</v>
      </c>
      <c r="E977" s="18">
        <v>44117</v>
      </c>
      <c r="F977" s="34">
        <v>44165</v>
      </c>
      <c r="H977" s="28" t="s">
        <v>360</v>
      </c>
      <c r="M977">
        <v>23</v>
      </c>
    </row>
    <row r="978" spans="1:13" x14ac:dyDescent="0.35">
      <c r="A978" s="14" t="s">
        <v>391</v>
      </c>
      <c r="B978" s="14" t="s">
        <v>377</v>
      </c>
      <c r="C978" t="s">
        <v>394</v>
      </c>
      <c r="D978" s="18">
        <v>44158</v>
      </c>
      <c r="E978" s="18">
        <v>44154</v>
      </c>
      <c r="F978" s="34">
        <v>44167</v>
      </c>
      <c r="H978" s="28" t="s">
        <v>68</v>
      </c>
      <c r="M978">
        <v>11</v>
      </c>
    </row>
    <row r="979" spans="1:13" x14ac:dyDescent="0.35">
      <c r="A979" s="14" t="s">
        <v>391</v>
      </c>
      <c r="B979" s="14" t="s">
        <v>377</v>
      </c>
      <c r="C979" t="s">
        <v>394</v>
      </c>
      <c r="D979" s="18">
        <v>44158</v>
      </c>
      <c r="E979" s="18">
        <v>44154</v>
      </c>
      <c r="F979" s="34">
        <v>44167</v>
      </c>
      <c r="H979" s="28" t="s">
        <v>96</v>
      </c>
      <c r="M979">
        <v>11</v>
      </c>
    </row>
    <row r="980" spans="1:13" x14ac:dyDescent="0.35">
      <c r="A980" s="14" t="s">
        <v>391</v>
      </c>
      <c r="B980" s="14" t="s">
        <v>377</v>
      </c>
      <c r="C980" t="s">
        <v>394</v>
      </c>
      <c r="D980" s="18">
        <v>44158</v>
      </c>
      <c r="E980" s="18">
        <v>44154</v>
      </c>
      <c r="F980" s="34">
        <v>44167</v>
      </c>
      <c r="H980" s="28" t="s">
        <v>72</v>
      </c>
      <c r="M980">
        <v>11</v>
      </c>
    </row>
    <row r="981" spans="1:13" x14ac:dyDescent="0.35">
      <c r="A981" s="14" t="s">
        <v>391</v>
      </c>
      <c r="B981" s="14" t="s">
        <v>377</v>
      </c>
      <c r="C981" t="s">
        <v>394</v>
      </c>
      <c r="D981" s="18">
        <v>44158</v>
      </c>
      <c r="E981" s="18">
        <v>44154</v>
      </c>
      <c r="F981" s="34">
        <v>44167</v>
      </c>
      <c r="H981" s="28" t="s">
        <v>47</v>
      </c>
      <c r="K981" t="s">
        <v>381</v>
      </c>
      <c r="L981">
        <v>20</v>
      </c>
      <c r="M981">
        <v>11</v>
      </c>
    </row>
    <row r="982" spans="1:13" x14ac:dyDescent="0.35">
      <c r="A982" s="14" t="s">
        <v>391</v>
      </c>
      <c r="B982" s="14" t="s">
        <v>377</v>
      </c>
      <c r="C982" t="s">
        <v>394</v>
      </c>
      <c r="D982" s="18">
        <v>44158</v>
      </c>
      <c r="E982" s="18">
        <v>44154</v>
      </c>
      <c r="F982" s="34">
        <v>44167</v>
      </c>
      <c r="H982" s="28" t="s">
        <v>50</v>
      </c>
      <c r="K982" t="s">
        <v>381</v>
      </c>
      <c r="L982">
        <v>50</v>
      </c>
      <c r="M982">
        <v>11</v>
      </c>
    </row>
    <row r="983" spans="1:13" x14ac:dyDescent="0.35">
      <c r="A983" s="14" t="s">
        <v>391</v>
      </c>
      <c r="B983" s="14" t="s">
        <v>377</v>
      </c>
      <c r="C983" t="s">
        <v>394</v>
      </c>
      <c r="D983" s="18">
        <v>44158</v>
      </c>
      <c r="E983" s="18">
        <v>44154</v>
      </c>
      <c r="F983" s="34">
        <v>44167</v>
      </c>
      <c r="H983" s="28" t="s">
        <v>408</v>
      </c>
      <c r="M983">
        <v>11</v>
      </c>
    </row>
    <row r="984" spans="1:13" x14ac:dyDescent="0.35">
      <c r="A984" s="14" t="s">
        <v>391</v>
      </c>
      <c r="B984" s="14" t="s">
        <v>377</v>
      </c>
      <c r="C984" t="s">
        <v>394</v>
      </c>
      <c r="D984" s="18">
        <v>44158</v>
      </c>
      <c r="E984" s="18">
        <v>44154</v>
      </c>
      <c r="F984" s="34">
        <v>44167</v>
      </c>
      <c r="H984" s="28" t="s">
        <v>41</v>
      </c>
      <c r="K984" t="s">
        <v>381</v>
      </c>
      <c r="L984">
        <v>50</v>
      </c>
      <c r="M984">
        <v>11</v>
      </c>
    </row>
    <row r="985" spans="1:13" x14ac:dyDescent="0.35">
      <c r="A985" s="14" t="s">
        <v>391</v>
      </c>
      <c r="B985" s="14" t="s">
        <v>377</v>
      </c>
      <c r="C985" t="s">
        <v>394</v>
      </c>
      <c r="D985" s="18">
        <v>44158</v>
      </c>
      <c r="E985" s="18">
        <v>44154</v>
      </c>
      <c r="F985" s="34">
        <v>44167</v>
      </c>
      <c r="H985" s="28" t="s">
        <v>41</v>
      </c>
      <c r="K985" t="s">
        <v>381</v>
      </c>
      <c r="L985">
        <v>50</v>
      </c>
      <c r="M985">
        <v>11</v>
      </c>
    </row>
    <row r="986" spans="1:13" x14ac:dyDescent="0.35">
      <c r="A986" s="14" t="s">
        <v>391</v>
      </c>
      <c r="B986" s="14" t="s">
        <v>377</v>
      </c>
      <c r="C986" t="s">
        <v>394</v>
      </c>
      <c r="D986" s="18">
        <v>44158</v>
      </c>
      <c r="E986" s="18">
        <v>44154</v>
      </c>
      <c r="F986" s="34">
        <v>44167</v>
      </c>
      <c r="H986" s="28" t="s">
        <v>39</v>
      </c>
      <c r="K986" t="s">
        <v>381</v>
      </c>
      <c r="L986">
        <v>25</v>
      </c>
      <c r="M986">
        <v>11</v>
      </c>
    </row>
    <row r="987" spans="1:13" x14ac:dyDescent="0.35">
      <c r="A987" s="14" t="s">
        <v>391</v>
      </c>
      <c r="B987" s="14" t="s">
        <v>377</v>
      </c>
      <c r="C987" t="s">
        <v>394</v>
      </c>
      <c r="D987" s="18">
        <v>44158</v>
      </c>
      <c r="E987" s="18">
        <v>44154</v>
      </c>
      <c r="F987" s="34">
        <v>44167</v>
      </c>
      <c r="H987" s="28" t="s">
        <v>116</v>
      </c>
      <c r="K987" t="s">
        <v>381</v>
      </c>
      <c r="L987">
        <v>25</v>
      </c>
      <c r="M987">
        <v>11</v>
      </c>
    </row>
    <row r="988" spans="1:13" x14ac:dyDescent="0.35">
      <c r="A988" s="14" t="s">
        <v>391</v>
      </c>
      <c r="B988" s="14" t="s">
        <v>377</v>
      </c>
      <c r="C988" t="s">
        <v>394</v>
      </c>
      <c r="D988" s="18">
        <v>44158</v>
      </c>
      <c r="E988" s="18">
        <v>44154</v>
      </c>
      <c r="F988" s="34">
        <v>44167</v>
      </c>
      <c r="H988" s="28" t="s">
        <v>123</v>
      </c>
      <c r="M988">
        <v>11</v>
      </c>
    </row>
    <row r="989" spans="1:13" x14ac:dyDescent="0.35">
      <c r="A989" s="14" t="s">
        <v>391</v>
      </c>
      <c r="B989" s="14" t="s">
        <v>377</v>
      </c>
      <c r="C989" t="s">
        <v>394</v>
      </c>
      <c r="D989" s="18">
        <v>44158</v>
      </c>
      <c r="E989" s="18">
        <v>44154</v>
      </c>
      <c r="F989" s="34">
        <v>44167</v>
      </c>
      <c r="H989" s="28" t="s">
        <v>150</v>
      </c>
      <c r="M989">
        <v>11</v>
      </c>
    </row>
    <row r="990" spans="1:13" x14ac:dyDescent="0.35">
      <c r="A990" s="14" t="s">
        <v>391</v>
      </c>
      <c r="B990" s="14" t="s">
        <v>377</v>
      </c>
      <c r="C990" t="s">
        <v>394</v>
      </c>
      <c r="D990" s="18">
        <v>44158</v>
      </c>
      <c r="E990" s="18">
        <v>44154</v>
      </c>
      <c r="F990" s="34">
        <v>44167</v>
      </c>
      <c r="H990" s="28" t="s">
        <v>125</v>
      </c>
      <c r="M990">
        <v>11</v>
      </c>
    </row>
    <row r="991" spans="1:13" x14ac:dyDescent="0.35">
      <c r="A991" s="14" t="s">
        <v>391</v>
      </c>
      <c r="B991" s="14" t="s">
        <v>377</v>
      </c>
      <c r="C991" t="s">
        <v>394</v>
      </c>
      <c r="D991" s="18">
        <v>44158</v>
      </c>
      <c r="E991" s="18">
        <v>44154</v>
      </c>
      <c r="F991" s="34">
        <v>44167</v>
      </c>
      <c r="H991" s="28" t="s">
        <v>127</v>
      </c>
      <c r="M991">
        <v>11</v>
      </c>
    </row>
    <row r="992" spans="1:13" x14ac:dyDescent="0.35">
      <c r="A992" s="14" t="s">
        <v>391</v>
      </c>
      <c r="B992" s="14" t="s">
        <v>377</v>
      </c>
      <c r="C992" t="s">
        <v>394</v>
      </c>
      <c r="D992" s="18">
        <v>44158</v>
      </c>
      <c r="E992" s="18">
        <v>44154</v>
      </c>
      <c r="F992" s="34">
        <v>44167</v>
      </c>
      <c r="H992" s="28" t="s">
        <v>127</v>
      </c>
      <c r="M992">
        <v>11</v>
      </c>
    </row>
    <row r="993" spans="1:13" x14ac:dyDescent="0.35">
      <c r="A993" s="14" t="s">
        <v>391</v>
      </c>
      <c r="B993" s="14" t="s">
        <v>377</v>
      </c>
      <c r="C993" t="s">
        <v>394</v>
      </c>
      <c r="D993" s="18">
        <v>44158</v>
      </c>
      <c r="E993" s="18">
        <v>44154</v>
      </c>
      <c r="F993" s="34">
        <v>44167</v>
      </c>
      <c r="H993" s="28" t="s">
        <v>42</v>
      </c>
      <c r="K993" t="s">
        <v>380</v>
      </c>
      <c r="L993">
        <v>6</v>
      </c>
      <c r="M993">
        <v>11</v>
      </c>
    </row>
    <row r="994" spans="1:13" x14ac:dyDescent="0.35">
      <c r="A994" s="14" t="s">
        <v>391</v>
      </c>
      <c r="B994" s="14" t="s">
        <v>377</v>
      </c>
      <c r="C994" t="s">
        <v>394</v>
      </c>
      <c r="D994" s="18">
        <v>44158</v>
      </c>
      <c r="E994" s="18">
        <v>44154</v>
      </c>
      <c r="F994" s="34">
        <v>44167</v>
      </c>
      <c r="H994" s="28" t="s">
        <v>25</v>
      </c>
      <c r="K994" t="s">
        <v>381</v>
      </c>
      <c r="L994">
        <v>20</v>
      </c>
      <c r="M994">
        <v>11</v>
      </c>
    </row>
    <row r="995" spans="1:13" x14ac:dyDescent="0.35">
      <c r="A995" s="14" t="s">
        <v>391</v>
      </c>
      <c r="B995" s="14" t="s">
        <v>377</v>
      </c>
      <c r="C995" t="s">
        <v>394</v>
      </c>
      <c r="D995" s="18">
        <v>44158</v>
      </c>
      <c r="E995" s="18">
        <v>44154</v>
      </c>
      <c r="F995" s="34">
        <v>44167</v>
      </c>
      <c r="H995" s="28" t="s">
        <v>25</v>
      </c>
      <c r="K995" t="s">
        <v>381</v>
      </c>
      <c r="L995">
        <v>40</v>
      </c>
      <c r="M995">
        <v>11</v>
      </c>
    </row>
    <row r="996" spans="1:13" x14ac:dyDescent="0.35">
      <c r="A996" s="14" t="s">
        <v>391</v>
      </c>
      <c r="B996" s="14" t="s">
        <v>377</v>
      </c>
      <c r="C996" t="s">
        <v>394</v>
      </c>
      <c r="D996" s="18">
        <v>44158</v>
      </c>
      <c r="E996" s="18">
        <v>44154</v>
      </c>
      <c r="F996" s="34">
        <v>44167</v>
      </c>
      <c r="H996" s="28" t="s">
        <v>23</v>
      </c>
      <c r="K996" t="s">
        <v>380</v>
      </c>
      <c r="L996">
        <v>6</v>
      </c>
      <c r="M996">
        <v>11</v>
      </c>
    </row>
    <row r="997" spans="1:13" x14ac:dyDescent="0.35">
      <c r="A997" s="14" t="s">
        <v>391</v>
      </c>
      <c r="B997" s="14" t="s">
        <v>377</v>
      </c>
      <c r="C997" t="s">
        <v>394</v>
      </c>
      <c r="D997" s="18">
        <v>44158</v>
      </c>
      <c r="E997" s="18">
        <v>44154</v>
      </c>
      <c r="F997" s="34">
        <v>44167</v>
      </c>
      <c r="H997" s="28" t="s">
        <v>24</v>
      </c>
      <c r="K997" t="s">
        <v>380</v>
      </c>
      <c r="L997">
        <v>6</v>
      </c>
      <c r="M997">
        <v>11</v>
      </c>
    </row>
    <row r="998" spans="1:13" x14ac:dyDescent="0.35">
      <c r="A998" s="14" t="s">
        <v>391</v>
      </c>
      <c r="B998" s="14" t="s">
        <v>377</v>
      </c>
      <c r="C998" t="s">
        <v>394</v>
      </c>
      <c r="D998" s="18">
        <v>44158</v>
      </c>
      <c r="E998" s="18">
        <v>44154</v>
      </c>
      <c r="F998" s="34">
        <v>44167</v>
      </c>
      <c r="H998" s="28" t="s">
        <v>404</v>
      </c>
      <c r="K998" t="s">
        <v>380</v>
      </c>
      <c r="L998">
        <v>10</v>
      </c>
      <c r="M998">
        <v>11</v>
      </c>
    </row>
    <row r="999" spans="1:13" x14ac:dyDescent="0.35">
      <c r="A999" s="14" t="s">
        <v>391</v>
      </c>
      <c r="B999" s="14" t="s">
        <v>377</v>
      </c>
      <c r="C999" t="s">
        <v>394</v>
      </c>
      <c r="D999" s="18">
        <v>44158</v>
      </c>
      <c r="E999" s="18">
        <v>44154</v>
      </c>
      <c r="F999" s="34">
        <v>44167</v>
      </c>
      <c r="H999" s="28" t="s">
        <v>406</v>
      </c>
      <c r="K999" t="s">
        <v>380</v>
      </c>
      <c r="L999">
        <v>15</v>
      </c>
      <c r="M999">
        <v>11</v>
      </c>
    </row>
    <row r="1000" spans="1:13" x14ac:dyDescent="0.35">
      <c r="A1000" s="14" t="s">
        <v>391</v>
      </c>
      <c r="B1000" s="14" t="s">
        <v>377</v>
      </c>
      <c r="C1000" t="s">
        <v>394</v>
      </c>
      <c r="D1000" s="18">
        <v>44158</v>
      </c>
      <c r="E1000" s="18">
        <v>44154</v>
      </c>
      <c r="F1000" s="34">
        <v>44167</v>
      </c>
      <c r="H1000" s="28" t="s">
        <v>405</v>
      </c>
      <c r="K1000" t="s">
        <v>380</v>
      </c>
      <c r="L1000">
        <v>10</v>
      </c>
      <c r="M1000">
        <v>11</v>
      </c>
    </row>
    <row r="1001" spans="1:13" x14ac:dyDescent="0.35">
      <c r="A1001" s="14" t="s">
        <v>391</v>
      </c>
      <c r="B1001" s="14" t="s">
        <v>377</v>
      </c>
      <c r="C1001" t="s">
        <v>394</v>
      </c>
      <c r="D1001" s="18">
        <v>44158</v>
      </c>
      <c r="E1001" s="18">
        <v>44154</v>
      </c>
      <c r="F1001" s="34">
        <v>44167</v>
      </c>
      <c r="H1001" s="28" t="s">
        <v>407</v>
      </c>
      <c r="K1001" t="s">
        <v>380</v>
      </c>
      <c r="L1001">
        <v>15</v>
      </c>
      <c r="M1001">
        <v>11</v>
      </c>
    </row>
    <row r="1002" spans="1:13" x14ac:dyDescent="0.35">
      <c r="A1002" s="14" t="s">
        <v>391</v>
      </c>
      <c r="B1002" s="14" t="s">
        <v>377</v>
      </c>
      <c r="C1002" t="s">
        <v>394</v>
      </c>
      <c r="D1002" s="18">
        <v>44158</v>
      </c>
      <c r="E1002" s="18">
        <v>44154</v>
      </c>
      <c r="F1002" s="34">
        <v>44167</v>
      </c>
      <c r="H1002" s="28" t="s">
        <v>30</v>
      </c>
      <c r="M1002">
        <v>11</v>
      </c>
    </row>
    <row r="1003" spans="1:13" x14ac:dyDescent="0.35">
      <c r="A1003" s="14" t="s">
        <v>391</v>
      </c>
      <c r="B1003" s="14" t="s">
        <v>377</v>
      </c>
      <c r="C1003" t="s">
        <v>394</v>
      </c>
      <c r="D1003" s="18">
        <v>44158</v>
      </c>
      <c r="E1003" s="18">
        <v>44154</v>
      </c>
      <c r="F1003" s="34">
        <v>44167</v>
      </c>
      <c r="H1003" s="28" t="s">
        <v>30</v>
      </c>
      <c r="K1003" t="s">
        <v>381</v>
      </c>
      <c r="L1003">
        <v>33</v>
      </c>
      <c r="M1003">
        <v>11</v>
      </c>
    </row>
    <row r="1004" spans="1:13" x14ac:dyDescent="0.35">
      <c r="A1004" s="14" t="s">
        <v>391</v>
      </c>
      <c r="B1004" s="14" t="s">
        <v>377</v>
      </c>
      <c r="C1004" t="s">
        <v>394</v>
      </c>
      <c r="D1004" s="18">
        <v>44158</v>
      </c>
      <c r="E1004" s="18">
        <v>44154</v>
      </c>
      <c r="F1004" s="34">
        <v>44167</v>
      </c>
      <c r="H1004" s="28" t="s">
        <v>29</v>
      </c>
      <c r="K1004" t="s">
        <v>381</v>
      </c>
      <c r="L1004">
        <v>33</v>
      </c>
      <c r="M1004">
        <v>11</v>
      </c>
    </row>
    <row r="1005" spans="1:13" x14ac:dyDescent="0.35">
      <c r="A1005" s="14" t="s">
        <v>391</v>
      </c>
      <c r="B1005" s="14" t="s">
        <v>377</v>
      </c>
      <c r="C1005" t="s">
        <v>394</v>
      </c>
      <c r="D1005" s="18">
        <v>44158</v>
      </c>
      <c r="E1005" s="18">
        <v>44154</v>
      </c>
      <c r="F1005" s="34">
        <v>44167</v>
      </c>
      <c r="H1005" s="28" t="s">
        <v>29</v>
      </c>
      <c r="K1005" t="s">
        <v>381</v>
      </c>
      <c r="L1005">
        <v>33</v>
      </c>
      <c r="M1005">
        <v>11</v>
      </c>
    </row>
    <row r="1006" spans="1:13" x14ac:dyDescent="0.35">
      <c r="A1006" s="14" t="s">
        <v>391</v>
      </c>
      <c r="B1006" s="14" t="s">
        <v>377</v>
      </c>
      <c r="C1006" t="s">
        <v>394</v>
      </c>
      <c r="D1006" s="18">
        <v>44158</v>
      </c>
      <c r="E1006" s="18">
        <v>44154</v>
      </c>
      <c r="F1006" s="34">
        <v>44167</v>
      </c>
      <c r="H1006" s="28" t="s">
        <v>188</v>
      </c>
      <c r="M1006">
        <v>11</v>
      </c>
    </row>
    <row r="1007" spans="1:13" x14ac:dyDescent="0.35">
      <c r="A1007" s="14" t="s">
        <v>391</v>
      </c>
      <c r="B1007" s="14" t="s">
        <v>377</v>
      </c>
      <c r="C1007" t="s">
        <v>394</v>
      </c>
      <c r="D1007" s="18">
        <v>44158</v>
      </c>
      <c r="E1007" s="18">
        <v>44154</v>
      </c>
      <c r="F1007" s="34">
        <v>44167</v>
      </c>
      <c r="H1007" s="28" t="s">
        <v>190</v>
      </c>
      <c r="M1007">
        <v>11</v>
      </c>
    </row>
    <row r="1008" spans="1:13" x14ac:dyDescent="0.35">
      <c r="A1008" s="14" t="s">
        <v>391</v>
      </c>
      <c r="B1008" s="14" t="s">
        <v>377</v>
      </c>
      <c r="C1008" t="s">
        <v>394</v>
      </c>
      <c r="D1008" s="18">
        <v>44158</v>
      </c>
      <c r="E1008" s="18">
        <v>44154</v>
      </c>
      <c r="F1008" s="34">
        <v>44167</v>
      </c>
      <c r="H1008" s="28" t="s">
        <v>192</v>
      </c>
      <c r="M1008">
        <v>11</v>
      </c>
    </row>
    <row r="1009" spans="1:13" x14ac:dyDescent="0.35">
      <c r="A1009" s="14" t="s">
        <v>391</v>
      </c>
      <c r="B1009" s="14" t="s">
        <v>377</v>
      </c>
      <c r="C1009" t="s">
        <v>394</v>
      </c>
      <c r="D1009" s="18">
        <v>44158</v>
      </c>
      <c r="E1009" s="18">
        <v>44154</v>
      </c>
      <c r="F1009" s="34">
        <v>44167</v>
      </c>
      <c r="H1009" s="28" t="s">
        <v>198</v>
      </c>
      <c r="M1009">
        <v>11</v>
      </c>
    </row>
    <row r="1010" spans="1:13" x14ac:dyDescent="0.35">
      <c r="A1010" s="14" t="s">
        <v>391</v>
      </c>
      <c r="B1010" s="14" t="s">
        <v>377</v>
      </c>
      <c r="C1010" t="s">
        <v>394</v>
      </c>
      <c r="D1010" s="18">
        <v>44158</v>
      </c>
      <c r="E1010" s="18">
        <v>44154</v>
      </c>
      <c r="F1010" s="34">
        <v>44167</v>
      </c>
      <c r="H1010" s="28" t="s">
        <v>198</v>
      </c>
      <c r="M1010">
        <v>11</v>
      </c>
    </row>
    <row r="1011" spans="1:13" x14ac:dyDescent="0.35">
      <c r="A1011" s="14" t="s">
        <v>391</v>
      </c>
      <c r="B1011" s="14" t="s">
        <v>377</v>
      </c>
      <c r="C1011" t="s">
        <v>394</v>
      </c>
      <c r="D1011" s="18">
        <v>44158</v>
      </c>
      <c r="E1011" s="18">
        <v>44154</v>
      </c>
      <c r="F1011" s="34">
        <v>44167</v>
      </c>
      <c r="H1011" s="28" t="s">
        <v>393</v>
      </c>
      <c r="M1011">
        <v>11</v>
      </c>
    </row>
    <row r="1012" spans="1:13" x14ac:dyDescent="0.35">
      <c r="A1012" s="14" t="s">
        <v>391</v>
      </c>
      <c r="B1012" s="14" t="s">
        <v>377</v>
      </c>
      <c r="C1012" t="s">
        <v>394</v>
      </c>
      <c r="D1012" s="18">
        <v>44158</v>
      </c>
      <c r="E1012" s="18">
        <v>44154</v>
      </c>
      <c r="F1012" s="34">
        <v>44167</v>
      </c>
      <c r="H1012" s="28" t="s">
        <v>393</v>
      </c>
      <c r="M1012">
        <v>11</v>
      </c>
    </row>
    <row r="1013" spans="1:13" x14ac:dyDescent="0.35">
      <c r="A1013" s="14" t="s">
        <v>391</v>
      </c>
      <c r="B1013" s="14" t="s">
        <v>377</v>
      </c>
      <c r="C1013" t="s">
        <v>394</v>
      </c>
      <c r="D1013" s="18">
        <v>44158</v>
      </c>
      <c r="E1013" s="18">
        <v>44154</v>
      </c>
      <c r="F1013" s="34">
        <v>44167</v>
      </c>
      <c r="H1013" s="28" t="s">
        <v>204</v>
      </c>
      <c r="M1013">
        <v>11</v>
      </c>
    </row>
    <row r="1014" spans="1:13" x14ac:dyDescent="0.35">
      <c r="A1014" s="14" t="s">
        <v>391</v>
      </c>
      <c r="B1014" s="14" t="s">
        <v>377</v>
      </c>
      <c r="C1014" t="s">
        <v>394</v>
      </c>
      <c r="D1014" s="18">
        <v>44158</v>
      </c>
      <c r="E1014" s="18">
        <v>44154</v>
      </c>
      <c r="F1014" s="34">
        <v>44167</v>
      </c>
      <c r="H1014" s="28" t="s">
        <v>204</v>
      </c>
      <c r="M1014">
        <v>11</v>
      </c>
    </row>
    <row r="1015" spans="1:13" x14ac:dyDescent="0.35">
      <c r="A1015" s="14" t="s">
        <v>391</v>
      </c>
      <c r="B1015" s="14" t="s">
        <v>377</v>
      </c>
      <c r="C1015" t="s">
        <v>394</v>
      </c>
      <c r="D1015" s="18">
        <v>44158</v>
      </c>
      <c r="E1015" s="18">
        <v>44154</v>
      </c>
      <c r="F1015" s="34">
        <v>44167</v>
      </c>
      <c r="H1015" s="28" t="s">
        <v>208</v>
      </c>
      <c r="M1015">
        <v>11</v>
      </c>
    </row>
    <row r="1016" spans="1:13" x14ac:dyDescent="0.35">
      <c r="A1016" s="14" t="s">
        <v>391</v>
      </c>
      <c r="B1016" s="14" t="s">
        <v>377</v>
      </c>
      <c r="C1016" t="s">
        <v>394</v>
      </c>
      <c r="D1016" s="18">
        <v>44158</v>
      </c>
      <c r="E1016" s="18">
        <v>44154</v>
      </c>
      <c r="F1016" s="34">
        <v>44167</v>
      </c>
      <c r="H1016" s="28" t="s">
        <v>208</v>
      </c>
      <c r="M1016">
        <v>11</v>
      </c>
    </row>
    <row r="1017" spans="1:13" x14ac:dyDescent="0.35">
      <c r="A1017" s="14" t="s">
        <v>391</v>
      </c>
      <c r="B1017" s="14" t="s">
        <v>377</v>
      </c>
      <c r="C1017" t="s">
        <v>394</v>
      </c>
      <c r="D1017" s="18">
        <v>44158</v>
      </c>
      <c r="E1017" s="18">
        <v>44154</v>
      </c>
      <c r="F1017" s="34">
        <v>44167</v>
      </c>
      <c r="H1017" s="28" t="s">
        <v>210</v>
      </c>
      <c r="M1017">
        <v>11</v>
      </c>
    </row>
    <row r="1018" spans="1:13" x14ac:dyDescent="0.35">
      <c r="A1018" s="14" t="s">
        <v>391</v>
      </c>
      <c r="B1018" s="14" t="s">
        <v>377</v>
      </c>
      <c r="C1018" t="s">
        <v>394</v>
      </c>
      <c r="D1018" s="18">
        <v>44158</v>
      </c>
      <c r="E1018" s="18">
        <v>44154</v>
      </c>
      <c r="F1018" s="34">
        <v>44167</v>
      </c>
      <c r="H1018" s="28" t="s">
        <v>403</v>
      </c>
      <c r="M1018">
        <v>11</v>
      </c>
    </row>
    <row r="1019" spans="1:13" x14ac:dyDescent="0.35">
      <c r="A1019" s="14" t="s">
        <v>391</v>
      </c>
      <c r="B1019" s="14" t="s">
        <v>377</v>
      </c>
      <c r="C1019" t="s">
        <v>394</v>
      </c>
      <c r="D1019" s="18">
        <v>44158</v>
      </c>
      <c r="E1019" s="18">
        <v>44154</v>
      </c>
      <c r="F1019" s="34">
        <v>44167</v>
      </c>
      <c r="H1019" s="28" t="s">
        <v>223</v>
      </c>
      <c r="M1019">
        <v>11</v>
      </c>
    </row>
    <row r="1020" spans="1:13" x14ac:dyDescent="0.35">
      <c r="A1020" s="14" t="s">
        <v>391</v>
      </c>
      <c r="B1020" s="14" t="s">
        <v>377</v>
      </c>
      <c r="C1020" t="s">
        <v>394</v>
      </c>
      <c r="D1020" s="18">
        <v>44158</v>
      </c>
      <c r="E1020" s="18">
        <v>44154</v>
      </c>
      <c r="F1020" s="34">
        <v>44167</v>
      </c>
      <c r="H1020" s="28" t="s">
        <v>31</v>
      </c>
      <c r="K1020" t="s">
        <v>381</v>
      </c>
      <c r="L1020">
        <v>30</v>
      </c>
      <c r="M1020">
        <v>11</v>
      </c>
    </row>
    <row r="1021" spans="1:13" x14ac:dyDescent="0.35">
      <c r="A1021" s="14" t="s">
        <v>391</v>
      </c>
      <c r="B1021" s="14" t="s">
        <v>377</v>
      </c>
      <c r="C1021" t="s">
        <v>394</v>
      </c>
      <c r="D1021" s="18">
        <v>44158</v>
      </c>
      <c r="E1021" s="18">
        <v>44154</v>
      </c>
      <c r="F1021" s="34">
        <v>44167</v>
      </c>
      <c r="H1021" s="28" t="s">
        <v>56</v>
      </c>
      <c r="K1021" t="s">
        <v>381</v>
      </c>
      <c r="L1021">
        <v>30</v>
      </c>
      <c r="M1021">
        <v>11</v>
      </c>
    </row>
    <row r="1022" spans="1:13" x14ac:dyDescent="0.35">
      <c r="A1022" s="14" t="s">
        <v>391</v>
      </c>
      <c r="B1022" s="14" t="s">
        <v>377</v>
      </c>
      <c r="C1022" t="s">
        <v>394</v>
      </c>
      <c r="D1022" s="18">
        <v>44158</v>
      </c>
      <c r="E1022" s="18">
        <v>44154</v>
      </c>
      <c r="F1022" s="34">
        <v>44167</v>
      </c>
      <c r="H1022" s="28" t="s">
        <v>56</v>
      </c>
      <c r="K1022" t="s">
        <v>381</v>
      </c>
      <c r="L1022">
        <v>50</v>
      </c>
      <c r="M1022">
        <v>11</v>
      </c>
    </row>
    <row r="1023" spans="1:13" x14ac:dyDescent="0.35">
      <c r="A1023" s="14" t="s">
        <v>391</v>
      </c>
      <c r="B1023" s="14" t="s">
        <v>377</v>
      </c>
      <c r="C1023" t="s">
        <v>394</v>
      </c>
      <c r="D1023" s="18">
        <v>44158</v>
      </c>
      <c r="E1023" s="18">
        <v>44154</v>
      </c>
      <c r="F1023" s="34">
        <v>44167</v>
      </c>
      <c r="H1023" s="28" t="s">
        <v>263</v>
      </c>
      <c r="M1023">
        <v>11</v>
      </c>
    </row>
    <row r="1024" spans="1:13" x14ac:dyDescent="0.35">
      <c r="A1024" s="14" t="s">
        <v>391</v>
      </c>
      <c r="B1024" s="14" t="s">
        <v>377</v>
      </c>
      <c r="C1024" t="s">
        <v>394</v>
      </c>
      <c r="D1024" s="18">
        <v>44158</v>
      </c>
      <c r="E1024" s="18">
        <v>44154</v>
      </c>
      <c r="F1024" s="34">
        <v>44167</v>
      </c>
      <c r="H1024" s="28" t="s">
        <v>263</v>
      </c>
      <c r="M1024">
        <v>11</v>
      </c>
    </row>
    <row r="1025" spans="1:13" x14ac:dyDescent="0.35">
      <c r="A1025" s="14" t="s">
        <v>391</v>
      </c>
      <c r="B1025" s="14" t="s">
        <v>377</v>
      </c>
      <c r="C1025" t="s">
        <v>394</v>
      </c>
      <c r="D1025" s="18">
        <v>44158</v>
      </c>
      <c r="E1025" s="18">
        <v>44154</v>
      </c>
      <c r="F1025" s="34">
        <v>44167</v>
      </c>
      <c r="H1025" s="28" t="s">
        <v>287</v>
      </c>
      <c r="M1025">
        <v>11</v>
      </c>
    </row>
    <row r="1026" spans="1:13" x14ac:dyDescent="0.35">
      <c r="A1026" s="14" t="s">
        <v>391</v>
      </c>
      <c r="B1026" s="14" t="s">
        <v>377</v>
      </c>
      <c r="C1026" t="s">
        <v>394</v>
      </c>
      <c r="D1026" s="18">
        <v>44158</v>
      </c>
      <c r="E1026" s="18">
        <v>44154</v>
      </c>
      <c r="F1026" s="34">
        <v>44167</v>
      </c>
      <c r="H1026" s="28" t="s">
        <v>287</v>
      </c>
      <c r="M1026">
        <v>11</v>
      </c>
    </row>
    <row r="1027" spans="1:13" x14ac:dyDescent="0.35">
      <c r="A1027" s="14" t="s">
        <v>391</v>
      </c>
      <c r="B1027" s="14" t="s">
        <v>377</v>
      </c>
      <c r="C1027" t="s">
        <v>394</v>
      </c>
      <c r="D1027" s="18">
        <v>44158</v>
      </c>
      <c r="E1027" s="18">
        <v>44154</v>
      </c>
      <c r="F1027" s="34">
        <v>44167</v>
      </c>
      <c r="H1027" s="28" t="s">
        <v>307</v>
      </c>
      <c r="M1027">
        <v>11</v>
      </c>
    </row>
    <row r="1028" spans="1:13" x14ac:dyDescent="0.35">
      <c r="A1028" s="14" t="s">
        <v>391</v>
      </c>
      <c r="B1028" s="14" t="s">
        <v>377</v>
      </c>
      <c r="C1028" t="s">
        <v>394</v>
      </c>
      <c r="D1028" s="18">
        <v>44158</v>
      </c>
      <c r="E1028" s="18">
        <v>44154</v>
      </c>
      <c r="F1028" s="34">
        <v>44167</v>
      </c>
      <c r="H1028" s="28" t="s">
        <v>309</v>
      </c>
      <c r="M1028">
        <v>11</v>
      </c>
    </row>
    <row r="1029" spans="1:13" x14ac:dyDescent="0.35">
      <c r="A1029" s="14" t="s">
        <v>391</v>
      </c>
      <c r="B1029" s="14" t="s">
        <v>377</v>
      </c>
      <c r="C1029" t="s">
        <v>394</v>
      </c>
      <c r="D1029" s="18">
        <v>44158</v>
      </c>
      <c r="E1029" s="18">
        <v>44154</v>
      </c>
      <c r="F1029" s="34">
        <v>44167</v>
      </c>
      <c r="H1029" s="28" t="s">
        <v>311</v>
      </c>
      <c r="M1029">
        <v>11</v>
      </c>
    </row>
    <row r="1030" spans="1:13" x14ac:dyDescent="0.35">
      <c r="A1030" s="14" t="s">
        <v>391</v>
      </c>
      <c r="B1030" s="14" t="s">
        <v>377</v>
      </c>
      <c r="C1030" t="s">
        <v>394</v>
      </c>
      <c r="D1030" s="18">
        <v>44158</v>
      </c>
      <c r="E1030" s="18">
        <v>44154</v>
      </c>
      <c r="F1030" s="34">
        <v>44167</v>
      </c>
      <c r="H1030" s="28" t="s">
        <v>311</v>
      </c>
      <c r="M1030">
        <v>11</v>
      </c>
    </row>
    <row r="1031" spans="1:13" x14ac:dyDescent="0.35">
      <c r="A1031" s="14" t="s">
        <v>391</v>
      </c>
      <c r="B1031" s="14" t="s">
        <v>377</v>
      </c>
      <c r="C1031" t="s">
        <v>394</v>
      </c>
      <c r="D1031" s="18">
        <v>44158</v>
      </c>
      <c r="E1031" s="18">
        <v>44154</v>
      </c>
      <c r="F1031" s="34">
        <v>44167</v>
      </c>
      <c r="H1031" s="28" t="s">
        <v>313</v>
      </c>
      <c r="K1031" t="s">
        <v>381</v>
      </c>
      <c r="L1031">
        <v>50</v>
      </c>
      <c r="M1031">
        <v>11</v>
      </c>
    </row>
    <row r="1032" spans="1:13" x14ac:dyDescent="0.35">
      <c r="A1032" s="14" t="s">
        <v>391</v>
      </c>
      <c r="B1032" s="14" t="s">
        <v>377</v>
      </c>
      <c r="C1032" t="s">
        <v>394</v>
      </c>
      <c r="D1032" s="18">
        <v>44158</v>
      </c>
      <c r="E1032" s="18">
        <v>44154</v>
      </c>
      <c r="F1032" s="34">
        <v>44167</v>
      </c>
      <c r="H1032" s="28" t="s">
        <v>315</v>
      </c>
      <c r="K1032" t="s">
        <v>381</v>
      </c>
      <c r="L1032">
        <v>30</v>
      </c>
      <c r="M1032">
        <v>11</v>
      </c>
    </row>
    <row r="1033" spans="1:13" x14ac:dyDescent="0.35">
      <c r="A1033" s="14" t="s">
        <v>391</v>
      </c>
      <c r="B1033" s="14" t="s">
        <v>377</v>
      </c>
      <c r="C1033" t="s">
        <v>394</v>
      </c>
      <c r="D1033" s="18">
        <v>44158</v>
      </c>
      <c r="E1033" s="18">
        <v>44154</v>
      </c>
      <c r="F1033" s="34">
        <v>44167</v>
      </c>
      <c r="H1033" s="28" t="s">
        <v>401</v>
      </c>
      <c r="K1033" t="s">
        <v>381</v>
      </c>
      <c r="L1033">
        <v>50</v>
      </c>
      <c r="M1033">
        <v>11</v>
      </c>
    </row>
    <row r="1034" spans="1:13" x14ac:dyDescent="0.35">
      <c r="A1034" s="14" t="s">
        <v>391</v>
      </c>
      <c r="B1034" s="14" t="s">
        <v>377</v>
      </c>
      <c r="C1034" t="s">
        <v>394</v>
      </c>
      <c r="D1034" s="18">
        <v>44158</v>
      </c>
      <c r="E1034" s="18">
        <v>44154</v>
      </c>
      <c r="F1034" s="34">
        <v>44167</v>
      </c>
      <c r="H1034" s="28" t="s">
        <v>402</v>
      </c>
      <c r="K1034" t="s">
        <v>380</v>
      </c>
      <c r="L1034">
        <v>6</v>
      </c>
      <c r="M1034">
        <v>11</v>
      </c>
    </row>
    <row r="1035" spans="1:13" x14ac:dyDescent="0.35">
      <c r="A1035" s="14" t="s">
        <v>391</v>
      </c>
      <c r="B1035" s="14" t="s">
        <v>377</v>
      </c>
      <c r="C1035" t="s">
        <v>394</v>
      </c>
      <c r="D1035" s="18">
        <v>44158</v>
      </c>
      <c r="E1035" s="18">
        <v>44154</v>
      </c>
      <c r="F1035" s="34">
        <v>44167</v>
      </c>
      <c r="H1035" s="28" t="s">
        <v>60</v>
      </c>
      <c r="K1035" t="s">
        <v>380</v>
      </c>
      <c r="L1035">
        <v>6</v>
      </c>
      <c r="M1035">
        <v>11</v>
      </c>
    </row>
    <row r="1036" spans="1:13" x14ac:dyDescent="0.35">
      <c r="A1036" s="14" t="s">
        <v>391</v>
      </c>
      <c r="B1036" s="14" t="s">
        <v>377</v>
      </c>
      <c r="C1036" t="s">
        <v>394</v>
      </c>
      <c r="D1036" s="18">
        <v>44158</v>
      </c>
      <c r="E1036" s="18">
        <v>44154</v>
      </c>
      <c r="F1036" s="34">
        <v>44167</v>
      </c>
      <c r="H1036" s="28" t="s">
        <v>60</v>
      </c>
      <c r="K1036" t="s">
        <v>380</v>
      </c>
      <c r="L1036">
        <v>6</v>
      </c>
      <c r="M1036">
        <v>11</v>
      </c>
    </row>
    <row r="1037" spans="1:13" x14ac:dyDescent="0.35">
      <c r="A1037" s="14" t="s">
        <v>391</v>
      </c>
      <c r="B1037" s="14" t="s">
        <v>377</v>
      </c>
      <c r="C1037" t="s">
        <v>394</v>
      </c>
      <c r="D1037" s="18">
        <v>44158</v>
      </c>
      <c r="E1037" s="18">
        <v>44154</v>
      </c>
      <c r="F1037" s="34">
        <v>44167</v>
      </c>
      <c r="H1037" s="28" t="s">
        <v>327</v>
      </c>
      <c r="K1037" t="s">
        <v>380</v>
      </c>
      <c r="L1037">
        <v>6</v>
      </c>
      <c r="M1037">
        <v>11</v>
      </c>
    </row>
    <row r="1038" spans="1:13" x14ac:dyDescent="0.35">
      <c r="A1038" s="14" t="s">
        <v>391</v>
      </c>
      <c r="B1038" s="14" t="s">
        <v>377</v>
      </c>
      <c r="C1038" t="s">
        <v>394</v>
      </c>
      <c r="D1038" s="18">
        <v>44158</v>
      </c>
      <c r="E1038" s="18">
        <v>44154</v>
      </c>
      <c r="F1038" s="34">
        <v>44167</v>
      </c>
      <c r="H1038" s="28" t="s">
        <v>335</v>
      </c>
      <c r="M1038">
        <v>11</v>
      </c>
    </row>
    <row r="1039" spans="1:13" x14ac:dyDescent="0.35">
      <c r="A1039" s="14" t="s">
        <v>391</v>
      </c>
      <c r="B1039" s="14" t="s">
        <v>377</v>
      </c>
      <c r="C1039" t="s">
        <v>394</v>
      </c>
      <c r="D1039" s="18">
        <v>44158</v>
      </c>
      <c r="E1039" s="18">
        <v>44154</v>
      </c>
      <c r="F1039" s="34">
        <v>44167</v>
      </c>
      <c r="H1039" s="28" t="s">
        <v>335</v>
      </c>
      <c r="M1039">
        <v>11</v>
      </c>
    </row>
    <row r="1040" spans="1:13" x14ac:dyDescent="0.35">
      <c r="A1040" s="14" t="s">
        <v>391</v>
      </c>
      <c r="B1040" s="14" t="s">
        <v>377</v>
      </c>
      <c r="C1040" t="s">
        <v>394</v>
      </c>
      <c r="D1040" s="18">
        <v>44158</v>
      </c>
      <c r="E1040" s="18">
        <v>44154</v>
      </c>
      <c r="F1040" s="34">
        <v>44167</v>
      </c>
      <c r="H1040" s="28" t="s">
        <v>339</v>
      </c>
      <c r="M1040">
        <v>11</v>
      </c>
    </row>
    <row r="1041" spans="1:13" x14ac:dyDescent="0.35">
      <c r="A1041" s="14" t="s">
        <v>391</v>
      </c>
      <c r="B1041" s="14" t="s">
        <v>377</v>
      </c>
      <c r="C1041" t="s">
        <v>394</v>
      </c>
      <c r="D1041" s="18">
        <v>44158</v>
      </c>
      <c r="E1041" s="18">
        <v>44154</v>
      </c>
      <c r="F1041" s="34">
        <v>44167</v>
      </c>
      <c r="H1041" s="28" t="s">
        <v>339</v>
      </c>
      <c r="M1041">
        <v>11</v>
      </c>
    </row>
    <row r="1042" spans="1:13" x14ac:dyDescent="0.35">
      <c r="A1042" s="14" t="s">
        <v>391</v>
      </c>
      <c r="B1042" s="14" t="s">
        <v>377</v>
      </c>
      <c r="C1042" t="s">
        <v>394</v>
      </c>
      <c r="D1042" s="18">
        <v>44158</v>
      </c>
      <c r="E1042" s="18">
        <v>44154</v>
      </c>
      <c r="F1042" s="34">
        <v>44167</v>
      </c>
      <c r="H1042" s="28" t="s">
        <v>341</v>
      </c>
      <c r="M1042">
        <v>11</v>
      </c>
    </row>
    <row r="1043" spans="1:13" x14ac:dyDescent="0.35">
      <c r="A1043" s="14" t="s">
        <v>391</v>
      </c>
      <c r="B1043" s="14" t="s">
        <v>377</v>
      </c>
      <c r="C1043" t="s">
        <v>394</v>
      </c>
      <c r="D1043" s="18">
        <v>44158</v>
      </c>
      <c r="E1043" s="18">
        <v>44154</v>
      </c>
      <c r="F1043" s="34">
        <v>44167</v>
      </c>
      <c r="H1043" s="28" t="s">
        <v>345</v>
      </c>
      <c r="K1043" t="s">
        <v>381</v>
      </c>
      <c r="L1043">
        <v>50</v>
      </c>
      <c r="M1043">
        <v>11</v>
      </c>
    </row>
    <row r="1044" spans="1:13" x14ac:dyDescent="0.35">
      <c r="A1044" s="14" t="s">
        <v>391</v>
      </c>
      <c r="B1044" s="14" t="s">
        <v>377</v>
      </c>
      <c r="C1044" t="s">
        <v>394</v>
      </c>
      <c r="D1044" s="18">
        <v>44158</v>
      </c>
      <c r="E1044" s="18">
        <v>44154</v>
      </c>
      <c r="F1044" s="34">
        <v>44167</v>
      </c>
      <c r="H1044" s="28" t="s">
        <v>345</v>
      </c>
      <c r="K1044" t="s">
        <v>381</v>
      </c>
      <c r="L1044">
        <v>50</v>
      </c>
      <c r="M1044">
        <v>11</v>
      </c>
    </row>
    <row r="1045" spans="1:13" x14ac:dyDescent="0.35">
      <c r="A1045" s="14" t="s">
        <v>391</v>
      </c>
      <c r="B1045" s="14" t="s">
        <v>377</v>
      </c>
      <c r="C1045" t="s">
        <v>394</v>
      </c>
      <c r="D1045" s="18">
        <v>44158</v>
      </c>
      <c r="E1045" s="18">
        <v>44154</v>
      </c>
      <c r="F1045" s="34">
        <v>44167</v>
      </c>
      <c r="H1045" s="28" t="s">
        <v>59</v>
      </c>
      <c r="M1045">
        <v>11</v>
      </c>
    </row>
    <row r="1046" spans="1:13" x14ac:dyDescent="0.35">
      <c r="A1046" s="14" t="s">
        <v>391</v>
      </c>
      <c r="B1046" s="14" t="s">
        <v>377</v>
      </c>
      <c r="C1046" t="s">
        <v>394</v>
      </c>
      <c r="D1046" s="18">
        <v>44158</v>
      </c>
      <c r="E1046" s="18">
        <v>44154</v>
      </c>
      <c r="F1046" s="34">
        <v>44167</v>
      </c>
      <c r="H1046" s="28" t="s">
        <v>59</v>
      </c>
      <c r="M1046">
        <v>11</v>
      </c>
    </row>
    <row r="1047" spans="1:13" x14ac:dyDescent="0.35">
      <c r="A1047" s="14" t="s">
        <v>391</v>
      </c>
      <c r="B1047" s="14" t="s">
        <v>377</v>
      </c>
      <c r="C1047" t="s">
        <v>394</v>
      </c>
      <c r="D1047" s="18">
        <v>44158</v>
      </c>
      <c r="E1047" s="18">
        <v>44154</v>
      </c>
      <c r="F1047" s="34">
        <v>44167</v>
      </c>
      <c r="H1047" s="28" t="s">
        <v>360</v>
      </c>
      <c r="M1047">
        <v>11</v>
      </c>
    </row>
    <row r="1048" spans="1:13" x14ac:dyDescent="0.35">
      <c r="A1048" s="14" t="s">
        <v>391</v>
      </c>
      <c r="B1048" s="14" t="s">
        <v>377</v>
      </c>
      <c r="C1048" t="s">
        <v>394</v>
      </c>
      <c r="D1048" s="18">
        <v>44158</v>
      </c>
      <c r="E1048" s="18">
        <v>44154</v>
      </c>
      <c r="F1048" s="34">
        <v>44167</v>
      </c>
      <c r="H1048" s="28" t="s">
        <v>360</v>
      </c>
      <c r="M1048">
        <v>11</v>
      </c>
    </row>
    <row r="1049" spans="1:13" x14ac:dyDescent="0.35">
      <c r="A1049" s="14" t="s">
        <v>391</v>
      </c>
      <c r="B1049" s="14" t="s">
        <v>377</v>
      </c>
      <c r="C1049" t="s">
        <v>392</v>
      </c>
      <c r="D1049" s="18">
        <v>44158</v>
      </c>
      <c r="E1049" s="18">
        <v>44154</v>
      </c>
      <c r="F1049" s="34">
        <v>44170</v>
      </c>
      <c r="H1049" s="28" t="s">
        <v>96</v>
      </c>
      <c r="M1049">
        <v>12</v>
      </c>
    </row>
    <row r="1050" spans="1:13" x14ac:dyDescent="0.35">
      <c r="A1050" s="14" t="s">
        <v>391</v>
      </c>
      <c r="B1050" s="14" t="s">
        <v>377</v>
      </c>
      <c r="C1050" t="s">
        <v>392</v>
      </c>
      <c r="D1050" s="18">
        <v>44158</v>
      </c>
      <c r="E1050" s="18">
        <v>44154</v>
      </c>
      <c r="F1050" s="34">
        <v>44170</v>
      </c>
      <c r="H1050" s="28" t="s">
        <v>72</v>
      </c>
      <c r="M1050">
        <v>12</v>
      </c>
    </row>
    <row r="1051" spans="1:13" x14ac:dyDescent="0.35">
      <c r="A1051" s="14" t="s">
        <v>391</v>
      </c>
      <c r="B1051" s="14" t="s">
        <v>377</v>
      </c>
      <c r="C1051" t="s">
        <v>392</v>
      </c>
      <c r="D1051" s="18">
        <v>44158</v>
      </c>
      <c r="E1051" s="18">
        <v>44154</v>
      </c>
      <c r="F1051" s="34">
        <v>44170</v>
      </c>
      <c r="H1051" s="28" t="s">
        <v>47</v>
      </c>
      <c r="K1051" t="s">
        <v>381</v>
      </c>
      <c r="L1051">
        <v>20</v>
      </c>
      <c r="M1051">
        <v>12</v>
      </c>
    </row>
    <row r="1052" spans="1:13" x14ac:dyDescent="0.35">
      <c r="A1052" s="14" t="s">
        <v>391</v>
      </c>
      <c r="B1052" s="14" t="s">
        <v>377</v>
      </c>
      <c r="C1052" t="s">
        <v>392</v>
      </c>
      <c r="D1052" s="18">
        <v>44158</v>
      </c>
      <c r="E1052" s="18">
        <v>44154</v>
      </c>
      <c r="F1052" s="34">
        <v>44170</v>
      </c>
      <c r="H1052" s="28" t="s">
        <v>50</v>
      </c>
      <c r="K1052" t="s">
        <v>381</v>
      </c>
      <c r="L1052">
        <v>50</v>
      </c>
      <c r="M1052">
        <v>12</v>
      </c>
    </row>
    <row r="1053" spans="1:13" x14ac:dyDescent="0.35">
      <c r="A1053" s="14" t="s">
        <v>391</v>
      </c>
      <c r="B1053" s="14" t="s">
        <v>377</v>
      </c>
      <c r="C1053" t="s">
        <v>392</v>
      </c>
      <c r="D1053" s="18">
        <v>44158</v>
      </c>
      <c r="E1053" s="18">
        <v>44154</v>
      </c>
      <c r="F1053" s="34">
        <v>44170</v>
      </c>
      <c r="H1053" s="28" t="s">
        <v>41</v>
      </c>
      <c r="K1053" t="s">
        <v>381</v>
      </c>
      <c r="L1053">
        <v>50</v>
      </c>
      <c r="M1053">
        <v>12</v>
      </c>
    </row>
    <row r="1054" spans="1:13" x14ac:dyDescent="0.35">
      <c r="A1054" s="14" t="s">
        <v>391</v>
      </c>
      <c r="B1054" s="14" t="s">
        <v>377</v>
      </c>
      <c r="C1054" t="s">
        <v>392</v>
      </c>
      <c r="D1054" s="18">
        <v>44158</v>
      </c>
      <c r="E1054" s="18">
        <v>44154</v>
      </c>
      <c r="F1054" s="34">
        <v>44170</v>
      </c>
      <c r="H1054" s="28" t="s">
        <v>116</v>
      </c>
      <c r="K1054" t="s">
        <v>381</v>
      </c>
      <c r="L1054">
        <v>25</v>
      </c>
      <c r="M1054">
        <v>12</v>
      </c>
    </row>
    <row r="1055" spans="1:13" x14ac:dyDescent="0.35">
      <c r="A1055" s="14" t="s">
        <v>391</v>
      </c>
      <c r="B1055" s="14" t="s">
        <v>377</v>
      </c>
      <c r="C1055" t="s">
        <v>392</v>
      </c>
      <c r="D1055" s="18">
        <v>44158</v>
      </c>
      <c r="E1055" s="18">
        <v>44154</v>
      </c>
      <c r="F1055" s="34">
        <v>44170</v>
      </c>
      <c r="H1055" s="28" t="s">
        <v>125</v>
      </c>
      <c r="M1055">
        <v>12</v>
      </c>
    </row>
    <row r="1056" spans="1:13" x14ac:dyDescent="0.35">
      <c r="A1056" s="14" t="s">
        <v>391</v>
      </c>
      <c r="B1056" s="14" t="s">
        <v>377</v>
      </c>
      <c r="C1056" t="s">
        <v>392</v>
      </c>
      <c r="D1056" s="18">
        <v>44158</v>
      </c>
      <c r="E1056" s="18">
        <v>44154</v>
      </c>
      <c r="F1056" s="34">
        <v>44170</v>
      </c>
      <c r="H1056" s="28" t="s">
        <v>127</v>
      </c>
      <c r="M1056">
        <v>12</v>
      </c>
    </row>
    <row r="1057" spans="1:13" x14ac:dyDescent="0.35">
      <c r="A1057" s="14" t="s">
        <v>391</v>
      </c>
      <c r="B1057" s="14" t="s">
        <v>377</v>
      </c>
      <c r="C1057" t="s">
        <v>392</v>
      </c>
      <c r="D1057" s="18">
        <v>44158</v>
      </c>
      <c r="E1057" s="18">
        <v>44154</v>
      </c>
      <c r="F1057" s="34">
        <v>44170</v>
      </c>
      <c r="H1057" s="28" t="s">
        <v>42</v>
      </c>
      <c r="K1057" t="s">
        <v>380</v>
      </c>
      <c r="L1057">
        <v>6</v>
      </c>
      <c r="M1057">
        <v>12</v>
      </c>
    </row>
    <row r="1058" spans="1:13" x14ac:dyDescent="0.35">
      <c r="A1058" s="14" t="s">
        <v>391</v>
      </c>
      <c r="B1058" s="14" t="s">
        <v>377</v>
      </c>
      <c r="C1058" t="s">
        <v>392</v>
      </c>
      <c r="D1058" s="18">
        <v>44158</v>
      </c>
      <c r="E1058" s="18">
        <v>44154</v>
      </c>
      <c r="F1058" s="34">
        <v>44170</v>
      </c>
      <c r="H1058" s="28" t="s">
        <v>25</v>
      </c>
      <c r="K1058" t="s">
        <v>381</v>
      </c>
      <c r="L1058">
        <v>40</v>
      </c>
      <c r="M1058">
        <v>12</v>
      </c>
    </row>
    <row r="1059" spans="1:13" x14ac:dyDescent="0.35">
      <c r="A1059" s="14" t="s">
        <v>391</v>
      </c>
      <c r="B1059" s="14" t="s">
        <v>377</v>
      </c>
      <c r="C1059" t="s">
        <v>392</v>
      </c>
      <c r="D1059" s="18">
        <v>44158</v>
      </c>
      <c r="E1059" s="18">
        <v>44154</v>
      </c>
      <c r="F1059" s="34">
        <v>44170</v>
      </c>
      <c r="H1059" s="28" t="s">
        <v>23</v>
      </c>
      <c r="K1059" t="s">
        <v>380</v>
      </c>
      <c r="L1059">
        <v>6</v>
      </c>
      <c r="M1059">
        <v>12</v>
      </c>
    </row>
    <row r="1060" spans="1:13" x14ac:dyDescent="0.35">
      <c r="A1060" s="14" t="s">
        <v>391</v>
      </c>
      <c r="B1060" s="14" t="s">
        <v>377</v>
      </c>
      <c r="C1060" t="s">
        <v>392</v>
      </c>
      <c r="D1060" s="18">
        <v>44158</v>
      </c>
      <c r="E1060" s="18">
        <v>44154</v>
      </c>
      <c r="F1060" s="34">
        <v>44170</v>
      </c>
      <c r="H1060" s="28" t="s">
        <v>24</v>
      </c>
      <c r="K1060" t="s">
        <v>380</v>
      </c>
      <c r="L1060">
        <v>6</v>
      </c>
      <c r="M1060">
        <v>12</v>
      </c>
    </row>
    <row r="1061" spans="1:13" x14ac:dyDescent="0.35">
      <c r="A1061" s="14" t="s">
        <v>391</v>
      </c>
      <c r="B1061" s="14" t="s">
        <v>377</v>
      </c>
      <c r="C1061" t="s">
        <v>392</v>
      </c>
      <c r="D1061" s="18">
        <v>44158</v>
      </c>
      <c r="E1061" s="18">
        <v>44154</v>
      </c>
      <c r="F1061" s="34">
        <v>44170</v>
      </c>
      <c r="H1061" s="28" t="s">
        <v>30</v>
      </c>
      <c r="K1061" t="s">
        <v>381</v>
      </c>
      <c r="L1061">
        <v>33</v>
      </c>
      <c r="M1061">
        <v>12</v>
      </c>
    </row>
    <row r="1062" spans="1:13" x14ac:dyDescent="0.35">
      <c r="A1062" s="14" t="s">
        <v>391</v>
      </c>
      <c r="B1062" s="14" t="s">
        <v>377</v>
      </c>
      <c r="C1062" t="s">
        <v>392</v>
      </c>
      <c r="D1062" s="18">
        <v>44158</v>
      </c>
      <c r="E1062" s="18">
        <v>44154</v>
      </c>
      <c r="F1062" s="34">
        <v>44170</v>
      </c>
      <c r="H1062" s="28" t="s">
        <v>29</v>
      </c>
      <c r="K1062" t="s">
        <v>381</v>
      </c>
      <c r="L1062">
        <v>33</v>
      </c>
      <c r="M1062">
        <v>12</v>
      </c>
    </row>
    <row r="1063" spans="1:13" x14ac:dyDescent="0.35">
      <c r="A1063" s="14" t="s">
        <v>391</v>
      </c>
      <c r="B1063" s="14" t="s">
        <v>377</v>
      </c>
      <c r="C1063" t="s">
        <v>392</v>
      </c>
      <c r="D1063" s="18">
        <v>44158</v>
      </c>
      <c r="E1063" s="18">
        <v>44154</v>
      </c>
      <c r="F1063" s="34">
        <v>44170</v>
      </c>
      <c r="H1063" s="28" t="s">
        <v>188</v>
      </c>
      <c r="M1063">
        <v>12</v>
      </c>
    </row>
    <row r="1064" spans="1:13" x14ac:dyDescent="0.35">
      <c r="A1064" s="14" t="s">
        <v>391</v>
      </c>
      <c r="B1064" s="14" t="s">
        <v>377</v>
      </c>
      <c r="C1064" t="s">
        <v>392</v>
      </c>
      <c r="D1064" s="18">
        <v>44158</v>
      </c>
      <c r="E1064" s="18">
        <v>44154</v>
      </c>
      <c r="F1064" s="34">
        <v>44170</v>
      </c>
      <c r="H1064" s="28" t="s">
        <v>192</v>
      </c>
      <c r="M1064">
        <v>12</v>
      </c>
    </row>
    <row r="1065" spans="1:13" x14ac:dyDescent="0.35">
      <c r="A1065" s="14" t="s">
        <v>391</v>
      </c>
      <c r="B1065" s="14" t="s">
        <v>377</v>
      </c>
      <c r="C1065" t="s">
        <v>392</v>
      </c>
      <c r="D1065" s="18">
        <v>44158</v>
      </c>
      <c r="E1065" s="18">
        <v>44154</v>
      </c>
      <c r="F1065" s="34">
        <v>44170</v>
      </c>
      <c r="H1065" s="28" t="s">
        <v>198</v>
      </c>
      <c r="M1065">
        <v>12</v>
      </c>
    </row>
    <row r="1066" spans="1:13" x14ac:dyDescent="0.35">
      <c r="A1066" s="14" t="s">
        <v>391</v>
      </c>
      <c r="B1066" s="14" t="s">
        <v>377</v>
      </c>
      <c r="C1066" t="s">
        <v>392</v>
      </c>
      <c r="D1066" s="18">
        <v>44158</v>
      </c>
      <c r="E1066" s="18">
        <v>44154</v>
      </c>
      <c r="F1066" s="34">
        <v>44170</v>
      </c>
      <c r="H1066" s="28" t="s">
        <v>393</v>
      </c>
      <c r="M1066">
        <v>12</v>
      </c>
    </row>
    <row r="1067" spans="1:13" x14ac:dyDescent="0.35">
      <c r="A1067" s="14" t="s">
        <v>391</v>
      </c>
      <c r="B1067" s="14" t="s">
        <v>377</v>
      </c>
      <c r="C1067" t="s">
        <v>392</v>
      </c>
      <c r="D1067" s="18">
        <v>44158</v>
      </c>
      <c r="E1067" s="18">
        <v>44154</v>
      </c>
      <c r="F1067" s="34">
        <v>44170</v>
      </c>
      <c r="H1067" s="28" t="s">
        <v>204</v>
      </c>
      <c r="M1067">
        <v>12</v>
      </c>
    </row>
    <row r="1068" spans="1:13" x14ac:dyDescent="0.35">
      <c r="A1068" s="14" t="s">
        <v>391</v>
      </c>
      <c r="B1068" s="14" t="s">
        <v>377</v>
      </c>
      <c r="C1068" t="s">
        <v>392</v>
      </c>
      <c r="D1068" s="18">
        <v>44158</v>
      </c>
      <c r="E1068" s="18">
        <v>44154</v>
      </c>
      <c r="F1068" s="34">
        <v>44170</v>
      </c>
      <c r="H1068" s="28" t="s">
        <v>208</v>
      </c>
      <c r="M1068">
        <v>12</v>
      </c>
    </row>
    <row r="1069" spans="1:13" x14ac:dyDescent="0.35">
      <c r="A1069" s="14" t="s">
        <v>391</v>
      </c>
      <c r="B1069" s="14" t="s">
        <v>377</v>
      </c>
      <c r="C1069" t="s">
        <v>392</v>
      </c>
      <c r="D1069" s="18">
        <v>44158</v>
      </c>
      <c r="E1069" s="18">
        <v>44154</v>
      </c>
      <c r="F1069" s="34">
        <v>44170</v>
      </c>
      <c r="H1069" s="28" t="s">
        <v>210</v>
      </c>
      <c r="M1069">
        <v>12</v>
      </c>
    </row>
    <row r="1070" spans="1:13" x14ac:dyDescent="0.35">
      <c r="A1070" s="14" t="s">
        <v>391</v>
      </c>
      <c r="B1070" s="14" t="s">
        <v>377</v>
      </c>
      <c r="C1070" t="s">
        <v>392</v>
      </c>
      <c r="D1070" s="18">
        <v>44158</v>
      </c>
      <c r="E1070" s="18">
        <v>44154</v>
      </c>
      <c r="F1070" s="34">
        <v>44170</v>
      </c>
      <c r="H1070" s="28" t="s">
        <v>31</v>
      </c>
      <c r="K1070" t="s">
        <v>381</v>
      </c>
      <c r="L1070">
        <v>30</v>
      </c>
      <c r="M1070">
        <v>12</v>
      </c>
    </row>
    <row r="1071" spans="1:13" x14ac:dyDescent="0.35">
      <c r="A1071" s="14" t="s">
        <v>391</v>
      </c>
      <c r="B1071" s="14" t="s">
        <v>377</v>
      </c>
      <c r="C1071" t="s">
        <v>392</v>
      </c>
      <c r="D1071" s="18">
        <v>44158</v>
      </c>
      <c r="E1071" s="18">
        <v>44154</v>
      </c>
      <c r="F1071" s="34">
        <v>44170</v>
      </c>
      <c r="H1071" s="28" t="s">
        <v>56</v>
      </c>
      <c r="K1071" t="s">
        <v>381</v>
      </c>
      <c r="L1071">
        <v>50</v>
      </c>
      <c r="M1071">
        <v>12</v>
      </c>
    </row>
    <row r="1072" spans="1:13" x14ac:dyDescent="0.35">
      <c r="A1072" s="14" t="s">
        <v>391</v>
      </c>
      <c r="B1072" s="14" t="s">
        <v>377</v>
      </c>
      <c r="C1072" t="s">
        <v>392</v>
      </c>
      <c r="D1072" s="18">
        <v>44158</v>
      </c>
      <c r="E1072" s="18">
        <v>44154</v>
      </c>
      <c r="F1072" s="34">
        <v>44170</v>
      </c>
      <c r="H1072" s="28" t="s">
        <v>263</v>
      </c>
      <c r="M1072">
        <v>12</v>
      </c>
    </row>
    <row r="1073" spans="1:13" x14ac:dyDescent="0.35">
      <c r="A1073" s="14" t="s">
        <v>391</v>
      </c>
      <c r="B1073" s="14" t="s">
        <v>377</v>
      </c>
      <c r="C1073" t="s">
        <v>392</v>
      </c>
      <c r="D1073" s="18">
        <v>44158</v>
      </c>
      <c r="E1073" s="18">
        <v>44154</v>
      </c>
      <c r="F1073" s="34">
        <v>44170</v>
      </c>
      <c r="H1073" s="28" t="s">
        <v>287</v>
      </c>
      <c r="M1073">
        <v>12</v>
      </c>
    </row>
    <row r="1074" spans="1:13" x14ac:dyDescent="0.35">
      <c r="A1074" s="14" t="s">
        <v>391</v>
      </c>
      <c r="B1074" s="14" t="s">
        <v>377</v>
      </c>
      <c r="C1074" t="s">
        <v>392</v>
      </c>
      <c r="D1074" s="18">
        <v>44158</v>
      </c>
      <c r="E1074" s="18">
        <v>44154</v>
      </c>
      <c r="F1074" s="34">
        <v>44170</v>
      </c>
      <c r="H1074" s="28" t="s">
        <v>307</v>
      </c>
      <c r="M1074">
        <v>12</v>
      </c>
    </row>
    <row r="1075" spans="1:13" x14ac:dyDescent="0.35">
      <c r="A1075" s="14" t="s">
        <v>391</v>
      </c>
      <c r="B1075" s="14" t="s">
        <v>377</v>
      </c>
      <c r="C1075" t="s">
        <v>392</v>
      </c>
      <c r="D1075" s="18">
        <v>44158</v>
      </c>
      <c r="E1075" s="18">
        <v>44154</v>
      </c>
      <c r="F1075" s="34">
        <v>44170</v>
      </c>
      <c r="H1075" s="28" t="s">
        <v>311</v>
      </c>
      <c r="M1075">
        <v>12</v>
      </c>
    </row>
    <row r="1076" spans="1:13" x14ac:dyDescent="0.35">
      <c r="A1076" s="14" t="s">
        <v>391</v>
      </c>
      <c r="B1076" s="14" t="s">
        <v>377</v>
      </c>
      <c r="C1076" t="s">
        <v>392</v>
      </c>
      <c r="D1076" s="18">
        <v>44158</v>
      </c>
      <c r="E1076" s="18">
        <v>44154</v>
      </c>
      <c r="F1076" s="34">
        <v>44170</v>
      </c>
      <c r="H1076" s="28" t="s">
        <v>313</v>
      </c>
      <c r="K1076" t="s">
        <v>381</v>
      </c>
      <c r="L1076">
        <v>50</v>
      </c>
      <c r="M1076">
        <v>12</v>
      </c>
    </row>
    <row r="1077" spans="1:13" x14ac:dyDescent="0.35">
      <c r="A1077" s="14" t="s">
        <v>391</v>
      </c>
      <c r="B1077" s="14" t="s">
        <v>377</v>
      </c>
      <c r="C1077" t="s">
        <v>392</v>
      </c>
      <c r="D1077" s="18">
        <v>44158</v>
      </c>
      <c r="E1077" s="18">
        <v>44154</v>
      </c>
      <c r="F1077" s="34">
        <v>44170</v>
      </c>
      <c r="H1077" s="28" t="s">
        <v>327</v>
      </c>
      <c r="K1077" t="s">
        <v>380</v>
      </c>
      <c r="L1077">
        <v>6</v>
      </c>
      <c r="M1077">
        <v>12</v>
      </c>
    </row>
    <row r="1078" spans="1:13" x14ac:dyDescent="0.35">
      <c r="A1078" s="14" t="s">
        <v>391</v>
      </c>
      <c r="B1078" s="14" t="s">
        <v>377</v>
      </c>
      <c r="C1078" t="s">
        <v>392</v>
      </c>
      <c r="D1078" s="18">
        <v>44158</v>
      </c>
      <c r="E1078" s="18">
        <v>44154</v>
      </c>
      <c r="F1078" s="34">
        <v>44170</v>
      </c>
      <c r="H1078" s="28" t="s">
        <v>335</v>
      </c>
      <c r="M1078">
        <v>12</v>
      </c>
    </row>
    <row r="1079" spans="1:13" x14ac:dyDescent="0.35">
      <c r="A1079" s="14" t="s">
        <v>391</v>
      </c>
      <c r="B1079" s="14" t="s">
        <v>377</v>
      </c>
      <c r="C1079" t="s">
        <v>392</v>
      </c>
      <c r="D1079" s="18">
        <v>44158</v>
      </c>
      <c r="E1079" s="18">
        <v>44154</v>
      </c>
      <c r="F1079" s="34">
        <v>44170</v>
      </c>
      <c r="H1079" s="28" t="s">
        <v>339</v>
      </c>
      <c r="M1079">
        <v>12</v>
      </c>
    </row>
    <row r="1080" spans="1:13" x14ac:dyDescent="0.35">
      <c r="A1080" s="14" t="s">
        <v>391</v>
      </c>
      <c r="B1080" s="14" t="s">
        <v>377</v>
      </c>
      <c r="C1080" t="s">
        <v>392</v>
      </c>
      <c r="D1080" s="18">
        <v>44158</v>
      </c>
      <c r="E1080" s="18">
        <v>44154</v>
      </c>
      <c r="F1080" s="34">
        <v>44170</v>
      </c>
      <c r="H1080" s="28" t="s">
        <v>345</v>
      </c>
      <c r="K1080" t="s">
        <v>381</v>
      </c>
      <c r="L1080">
        <v>50</v>
      </c>
      <c r="M1080">
        <v>12</v>
      </c>
    </row>
    <row r="1081" spans="1:13" x14ac:dyDescent="0.35">
      <c r="A1081" s="14" t="s">
        <v>391</v>
      </c>
      <c r="B1081" s="14" t="s">
        <v>377</v>
      </c>
      <c r="C1081" t="s">
        <v>392</v>
      </c>
      <c r="D1081" s="18">
        <v>44158</v>
      </c>
      <c r="E1081" s="18">
        <v>44154</v>
      </c>
      <c r="F1081" s="34">
        <v>44170</v>
      </c>
      <c r="H1081" s="28" t="s">
        <v>59</v>
      </c>
      <c r="M1081">
        <v>12</v>
      </c>
    </row>
    <row r="1082" spans="1:13" x14ac:dyDescent="0.35">
      <c r="A1082" s="14" t="s">
        <v>391</v>
      </c>
      <c r="B1082" s="14" t="s">
        <v>377</v>
      </c>
      <c r="C1082" t="s">
        <v>392</v>
      </c>
      <c r="D1082" s="18">
        <v>44158</v>
      </c>
      <c r="E1082" s="18">
        <v>44154</v>
      </c>
      <c r="F1082" s="34">
        <v>44170</v>
      </c>
      <c r="H1082" s="28" t="s">
        <v>360</v>
      </c>
      <c r="M1082">
        <v>12</v>
      </c>
    </row>
    <row r="1083" spans="1:13" x14ac:dyDescent="0.35">
      <c r="A1083" s="14" t="s">
        <v>391</v>
      </c>
      <c r="B1083" s="14" t="s">
        <v>377</v>
      </c>
      <c r="C1083" t="s">
        <v>397</v>
      </c>
      <c r="D1083" s="18">
        <v>44160</v>
      </c>
      <c r="E1083" s="18">
        <v>44158</v>
      </c>
      <c r="F1083" s="34">
        <v>44175</v>
      </c>
      <c r="H1083" s="28" t="s">
        <v>68</v>
      </c>
      <c r="M1083" s="33">
        <v>0.28000000000000003</v>
      </c>
    </row>
    <row r="1084" spans="1:13" x14ac:dyDescent="0.35">
      <c r="A1084" s="14" t="s">
        <v>391</v>
      </c>
      <c r="B1084" s="14" t="s">
        <v>377</v>
      </c>
      <c r="C1084" t="s">
        <v>397</v>
      </c>
      <c r="D1084" s="18">
        <v>44160</v>
      </c>
      <c r="E1084" s="18">
        <v>44158</v>
      </c>
      <c r="F1084" s="34">
        <v>44175</v>
      </c>
      <c r="H1084" s="28" t="s">
        <v>408</v>
      </c>
      <c r="M1084" s="33">
        <v>0.28000000000000003</v>
      </c>
    </row>
    <row r="1085" spans="1:13" x14ac:dyDescent="0.35">
      <c r="A1085" s="14" t="s">
        <v>391</v>
      </c>
      <c r="B1085" s="14" t="s">
        <v>377</v>
      </c>
      <c r="C1085" t="s">
        <v>397</v>
      </c>
      <c r="D1085" s="18">
        <v>44160</v>
      </c>
      <c r="E1085" s="18">
        <v>44158</v>
      </c>
      <c r="F1085" s="34">
        <v>44175</v>
      </c>
      <c r="H1085" s="28" t="s">
        <v>41</v>
      </c>
      <c r="K1085" t="s">
        <v>381</v>
      </c>
      <c r="L1085">
        <v>50</v>
      </c>
      <c r="M1085" s="33">
        <v>0.28000000000000003</v>
      </c>
    </row>
    <row r="1086" spans="1:13" x14ac:dyDescent="0.35">
      <c r="A1086" s="14" t="s">
        <v>391</v>
      </c>
      <c r="B1086" s="14" t="s">
        <v>377</v>
      </c>
      <c r="C1086" t="s">
        <v>397</v>
      </c>
      <c r="D1086" s="18">
        <v>44160</v>
      </c>
      <c r="E1086" s="18">
        <v>44158</v>
      </c>
      <c r="F1086" s="34">
        <v>44175</v>
      </c>
      <c r="H1086" s="28" t="s">
        <v>39</v>
      </c>
      <c r="K1086" t="s">
        <v>381</v>
      </c>
      <c r="L1086">
        <v>25</v>
      </c>
      <c r="M1086" s="33">
        <v>0.28000000000000003</v>
      </c>
    </row>
    <row r="1087" spans="1:13" x14ac:dyDescent="0.35">
      <c r="A1087" s="14" t="s">
        <v>391</v>
      </c>
      <c r="B1087" s="14" t="s">
        <v>377</v>
      </c>
      <c r="C1087" t="s">
        <v>397</v>
      </c>
      <c r="D1087" s="18">
        <v>44160</v>
      </c>
      <c r="E1087" s="18">
        <v>44158</v>
      </c>
      <c r="F1087" s="34">
        <v>44175</v>
      </c>
      <c r="H1087" s="28" t="s">
        <v>123</v>
      </c>
      <c r="M1087" s="33">
        <v>0.28000000000000003</v>
      </c>
    </row>
    <row r="1088" spans="1:13" x14ac:dyDescent="0.35">
      <c r="A1088" s="14" t="s">
        <v>391</v>
      </c>
      <c r="B1088" s="14" t="s">
        <v>377</v>
      </c>
      <c r="C1088" t="s">
        <v>397</v>
      </c>
      <c r="D1088" s="18">
        <v>44160</v>
      </c>
      <c r="E1088" s="18">
        <v>44158</v>
      </c>
      <c r="F1088" s="34">
        <v>44175</v>
      </c>
      <c r="H1088" s="28" t="s">
        <v>150</v>
      </c>
      <c r="M1088" s="33">
        <v>0.28000000000000003</v>
      </c>
    </row>
    <row r="1089" spans="1:13" x14ac:dyDescent="0.35">
      <c r="A1089" s="14" t="s">
        <v>391</v>
      </c>
      <c r="B1089" s="14" t="s">
        <v>377</v>
      </c>
      <c r="C1089" t="s">
        <v>397</v>
      </c>
      <c r="D1089" s="18">
        <v>44160</v>
      </c>
      <c r="E1089" s="18">
        <v>44158</v>
      </c>
      <c r="F1089" s="34">
        <v>44175</v>
      </c>
      <c r="H1089" s="28" t="s">
        <v>127</v>
      </c>
      <c r="M1089" s="33">
        <v>0.28000000000000003</v>
      </c>
    </row>
    <row r="1090" spans="1:13" x14ac:dyDescent="0.35">
      <c r="A1090" s="14" t="s">
        <v>391</v>
      </c>
      <c r="B1090" s="14" t="s">
        <v>377</v>
      </c>
      <c r="C1090" t="s">
        <v>397</v>
      </c>
      <c r="D1090" s="18">
        <v>44160</v>
      </c>
      <c r="E1090" s="18">
        <v>44158</v>
      </c>
      <c r="F1090" s="34">
        <v>44175</v>
      </c>
      <c r="H1090" s="28" t="s">
        <v>25</v>
      </c>
      <c r="K1090" t="s">
        <v>381</v>
      </c>
      <c r="L1090">
        <v>20</v>
      </c>
      <c r="M1090" s="33">
        <v>0.28000000000000003</v>
      </c>
    </row>
    <row r="1091" spans="1:13" x14ac:dyDescent="0.35">
      <c r="A1091" s="14" t="s">
        <v>391</v>
      </c>
      <c r="B1091" s="14" t="s">
        <v>377</v>
      </c>
      <c r="C1091" t="s">
        <v>397</v>
      </c>
      <c r="D1091" s="18">
        <v>44160</v>
      </c>
      <c r="E1091" s="18">
        <v>44158</v>
      </c>
      <c r="F1091" s="34">
        <v>44175</v>
      </c>
      <c r="H1091" s="28" t="s">
        <v>404</v>
      </c>
      <c r="K1091" t="s">
        <v>380</v>
      </c>
      <c r="L1091">
        <v>10</v>
      </c>
      <c r="M1091" s="33">
        <v>0.28000000000000003</v>
      </c>
    </row>
    <row r="1092" spans="1:13" x14ac:dyDescent="0.35">
      <c r="A1092" s="14" t="s">
        <v>391</v>
      </c>
      <c r="B1092" s="14" t="s">
        <v>377</v>
      </c>
      <c r="C1092" t="s">
        <v>397</v>
      </c>
      <c r="D1092" s="18">
        <v>44160</v>
      </c>
      <c r="E1092" s="18">
        <v>44158</v>
      </c>
      <c r="F1092" s="34">
        <v>44175</v>
      </c>
      <c r="H1092" s="28" t="s">
        <v>406</v>
      </c>
      <c r="K1092" t="s">
        <v>380</v>
      </c>
      <c r="L1092">
        <v>15</v>
      </c>
      <c r="M1092" s="33">
        <v>0.28000000000000003</v>
      </c>
    </row>
    <row r="1093" spans="1:13" x14ac:dyDescent="0.35">
      <c r="A1093" s="14" t="s">
        <v>391</v>
      </c>
      <c r="B1093" s="14" t="s">
        <v>377</v>
      </c>
      <c r="C1093" t="s">
        <v>397</v>
      </c>
      <c r="D1093" s="18">
        <v>44160</v>
      </c>
      <c r="E1093" s="18">
        <v>44158</v>
      </c>
      <c r="F1093" s="34">
        <v>44175</v>
      </c>
      <c r="H1093" s="28" t="s">
        <v>405</v>
      </c>
      <c r="K1093" t="s">
        <v>380</v>
      </c>
      <c r="L1093">
        <v>10</v>
      </c>
      <c r="M1093" s="33">
        <v>0.28000000000000003</v>
      </c>
    </row>
    <row r="1094" spans="1:13" x14ac:dyDescent="0.35">
      <c r="A1094" s="14" t="s">
        <v>391</v>
      </c>
      <c r="B1094" s="14" t="s">
        <v>377</v>
      </c>
      <c r="C1094" t="s">
        <v>397</v>
      </c>
      <c r="D1094" s="18">
        <v>44160</v>
      </c>
      <c r="E1094" s="18">
        <v>44158</v>
      </c>
      <c r="F1094" s="34">
        <v>44175</v>
      </c>
      <c r="H1094" s="28" t="s">
        <v>407</v>
      </c>
      <c r="K1094" t="s">
        <v>380</v>
      </c>
      <c r="L1094">
        <v>15</v>
      </c>
      <c r="M1094" s="33">
        <v>0.28000000000000003</v>
      </c>
    </row>
    <row r="1095" spans="1:13" x14ac:dyDescent="0.35">
      <c r="A1095" s="14" t="s">
        <v>391</v>
      </c>
      <c r="B1095" s="14" t="s">
        <v>377</v>
      </c>
      <c r="C1095" t="s">
        <v>397</v>
      </c>
      <c r="D1095" s="18">
        <v>44160</v>
      </c>
      <c r="E1095" s="18">
        <v>44158</v>
      </c>
      <c r="F1095" s="34">
        <v>44175</v>
      </c>
      <c r="H1095" s="28" t="s">
        <v>30</v>
      </c>
      <c r="M1095" s="33">
        <v>0.28000000000000003</v>
      </c>
    </row>
    <row r="1096" spans="1:13" x14ac:dyDescent="0.35">
      <c r="A1096" s="14" t="s">
        <v>391</v>
      </c>
      <c r="B1096" s="14" t="s">
        <v>377</v>
      </c>
      <c r="C1096" t="s">
        <v>397</v>
      </c>
      <c r="D1096" s="18">
        <v>44160</v>
      </c>
      <c r="E1096" s="18">
        <v>44158</v>
      </c>
      <c r="F1096" s="34">
        <v>44175</v>
      </c>
      <c r="H1096" s="28" t="s">
        <v>29</v>
      </c>
      <c r="K1096" t="s">
        <v>381</v>
      </c>
      <c r="L1096">
        <v>33</v>
      </c>
      <c r="M1096" s="33">
        <v>0.28000000000000003</v>
      </c>
    </row>
    <row r="1097" spans="1:13" x14ac:dyDescent="0.35">
      <c r="A1097" s="14" t="s">
        <v>391</v>
      </c>
      <c r="B1097" s="14" t="s">
        <v>377</v>
      </c>
      <c r="C1097" t="s">
        <v>397</v>
      </c>
      <c r="D1097" s="18">
        <v>44160</v>
      </c>
      <c r="E1097" s="18">
        <v>44158</v>
      </c>
      <c r="F1097" s="34">
        <v>44175</v>
      </c>
      <c r="H1097" s="28" t="s">
        <v>190</v>
      </c>
      <c r="M1097" s="33">
        <v>0.28000000000000003</v>
      </c>
    </row>
    <row r="1098" spans="1:13" x14ac:dyDescent="0.35">
      <c r="A1098" s="14" t="s">
        <v>391</v>
      </c>
      <c r="B1098" s="14" t="s">
        <v>377</v>
      </c>
      <c r="C1098" t="s">
        <v>397</v>
      </c>
      <c r="D1098" s="18">
        <v>44160</v>
      </c>
      <c r="E1098" s="18">
        <v>44158</v>
      </c>
      <c r="F1098" s="34">
        <v>44175</v>
      </c>
      <c r="H1098" s="28" t="s">
        <v>198</v>
      </c>
      <c r="M1098" s="33">
        <v>0.28000000000000003</v>
      </c>
    </row>
    <row r="1099" spans="1:13" x14ac:dyDescent="0.35">
      <c r="A1099" s="14" t="s">
        <v>391</v>
      </c>
      <c r="B1099" s="14" t="s">
        <v>377</v>
      </c>
      <c r="C1099" t="s">
        <v>397</v>
      </c>
      <c r="D1099" s="18">
        <v>44160</v>
      </c>
      <c r="E1099" s="18">
        <v>44158</v>
      </c>
      <c r="F1099" s="34">
        <v>44175</v>
      </c>
      <c r="H1099" s="28" t="s">
        <v>393</v>
      </c>
      <c r="M1099" s="33">
        <v>0.28000000000000003</v>
      </c>
    </row>
    <row r="1100" spans="1:13" x14ac:dyDescent="0.35">
      <c r="A1100" s="14" t="s">
        <v>391</v>
      </c>
      <c r="B1100" s="14" t="s">
        <v>377</v>
      </c>
      <c r="C1100" t="s">
        <v>397</v>
      </c>
      <c r="D1100" s="18">
        <v>44160</v>
      </c>
      <c r="E1100" s="18">
        <v>44158</v>
      </c>
      <c r="F1100" s="34">
        <v>44175</v>
      </c>
      <c r="H1100" s="28" t="s">
        <v>204</v>
      </c>
      <c r="M1100" s="33">
        <v>0.28000000000000003</v>
      </c>
    </row>
    <row r="1101" spans="1:13" x14ac:dyDescent="0.35">
      <c r="A1101" s="14" t="s">
        <v>391</v>
      </c>
      <c r="B1101" s="14" t="s">
        <v>377</v>
      </c>
      <c r="C1101" t="s">
        <v>397</v>
      </c>
      <c r="D1101" s="18">
        <v>44160</v>
      </c>
      <c r="E1101" s="18">
        <v>44158</v>
      </c>
      <c r="F1101" s="34">
        <v>44175</v>
      </c>
      <c r="H1101" s="28" t="s">
        <v>208</v>
      </c>
      <c r="M1101" s="33">
        <v>0.28000000000000003</v>
      </c>
    </row>
    <row r="1102" spans="1:13" x14ac:dyDescent="0.35">
      <c r="A1102" s="14" t="s">
        <v>391</v>
      </c>
      <c r="B1102" s="14" t="s">
        <v>377</v>
      </c>
      <c r="C1102" t="s">
        <v>397</v>
      </c>
      <c r="D1102" s="18">
        <v>44160</v>
      </c>
      <c r="E1102" s="18">
        <v>44158</v>
      </c>
      <c r="F1102" s="34">
        <v>44175</v>
      </c>
      <c r="H1102" s="28" t="s">
        <v>403</v>
      </c>
      <c r="M1102" s="33">
        <v>0.28000000000000003</v>
      </c>
    </row>
    <row r="1103" spans="1:13" x14ac:dyDescent="0.35">
      <c r="A1103" s="14" t="s">
        <v>391</v>
      </c>
      <c r="B1103" s="14" t="s">
        <v>377</v>
      </c>
      <c r="C1103" t="s">
        <v>397</v>
      </c>
      <c r="D1103" s="18">
        <v>44160</v>
      </c>
      <c r="E1103" s="18">
        <v>44158</v>
      </c>
      <c r="F1103" s="34">
        <v>44175</v>
      </c>
      <c r="H1103" s="28" t="s">
        <v>223</v>
      </c>
      <c r="M1103" s="33">
        <v>0.28000000000000003</v>
      </c>
    </row>
    <row r="1104" spans="1:13" x14ac:dyDescent="0.35">
      <c r="A1104" s="14" t="s">
        <v>391</v>
      </c>
      <c r="B1104" s="14" t="s">
        <v>377</v>
      </c>
      <c r="C1104" t="s">
        <v>397</v>
      </c>
      <c r="D1104" s="18">
        <v>44160</v>
      </c>
      <c r="E1104" s="18">
        <v>44158</v>
      </c>
      <c r="F1104" s="34">
        <v>44175</v>
      </c>
      <c r="H1104" s="28" t="s">
        <v>56</v>
      </c>
      <c r="K1104" t="s">
        <v>381</v>
      </c>
      <c r="L1104">
        <v>30</v>
      </c>
      <c r="M1104" s="33">
        <v>0.28000000000000003</v>
      </c>
    </row>
    <row r="1105" spans="1:13" x14ac:dyDescent="0.35">
      <c r="A1105" s="14" t="s">
        <v>391</v>
      </c>
      <c r="B1105" s="14" t="s">
        <v>377</v>
      </c>
      <c r="C1105" t="s">
        <v>397</v>
      </c>
      <c r="D1105" s="18">
        <v>44160</v>
      </c>
      <c r="E1105" s="18">
        <v>44158</v>
      </c>
      <c r="F1105" s="34">
        <v>44175</v>
      </c>
      <c r="H1105" s="28" t="s">
        <v>263</v>
      </c>
      <c r="M1105" s="33">
        <v>0.28000000000000003</v>
      </c>
    </row>
    <row r="1106" spans="1:13" x14ac:dyDescent="0.35">
      <c r="A1106" s="14" t="s">
        <v>391</v>
      </c>
      <c r="B1106" s="14" t="s">
        <v>377</v>
      </c>
      <c r="C1106" t="s">
        <v>397</v>
      </c>
      <c r="D1106" s="18">
        <v>44160</v>
      </c>
      <c r="E1106" s="18">
        <v>44158</v>
      </c>
      <c r="F1106" s="34">
        <v>44175</v>
      </c>
      <c r="H1106" s="28" t="s">
        <v>287</v>
      </c>
      <c r="M1106" s="33">
        <v>0.28000000000000003</v>
      </c>
    </row>
    <row r="1107" spans="1:13" x14ac:dyDescent="0.35">
      <c r="A1107" s="14" t="s">
        <v>391</v>
      </c>
      <c r="B1107" s="14" t="s">
        <v>377</v>
      </c>
      <c r="C1107" t="s">
        <v>397</v>
      </c>
      <c r="D1107" s="18">
        <v>44160</v>
      </c>
      <c r="E1107" s="18">
        <v>44158</v>
      </c>
      <c r="F1107" s="34">
        <v>44175</v>
      </c>
      <c r="H1107" s="28" t="s">
        <v>309</v>
      </c>
      <c r="M1107" s="33">
        <v>0.28000000000000003</v>
      </c>
    </row>
    <row r="1108" spans="1:13" x14ac:dyDescent="0.35">
      <c r="A1108" s="14" t="s">
        <v>391</v>
      </c>
      <c r="B1108" s="14" t="s">
        <v>377</v>
      </c>
      <c r="C1108" t="s">
        <v>397</v>
      </c>
      <c r="D1108" s="18">
        <v>44160</v>
      </c>
      <c r="E1108" s="18">
        <v>44158</v>
      </c>
      <c r="F1108" s="34">
        <v>44175</v>
      </c>
      <c r="H1108" s="28" t="s">
        <v>311</v>
      </c>
      <c r="M1108" s="33">
        <v>0.28000000000000003</v>
      </c>
    </row>
    <row r="1109" spans="1:13" x14ac:dyDescent="0.35">
      <c r="A1109" s="14" t="s">
        <v>391</v>
      </c>
      <c r="B1109" s="14" t="s">
        <v>377</v>
      </c>
      <c r="C1109" t="s">
        <v>397</v>
      </c>
      <c r="D1109" s="18">
        <v>44160</v>
      </c>
      <c r="E1109" s="18">
        <v>44158</v>
      </c>
      <c r="F1109" s="34">
        <v>44175</v>
      </c>
      <c r="H1109" s="28" t="s">
        <v>315</v>
      </c>
      <c r="K1109" t="s">
        <v>381</v>
      </c>
      <c r="L1109">
        <v>30</v>
      </c>
      <c r="M1109" s="33">
        <v>0.28000000000000003</v>
      </c>
    </row>
    <row r="1110" spans="1:13" x14ac:dyDescent="0.35">
      <c r="A1110" s="14" t="s">
        <v>391</v>
      </c>
      <c r="B1110" s="14" t="s">
        <v>377</v>
      </c>
      <c r="C1110" t="s">
        <v>397</v>
      </c>
      <c r="D1110" s="18">
        <v>44160</v>
      </c>
      <c r="E1110" s="18">
        <v>44158</v>
      </c>
      <c r="F1110" s="34">
        <v>44175</v>
      </c>
      <c r="H1110" s="28" t="s">
        <v>401</v>
      </c>
      <c r="K1110" t="s">
        <v>381</v>
      </c>
      <c r="L1110">
        <v>50</v>
      </c>
      <c r="M1110" s="33">
        <v>0.28000000000000003</v>
      </c>
    </row>
    <row r="1111" spans="1:13" x14ac:dyDescent="0.35">
      <c r="A1111" s="14" t="s">
        <v>391</v>
      </c>
      <c r="B1111" s="14" t="s">
        <v>377</v>
      </c>
      <c r="C1111" t="s">
        <v>397</v>
      </c>
      <c r="D1111" s="18">
        <v>44160</v>
      </c>
      <c r="E1111" s="18">
        <v>44158</v>
      </c>
      <c r="F1111" s="34">
        <v>44175</v>
      </c>
      <c r="H1111" s="28" t="s">
        <v>402</v>
      </c>
      <c r="K1111" t="s">
        <v>380</v>
      </c>
      <c r="L1111">
        <v>6</v>
      </c>
      <c r="M1111" s="33">
        <v>0.28000000000000003</v>
      </c>
    </row>
    <row r="1112" spans="1:13" x14ac:dyDescent="0.35">
      <c r="A1112" s="14" t="s">
        <v>391</v>
      </c>
      <c r="B1112" s="14" t="s">
        <v>377</v>
      </c>
      <c r="C1112" t="s">
        <v>397</v>
      </c>
      <c r="D1112" s="18">
        <v>44160</v>
      </c>
      <c r="E1112" s="18">
        <v>44158</v>
      </c>
      <c r="F1112" s="34">
        <v>44175</v>
      </c>
      <c r="H1112" s="28" t="s">
        <v>60</v>
      </c>
      <c r="K1112" t="s">
        <v>380</v>
      </c>
      <c r="L1112">
        <v>6</v>
      </c>
      <c r="M1112" s="33">
        <v>0.28000000000000003</v>
      </c>
    </row>
    <row r="1113" spans="1:13" x14ac:dyDescent="0.35">
      <c r="A1113" s="14" t="s">
        <v>391</v>
      </c>
      <c r="B1113" s="14" t="s">
        <v>377</v>
      </c>
      <c r="C1113" t="s">
        <v>397</v>
      </c>
      <c r="D1113" s="18">
        <v>44160</v>
      </c>
      <c r="E1113" s="18">
        <v>44158</v>
      </c>
      <c r="F1113" s="34">
        <v>44175</v>
      </c>
      <c r="H1113" s="28" t="s">
        <v>60</v>
      </c>
      <c r="K1113" t="s">
        <v>380</v>
      </c>
      <c r="L1113">
        <v>6</v>
      </c>
      <c r="M1113" s="33">
        <v>0.28000000000000003</v>
      </c>
    </row>
    <row r="1114" spans="1:13" x14ac:dyDescent="0.35">
      <c r="A1114" s="14" t="s">
        <v>391</v>
      </c>
      <c r="B1114" s="14" t="s">
        <v>377</v>
      </c>
      <c r="C1114" t="s">
        <v>397</v>
      </c>
      <c r="D1114" s="18">
        <v>44160</v>
      </c>
      <c r="E1114" s="18">
        <v>44158</v>
      </c>
      <c r="F1114" s="34">
        <v>44175</v>
      </c>
      <c r="H1114" s="28" t="s">
        <v>335</v>
      </c>
      <c r="M1114" s="33">
        <v>0.28000000000000003</v>
      </c>
    </row>
    <row r="1115" spans="1:13" x14ac:dyDescent="0.35">
      <c r="A1115" s="14" t="s">
        <v>391</v>
      </c>
      <c r="B1115" s="14" t="s">
        <v>377</v>
      </c>
      <c r="C1115" t="s">
        <v>397</v>
      </c>
      <c r="D1115" s="18">
        <v>44160</v>
      </c>
      <c r="E1115" s="18">
        <v>44158</v>
      </c>
      <c r="F1115" s="34">
        <v>44175</v>
      </c>
      <c r="H1115" s="28" t="s">
        <v>339</v>
      </c>
      <c r="M1115" s="33">
        <v>0.28000000000000003</v>
      </c>
    </row>
    <row r="1116" spans="1:13" x14ac:dyDescent="0.35">
      <c r="A1116" s="14" t="s">
        <v>391</v>
      </c>
      <c r="B1116" s="14" t="s">
        <v>377</v>
      </c>
      <c r="C1116" t="s">
        <v>397</v>
      </c>
      <c r="D1116" s="18">
        <v>44160</v>
      </c>
      <c r="E1116" s="18">
        <v>44158</v>
      </c>
      <c r="F1116" s="34">
        <v>44175</v>
      </c>
      <c r="H1116" s="28" t="s">
        <v>341</v>
      </c>
      <c r="M1116" s="33">
        <v>0.28000000000000003</v>
      </c>
    </row>
    <row r="1117" spans="1:13" x14ac:dyDescent="0.35">
      <c r="A1117" s="14" t="s">
        <v>391</v>
      </c>
      <c r="B1117" s="14" t="s">
        <v>377</v>
      </c>
      <c r="C1117" t="s">
        <v>397</v>
      </c>
      <c r="D1117" s="18">
        <v>44160</v>
      </c>
      <c r="E1117" s="18">
        <v>44158</v>
      </c>
      <c r="F1117" s="34">
        <v>44175</v>
      </c>
      <c r="H1117" s="28" t="s">
        <v>345</v>
      </c>
      <c r="K1117" t="s">
        <v>381</v>
      </c>
      <c r="L1117">
        <v>50</v>
      </c>
      <c r="M1117" s="33">
        <v>0.28000000000000003</v>
      </c>
    </row>
    <row r="1118" spans="1:13" x14ac:dyDescent="0.35">
      <c r="A1118" s="14" t="s">
        <v>391</v>
      </c>
      <c r="B1118" s="14" t="s">
        <v>377</v>
      </c>
      <c r="C1118" t="s">
        <v>397</v>
      </c>
      <c r="D1118" s="18">
        <v>44160</v>
      </c>
      <c r="E1118" s="18">
        <v>44158</v>
      </c>
      <c r="F1118" s="34">
        <v>44175</v>
      </c>
      <c r="H1118" s="28" t="s">
        <v>59</v>
      </c>
      <c r="M1118" s="33">
        <v>0.28000000000000003</v>
      </c>
    </row>
    <row r="1119" spans="1:13" x14ac:dyDescent="0.35">
      <c r="A1119" s="14" t="s">
        <v>391</v>
      </c>
      <c r="B1119" s="14" t="s">
        <v>377</v>
      </c>
      <c r="C1119" t="s">
        <v>397</v>
      </c>
      <c r="D1119" s="18">
        <v>44160</v>
      </c>
      <c r="E1119" s="18">
        <v>44158</v>
      </c>
      <c r="F1119" s="34">
        <v>44175</v>
      </c>
      <c r="H1119" s="28" t="s">
        <v>360</v>
      </c>
      <c r="M1119" s="33">
        <v>0.28000000000000003</v>
      </c>
    </row>
    <row r="1120" spans="1:13" x14ac:dyDescent="0.35">
      <c r="A1120" s="14" t="s">
        <v>391</v>
      </c>
      <c r="B1120" s="14" t="s">
        <v>377</v>
      </c>
      <c r="C1120" t="s">
        <v>394</v>
      </c>
      <c r="D1120" s="18">
        <v>44167</v>
      </c>
      <c r="E1120" s="18">
        <v>44166</v>
      </c>
      <c r="F1120" s="34">
        <v>44176</v>
      </c>
      <c r="H1120" s="28" t="s">
        <v>68</v>
      </c>
      <c r="M1120" s="52">
        <v>6.0749030278702838</v>
      </c>
    </row>
    <row r="1121" spans="1:13" x14ac:dyDescent="0.35">
      <c r="A1121" s="14" t="s">
        <v>391</v>
      </c>
      <c r="B1121" s="14" t="s">
        <v>377</v>
      </c>
      <c r="C1121" t="s">
        <v>394</v>
      </c>
      <c r="D1121" s="18">
        <v>44167</v>
      </c>
      <c r="E1121" s="18">
        <v>44166</v>
      </c>
      <c r="F1121" s="34">
        <v>44176</v>
      </c>
      <c r="H1121" s="28" t="s">
        <v>96</v>
      </c>
      <c r="M1121" s="52">
        <v>6.0749030278702838</v>
      </c>
    </row>
    <row r="1122" spans="1:13" x14ac:dyDescent="0.35">
      <c r="A1122" s="14" t="s">
        <v>391</v>
      </c>
      <c r="B1122" s="14" t="s">
        <v>377</v>
      </c>
      <c r="C1122" t="s">
        <v>394</v>
      </c>
      <c r="D1122" s="18">
        <v>44167</v>
      </c>
      <c r="E1122" s="18">
        <v>44166</v>
      </c>
      <c r="F1122" s="34">
        <v>44176</v>
      </c>
      <c r="H1122" s="28" t="s">
        <v>72</v>
      </c>
      <c r="M1122" s="52">
        <v>6.0749030278702838</v>
      </c>
    </row>
    <row r="1123" spans="1:13" x14ac:dyDescent="0.35">
      <c r="A1123" s="14" t="s">
        <v>391</v>
      </c>
      <c r="B1123" s="14" t="s">
        <v>377</v>
      </c>
      <c r="C1123" t="s">
        <v>394</v>
      </c>
      <c r="D1123" s="18">
        <v>44167</v>
      </c>
      <c r="E1123" s="18">
        <v>44166</v>
      </c>
      <c r="F1123" s="34">
        <v>44176</v>
      </c>
      <c r="H1123" s="28" t="s">
        <v>47</v>
      </c>
      <c r="K1123" t="s">
        <v>381</v>
      </c>
      <c r="L1123">
        <v>20</v>
      </c>
      <c r="M1123" s="52">
        <v>6.0749030278702838</v>
      </c>
    </row>
    <row r="1124" spans="1:13" x14ac:dyDescent="0.35">
      <c r="A1124" s="14" t="s">
        <v>391</v>
      </c>
      <c r="B1124" s="14" t="s">
        <v>377</v>
      </c>
      <c r="C1124" t="s">
        <v>394</v>
      </c>
      <c r="D1124" s="18">
        <v>44167</v>
      </c>
      <c r="E1124" s="18">
        <v>44166</v>
      </c>
      <c r="F1124" s="34">
        <v>44176</v>
      </c>
      <c r="H1124" s="28" t="s">
        <v>50</v>
      </c>
      <c r="K1124" t="s">
        <v>381</v>
      </c>
      <c r="L1124">
        <v>50</v>
      </c>
      <c r="M1124" s="52">
        <v>6.0749030278702838</v>
      </c>
    </row>
    <row r="1125" spans="1:13" x14ac:dyDescent="0.35">
      <c r="A1125" s="14" t="s">
        <v>391</v>
      </c>
      <c r="B1125" s="14" t="s">
        <v>377</v>
      </c>
      <c r="C1125" t="s">
        <v>394</v>
      </c>
      <c r="D1125" s="18">
        <v>44167</v>
      </c>
      <c r="E1125" s="18">
        <v>44166</v>
      </c>
      <c r="F1125" s="34">
        <v>44176</v>
      </c>
      <c r="H1125" s="28" t="s">
        <v>408</v>
      </c>
      <c r="M1125" s="52">
        <v>6.0749030278702838</v>
      </c>
    </row>
    <row r="1126" spans="1:13" x14ac:dyDescent="0.35">
      <c r="A1126" s="14" t="s">
        <v>391</v>
      </c>
      <c r="B1126" s="14" t="s">
        <v>377</v>
      </c>
      <c r="C1126" t="s">
        <v>394</v>
      </c>
      <c r="D1126" s="18">
        <v>44167</v>
      </c>
      <c r="E1126" s="18">
        <v>44166</v>
      </c>
      <c r="F1126" s="34">
        <v>44176</v>
      </c>
      <c r="H1126" s="28" t="s">
        <v>41</v>
      </c>
      <c r="K1126" t="s">
        <v>381</v>
      </c>
      <c r="L1126">
        <v>50</v>
      </c>
      <c r="M1126" s="52">
        <v>6.0749030278702838</v>
      </c>
    </row>
    <row r="1127" spans="1:13" x14ac:dyDescent="0.35">
      <c r="A1127" s="14" t="s">
        <v>391</v>
      </c>
      <c r="B1127" s="14" t="s">
        <v>377</v>
      </c>
      <c r="C1127" t="s">
        <v>394</v>
      </c>
      <c r="D1127" s="18">
        <v>44167</v>
      </c>
      <c r="E1127" s="18">
        <v>44166</v>
      </c>
      <c r="F1127" s="34">
        <v>44176</v>
      </c>
      <c r="H1127" s="28" t="s">
        <v>41</v>
      </c>
      <c r="K1127" t="s">
        <v>381</v>
      </c>
      <c r="L1127">
        <v>50</v>
      </c>
      <c r="M1127" s="52">
        <v>6.0749030278702838</v>
      </c>
    </row>
    <row r="1128" spans="1:13" x14ac:dyDescent="0.35">
      <c r="A1128" s="14" t="s">
        <v>391</v>
      </c>
      <c r="B1128" s="14" t="s">
        <v>377</v>
      </c>
      <c r="C1128" t="s">
        <v>394</v>
      </c>
      <c r="D1128" s="18">
        <v>44167</v>
      </c>
      <c r="E1128" s="18">
        <v>44166</v>
      </c>
      <c r="F1128" s="34">
        <v>44176</v>
      </c>
      <c r="H1128" s="28" t="s">
        <v>39</v>
      </c>
      <c r="K1128" t="s">
        <v>381</v>
      </c>
      <c r="L1128">
        <v>25</v>
      </c>
      <c r="M1128" s="52">
        <v>6.0749030278702838</v>
      </c>
    </row>
    <row r="1129" spans="1:13" x14ac:dyDescent="0.35">
      <c r="A1129" s="14" t="s">
        <v>391</v>
      </c>
      <c r="B1129" s="14" t="s">
        <v>377</v>
      </c>
      <c r="C1129" t="s">
        <v>394</v>
      </c>
      <c r="D1129" s="18">
        <v>44167</v>
      </c>
      <c r="E1129" s="18">
        <v>44166</v>
      </c>
      <c r="F1129" s="34">
        <v>44176</v>
      </c>
      <c r="H1129" s="28" t="s">
        <v>116</v>
      </c>
      <c r="K1129" t="s">
        <v>381</v>
      </c>
      <c r="L1129">
        <v>25</v>
      </c>
      <c r="M1129" s="52">
        <v>6.0749030278702838</v>
      </c>
    </row>
    <row r="1130" spans="1:13" x14ac:dyDescent="0.35">
      <c r="A1130" s="14" t="s">
        <v>391</v>
      </c>
      <c r="B1130" s="14" t="s">
        <v>377</v>
      </c>
      <c r="C1130" t="s">
        <v>394</v>
      </c>
      <c r="D1130" s="18">
        <v>44167</v>
      </c>
      <c r="E1130" s="18">
        <v>44166</v>
      </c>
      <c r="F1130" s="34">
        <v>44176</v>
      </c>
      <c r="H1130" s="28" t="s">
        <v>123</v>
      </c>
      <c r="M1130" s="52">
        <v>6.0749030278702838</v>
      </c>
    </row>
    <row r="1131" spans="1:13" x14ac:dyDescent="0.35">
      <c r="A1131" s="14" t="s">
        <v>391</v>
      </c>
      <c r="B1131" s="14" t="s">
        <v>377</v>
      </c>
      <c r="C1131" t="s">
        <v>394</v>
      </c>
      <c r="D1131" s="18">
        <v>44167</v>
      </c>
      <c r="E1131" s="18">
        <v>44166</v>
      </c>
      <c r="F1131" s="34">
        <v>44176</v>
      </c>
      <c r="H1131" s="28" t="s">
        <v>150</v>
      </c>
      <c r="M1131" s="52">
        <v>6.0749030278702838</v>
      </c>
    </row>
    <row r="1132" spans="1:13" x14ac:dyDescent="0.35">
      <c r="A1132" s="14" t="s">
        <v>391</v>
      </c>
      <c r="B1132" s="14" t="s">
        <v>377</v>
      </c>
      <c r="C1132" t="s">
        <v>394</v>
      </c>
      <c r="D1132" s="18">
        <v>44167</v>
      </c>
      <c r="E1132" s="18">
        <v>44166</v>
      </c>
      <c r="F1132" s="34">
        <v>44176</v>
      </c>
      <c r="H1132" s="28" t="s">
        <v>125</v>
      </c>
      <c r="M1132" s="52">
        <v>6.0749030278702838</v>
      </c>
    </row>
    <row r="1133" spans="1:13" x14ac:dyDescent="0.35">
      <c r="A1133" s="14" t="s">
        <v>391</v>
      </c>
      <c r="B1133" s="14" t="s">
        <v>377</v>
      </c>
      <c r="C1133" t="s">
        <v>394</v>
      </c>
      <c r="D1133" s="18">
        <v>44167</v>
      </c>
      <c r="E1133" s="18">
        <v>44166</v>
      </c>
      <c r="F1133" s="34">
        <v>44176</v>
      </c>
      <c r="H1133" s="28" t="s">
        <v>127</v>
      </c>
      <c r="M1133" s="52">
        <v>6.0749030278702838</v>
      </c>
    </row>
    <row r="1134" spans="1:13" x14ac:dyDescent="0.35">
      <c r="A1134" s="14" t="s">
        <v>391</v>
      </c>
      <c r="B1134" s="14" t="s">
        <v>377</v>
      </c>
      <c r="C1134" t="s">
        <v>394</v>
      </c>
      <c r="D1134" s="18">
        <v>44167</v>
      </c>
      <c r="E1134" s="18">
        <v>44166</v>
      </c>
      <c r="F1134" s="34">
        <v>44176</v>
      </c>
      <c r="H1134" s="28" t="s">
        <v>127</v>
      </c>
      <c r="M1134" s="52">
        <v>6.0749030278702838</v>
      </c>
    </row>
    <row r="1135" spans="1:13" x14ac:dyDescent="0.35">
      <c r="A1135" s="14" t="s">
        <v>391</v>
      </c>
      <c r="B1135" s="14" t="s">
        <v>377</v>
      </c>
      <c r="C1135" t="s">
        <v>394</v>
      </c>
      <c r="D1135" s="18">
        <v>44167</v>
      </c>
      <c r="E1135" s="18">
        <v>44166</v>
      </c>
      <c r="F1135" s="34">
        <v>44176</v>
      </c>
      <c r="H1135" s="28" t="s">
        <v>42</v>
      </c>
      <c r="K1135" t="s">
        <v>380</v>
      </c>
      <c r="L1135">
        <v>6</v>
      </c>
      <c r="M1135" s="52">
        <v>6.0749030278702838</v>
      </c>
    </row>
    <row r="1136" spans="1:13" x14ac:dyDescent="0.35">
      <c r="A1136" s="14" t="s">
        <v>391</v>
      </c>
      <c r="B1136" s="14" t="s">
        <v>377</v>
      </c>
      <c r="C1136" t="s">
        <v>394</v>
      </c>
      <c r="D1136" s="18">
        <v>44167</v>
      </c>
      <c r="E1136" s="18">
        <v>44166</v>
      </c>
      <c r="F1136" s="34">
        <v>44176</v>
      </c>
      <c r="H1136" s="28" t="s">
        <v>25</v>
      </c>
      <c r="K1136" t="s">
        <v>381</v>
      </c>
      <c r="L1136">
        <v>20</v>
      </c>
      <c r="M1136" s="52">
        <v>6.0749030278702838</v>
      </c>
    </row>
    <row r="1137" spans="1:13" x14ac:dyDescent="0.35">
      <c r="A1137" s="14" t="s">
        <v>391</v>
      </c>
      <c r="B1137" s="14" t="s">
        <v>377</v>
      </c>
      <c r="C1137" t="s">
        <v>394</v>
      </c>
      <c r="D1137" s="18">
        <v>44167</v>
      </c>
      <c r="E1137" s="18">
        <v>44166</v>
      </c>
      <c r="F1137" s="34">
        <v>44176</v>
      </c>
      <c r="H1137" s="28" t="s">
        <v>25</v>
      </c>
      <c r="K1137" t="s">
        <v>381</v>
      </c>
      <c r="L1137">
        <v>40</v>
      </c>
      <c r="M1137" s="52">
        <v>6.0749030278702838</v>
      </c>
    </row>
    <row r="1138" spans="1:13" x14ac:dyDescent="0.35">
      <c r="A1138" s="14" t="s">
        <v>391</v>
      </c>
      <c r="B1138" s="14" t="s">
        <v>377</v>
      </c>
      <c r="C1138" t="s">
        <v>394</v>
      </c>
      <c r="D1138" s="18">
        <v>44167</v>
      </c>
      <c r="E1138" s="18">
        <v>44166</v>
      </c>
      <c r="F1138" s="34">
        <v>44176</v>
      </c>
      <c r="H1138" s="28" t="s">
        <v>23</v>
      </c>
      <c r="K1138" t="s">
        <v>380</v>
      </c>
      <c r="L1138">
        <v>6</v>
      </c>
      <c r="M1138" s="52">
        <v>6.0749030278702838</v>
      </c>
    </row>
    <row r="1139" spans="1:13" x14ac:dyDescent="0.35">
      <c r="A1139" s="14" t="s">
        <v>391</v>
      </c>
      <c r="B1139" s="14" t="s">
        <v>377</v>
      </c>
      <c r="C1139" t="s">
        <v>394</v>
      </c>
      <c r="D1139" s="18">
        <v>44167</v>
      </c>
      <c r="E1139" s="18">
        <v>44166</v>
      </c>
      <c r="F1139" s="34">
        <v>44176</v>
      </c>
      <c r="H1139" s="28" t="s">
        <v>24</v>
      </c>
      <c r="K1139" t="s">
        <v>380</v>
      </c>
      <c r="L1139">
        <v>6</v>
      </c>
      <c r="M1139" s="52">
        <v>6.0749030278702838</v>
      </c>
    </row>
    <row r="1140" spans="1:13" x14ac:dyDescent="0.35">
      <c r="A1140" s="14" t="s">
        <v>391</v>
      </c>
      <c r="B1140" s="14" t="s">
        <v>377</v>
      </c>
      <c r="C1140" t="s">
        <v>394</v>
      </c>
      <c r="D1140" s="18">
        <v>44167</v>
      </c>
      <c r="E1140" s="18">
        <v>44166</v>
      </c>
      <c r="F1140" s="34">
        <v>44176</v>
      </c>
      <c r="H1140" s="28" t="s">
        <v>404</v>
      </c>
      <c r="K1140" t="s">
        <v>380</v>
      </c>
      <c r="L1140">
        <v>10</v>
      </c>
      <c r="M1140" s="52">
        <v>6.0749030278702838</v>
      </c>
    </row>
    <row r="1141" spans="1:13" x14ac:dyDescent="0.35">
      <c r="A1141" s="14" t="s">
        <v>391</v>
      </c>
      <c r="B1141" s="14" t="s">
        <v>377</v>
      </c>
      <c r="C1141" t="s">
        <v>394</v>
      </c>
      <c r="D1141" s="18">
        <v>44167</v>
      </c>
      <c r="E1141" s="18">
        <v>44166</v>
      </c>
      <c r="F1141" s="34">
        <v>44176</v>
      </c>
      <c r="H1141" s="28" t="s">
        <v>406</v>
      </c>
      <c r="K1141" t="s">
        <v>380</v>
      </c>
      <c r="L1141">
        <v>15</v>
      </c>
      <c r="M1141" s="52">
        <v>6.0749030278702838</v>
      </c>
    </row>
    <row r="1142" spans="1:13" x14ac:dyDescent="0.35">
      <c r="A1142" s="14" t="s">
        <v>391</v>
      </c>
      <c r="B1142" s="14" t="s">
        <v>377</v>
      </c>
      <c r="C1142" t="s">
        <v>394</v>
      </c>
      <c r="D1142" s="18">
        <v>44167</v>
      </c>
      <c r="E1142" s="18">
        <v>44166</v>
      </c>
      <c r="F1142" s="34">
        <v>44176</v>
      </c>
      <c r="H1142" s="28" t="s">
        <v>405</v>
      </c>
      <c r="K1142" t="s">
        <v>380</v>
      </c>
      <c r="L1142">
        <v>10</v>
      </c>
      <c r="M1142" s="52">
        <v>6.0749030278702838</v>
      </c>
    </row>
    <row r="1143" spans="1:13" x14ac:dyDescent="0.35">
      <c r="A1143" s="14" t="s">
        <v>391</v>
      </c>
      <c r="B1143" s="14" t="s">
        <v>377</v>
      </c>
      <c r="C1143" t="s">
        <v>394</v>
      </c>
      <c r="D1143" s="18">
        <v>44167</v>
      </c>
      <c r="E1143" s="18">
        <v>44166</v>
      </c>
      <c r="F1143" s="34">
        <v>44176</v>
      </c>
      <c r="H1143" s="28" t="s">
        <v>407</v>
      </c>
      <c r="K1143" t="s">
        <v>380</v>
      </c>
      <c r="L1143">
        <v>15</v>
      </c>
      <c r="M1143" s="52">
        <v>6.0749030278702838</v>
      </c>
    </row>
    <row r="1144" spans="1:13" x14ac:dyDescent="0.35">
      <c r="A1144" s="14" t="s">
        <v>391</v>
      </c>
      <c r="B1144" s="14" t="s">
        <v>377</v>
      </c>
      <c r="C1144" t="s">
        <v>394</v>
      </c>
      <c r="D1144" s="18">
        <v>44167</v>
      </c>
      <c r="E1144" s="18">
        <v>44166</v>
      </c>
      <c r="F1144" s="34">
        <v>44176</v>
      </c>
      <c r="H1144" s="28" t="s">
        <v>30</v>
      </c>
      <c r="M1144" s="52">
        <v>6.0749030278702838</v>
      </c>
    </row>
    <row r="1145" spans="1:13" x14ac:dyDescent="0.35">
      <c r="A1145" s="14" t="s">
        <v>391</v>
      </c>
      <c r="B1145" s="14" t="s">
        <v>377</v>
      </c>
      <c r="C1145" t="s">
        <v>394</v>
      </c>
      <c r="D1145" s="18">
        <v>44167</v>
      </c>
      <c r="E1145" s="18">
        <v>44166</v>
      </c>
      <c r="F1145" s="34">
        <v>44176</v>
      </c>
      <c r="H1145" s="28" t="s">
        <v>30</v>
      </c>
      <c r="K1145" t="s">
        <v>381</v>
      </c>
      <c r="L1145">
        <v>33</v>
      </c>
      <c r="M1145" s="52">
        <v>6.0749030278702838</v>
      </c>
    </row>
    <row r="1146" spans="1:13" x14ac:dyDescent="0.35">
      <c r="A1146" s="14" t="s">
        <v>391</v>
      </c>
      <c r="B1146" s="14" t="s">
        <v>377</v>
      </c>
      <c r="C1146" t="s">
        <v>394</v>
      </c>
      <c r="D1146" s="18">
        <v>44167</v>
      </c>
      <c r="E1146" s="18">
        <v>44166</v>
      </c>
      <c r="F1146" s="34">
        <v>44176</v>
      </c>
      <c r="H1146" s="28" t="s">
        <v>29</v>
      </c>
      <c r="K1146" t="s">
        <v>381</v>
      </c>
      <c r="L1146">
        <v>33</v>
      </c>
      <c r="M1146" s="52">
        <v>6.0749030278702838</v>
      </c>
    </row>
    <row r="1147" spans="1:13" x14ac:dyDescent="0.35">
      <c r="A1147" s="14" t="s">
        <v>391</v>
      </c>
      <c r="B1147" s="14" t="s">
        <v>377</v>
      </c>
      <c r="C1147" t="s">
        <v>394</v>
      </c>
      <c r="D1147" s="18">
        <v>44167</v>
      </c>
      <c r="E1147" s="18">
        <v>44166</v>
      </c>
      <c r="F1147" s="34">
        <v>44176</v>
      </c>
      <c r="H1147" s="28" t="s">
        <v>29</v>
      </c>
      <c r="K1147" t="s">
        <v>381</v>
      </c>
      <c r="L1147">
        <v>33</v>
      </c>
      <c r="M1147" s="52">
        <v>6.0749030278702838</v>
      </c>
    </row>
    <row r="1148" spans="1:13" x14ac:dyDescent="0.35">
      <c r="A1148" s="14" t="s">
        <v>391</v>
      </c>
      <c r="B1148" s="14" t="s">
        <v>377</v>
      </c>
      <c r="C1148" t="s">
        <v>394</v>
      </c>
      <c r="D1148" s="18">
        <v>44167</v>
      </c>
      <c r="E1148" s="18">
        <v>44166</v>
      </c>
      <c r="F1148" s="34">
        <v>44176</v>
      </c>
      <c r="H1148" s="28" t="s">
        <v>188</v>
      </c>
      <c r="M1148" s="52">
        <v>6.0749030278702838</v>
      </c>
    </row>
    <row r="1149" spans="1:13" x14ac:dyDescent="0.35">
      <c r="A1149" s="14" t="s">
        <v>391</v>
      </c>
      <c r="B1149" s="14" t="s">
        <v>377</v>
      </c>
      <c r="C1149" t="s">
        <v>394</v>
      </c>
      <c r="D1149" s="18">
        <v>44167</v>
      </c>
      <c r="E1149" s="18">
        <v>44166</v>
      </c>
      <c r="F1149" s="34">
        <v>44176</v>
      </c>
      <c r="H1149" s="28" t="s">
        <v>190</v>
      </c>
      <c r="M1149" s="52">
        <v>6.0749030278702838</v>
      </c>
    </row>
    <row r="1150" spans="1:13" x14ac:dyDescent="0.35">
      <c r="A1150" s="14" t="s">
        <v>391</v>
      </c>
      <c r="B1150" s="14" t="s">
        <v>377</v>
      </c>
      <c r="C1150" t="s">
        <v>394</v>
      </c>
      <c r="D1150" s="18">
        <v>44167</v>
      </c>
      <c r="E1150" s="18">
        <v>44166</v>
      </c>
      <c r="F1150" s="34">
        <v>44176</v>
      </c>
      <c r="H1150" s="28" t="s">
        <v>192</v>
      </c>
      <c r="M1150" s="52">
        <v>6.0749030278702838</v>
      </c>
    </row>
    <row r="1151" spans="1:13" x14ac:dyDescent="0.35">
      <c r="A1151" s="14" t="s">
        <v>391</v>
      </c>
      <c r="B1151" s="14" t="s">
        <v>377</v>
      </c>
      <c r="C1151" t="s">
        <v>394</v>
      </c>
      <c r="D1151" s="18">
        <v>44167</v>
      </c>
      <c r="E1151" s="18">
        <v>44166</v>
      </c>
      <c r="F1151" s="34">
        <v>44176</v>
      </c>
      <c r="H1151" s="28" t="s">
        <v>198</v>
      </c>
      <c r="M1151" s="52">
        <v>6.0749030278702838</v>
      </c>
    </row>
    <row r="1152" spans="1:13" x14ac:dyDescent="0.35">
      <c r="A1152" s="14" t="s">
        <v>391</v>
      </c>
      <c r="B1152" s="14" t="s">
        <v>377</v>
      </c>
      <c r="C1152" t="s">
        <v>394</v>
      </c>
      <c r="D1152" s="18">
        <v>44167</v>
      </c>
      <c r="E1152" s="18">
        <v>44166</v>
      </c>
      <c r="F1152" s="34">
        <v>44176</v>
      </c>
      <c r="H1152" s="28" t="s">
        <v>198</v>
      </c>
      <c r="M1152" s="52">
        <v>6.0749030278702838</v>
      </c>
    </row>
    <row r="1153" spans="1:13" x14ac:dyDescent="0.35">
      <c r="A1153" s="14" t="s">
        <v>391</v>
      </c>
      <c r="B1153" s="14" t="s">
        <v>377</v>
      </c>
      <c r="C1153" t="s">
        <v>394</v>
      </c>
      <c r="D1153" s="18">
        <v>44167</v>
      </c>
      <c r="E1153" s="18">
        <v>44166</v>
      </c>
      <c r="F1153" s="34">
        <v>44176</v>
      </c>
      <c r="H1153" s="28" t="s">
        <v>393</v>
      </c>
      <c r="M1153" s="52">
        <v>6.0749030278702838</v>
      </c>
    </row>
    <row r="1154" spans="1:13" x14ac:dyDescent="0.35">
      <c r="A1154" s="14" t="s">
        <v>391</v>
      </c>
      <c r="B1154" s="14" t="s">
        <v>377</v>
      </c>
      <c r="C1154" t="s">
        <v>394</v>
      </c>
      <c r="D1154" s="18">
        <v>44167</v>
      </c>
      <c r="E1154" s="18">
        <v>44166</v>
      </c>
      <c r="F1154" s="34">
        <v>44176</v>
      </c>
      <c r="H1154" s="28" t="s">
        <v>393</v>
      </c>
      <c r="M1154" s="52">
        <v>6.0749030278702838</v>
      </c>
    </row>
    <row r="1155" spans="1:13" x14ac:dyDescent="0.35">
      <c r="A1155" s="14" t="s">
        <v>391</v>
      </c>
      <c r="B1155" s="14" t="s">
        <v>377</v>
      </c>
      <c r="C1155" t="s">
        <v>394</v>
      </c>
      <c r="D1155" s="18">
        <v>44167</v>
      </c>
      <c r="E1155" s="18">
        <v>44166</v>
      </c>
      <c r="F1155" s="34">
        <v>44176</v>
      </c>
      <c r="H1155" s="28" t="s">
        <v>204</v>
      </c>
      <c r="M1155" s="52">
        <v>6.0749030278702838</v>
      </c>
    </row>
    <row r="1156" spans="1:13" x14ac:dyDescent="0.35">
      <c r="A1156" s="14" t="s">
        <v>391</v>
      </c>
      <c r="B1156" s="14" t="s">
        <v>377</v>
      </c>
      <c r="C1156" t="s">
        <v>394</v>
      </c>
      <c r="D1156" s="18">
        <v>44167</v>
      </c>
      <c r="E1156" s="18">
        <v>44166</v>
      </c>
      <c r="F1156" s="34">
        <v>44176</v>
      </c>
      <c r="H1156" s="28" t="s">
        <v>204</v>
      </c>
      <c r="M1156" s="52">
        <v>6.0749030278702838</v>
      </c>
    </row>
    <row r="1157" spans="1:13" x14ac:dyDescent="0.35">
      <c r="A1157" s="14" t="s">
        <v>391</v>
      </c>
      <c r="B1157" s="14" t="s">
        <v>377</v>
      </c>
      <c r="C1157" t="s">
        <v>394</v>
      </c>
      <c r="D1157" s="18">
        <v>44167</v>
      </c>
      <c r="E1157" s="18">
        <v>44166</v>
      </c>
      <c r="F1157" s="34">
        <v>44176</v>
      </c>
      <c r="H1157" s="28" t="s">
        <v>208</v>
      </c>
      <c r="M1157" s="52">
        <v>6.0749030278702838</v>
      </c>
    </row>
    <row r="1158" spans="1:13" x14ac:dyDescent="0.35">
      <c r="A1158" s="14" t="s">
        <v>391</v>
      </c>
      <c r="B1158" s="14" t="s">
        <v>377</v>
      </c>
      <c r="C1158" t="s">
        <v>394</v>
      </c>
      <c r="D1158" s="18">
        <v>44167</v>
      </c>
      <c r="E1158" s="18">
        <v>44166</v>
      </c>
      <c r="F1158" s="34">
        <v>44176</v>
      </c>
      <c r="H1158" s="28" t="s">
        <v>208</v>
      </c>
      <c r="M1158" s="52">
        <v>6.0749030278702838</v>
      </c>
    </row>
    <row r="1159" spans="1:13" x14ac:dyDescent="0.35">
      <c r="A1159" s="14" t="s">
        <v>391</v>
      </c>
      <c r="B1159" s="14" t="s">
        <v>377</v>
      </c>
      <c r="C1159" t="s">
        <v>394</v>
      </c>
      <c r="D1159" s="18">
        <v>44167</v>
      </c>
      <c r="E1159" s="18">
        <v>44166</v>
      </c>
      <c r="F1159" s="34">
        <v>44176</v>
      </c>
      <c r="H1159" s="28" t="s">
        <v>210</v>
      </c>
      <c r="M1159" s="52">
        <v>6.0749030278702838</v>
      </c>
    </row>
    <row r="1160" spans="1:13" x14ac:dyDescent="0.35">
      <c r="A1160" s="14" t="s">
        <v>391</v>
      </c>
      <c r="B1160" s="14" t="s">
        <v>377</v>
      </c>
      <c r="C1160" t="s">
        <v>394</v>
      </c>
      <c r="D1160" s="18">
        <v>44167</v>
      </c>
      <c r="E1160" s="18">
        <v>44166</v>
      </c>
      <c r="F1160" s="34">
        <v>44176</v>
      </c>
      <c r="H1160" s="28" t="s">
        <v>403</v>
      </c>
      <c r="M1160" s="52">
        <v>6.0749030278702838</v>
      </c>
    </row>
    <row r="1161" spans="1:13" x14ac:dyDescent="0.35">
      <c r="A1161" s="14" t="s">
        <v>391</v>
      </c>
      <c r="B1161" s="14" t="s">
        <v>377</v>
      </c>
      <c r="C1161" t="s">
        <v>394</v>
      </c>
      <c r="D1161" s="18">
        <v>44167</v>
      </c>
      <c r="E1161" s="18">
        <v>44166</v>
      </c>
      <c r="F1161" s="34">
        <v>44176</v>
      </c>
      <c r="H1161" s="28" t="s">
        <v>223</v>
      </c>
      <c r="M1161" s="52">
        <v>6.0749030278702838</v>
      </c>
    </row>
    <row r="1162" spans="1:13" x14ac:dyDescent="0.35">
      <c r="A1162" s="14" t="s">
        <v>391</v>
      </c>
      <c r="B1162" s="14" t="s">
        <v>377</v>
      </c>
      <c r="C1162" t="s">
        <v>394</v>
      </c>
      <c r="D1162" s="18">
        <v>44167</v>
      </c>
      <c r="E1162" s="18">
        <v>44166</v>
      </c>
      <c r="F1162" s="34">
        <v>44176</v>
      </c>
      <c r="H1162" s="28" t="s">
        <v>31</v>
      </c>
      <c r="K1162" t="s">
        <v>381</v>
      </c>
      <c r="L1162">
        <v>30</v>
      </c>
      <c r="M1162" s="52">
        <v>6.0749030278702838</v>
      </c>
    </row>
    <row r="1163" spans="1:13" x14ac:dyDescent="0.35">
      <c r="A1163" s="14" t="s">
        <v>391</v>
      </c>
      <c r="B1163" s="14" t="s">
        <v>377</v>
      </c>
      <c r="C1163" t="s">
        <v>394</v>
      </c>
      <c r="D1163" s="18">
        <v>44167</v>
      </c>
      <c r="E1163" s="18">
        <v>44166</v>
      </c>
      <c r="F1163" s="34">
        <v>44176</v>
      </c>
      <c r="H1163" s="28" t="s">
        <v>56</v>
      </c>
      <c r="K1163" t="s">
        <v>381</v>
      </c>
      <c r="L1163">
        <v>30</v>
      </c>
      <c r="M1163" s="52">
        <v>6.0749030278702838</v>
      </c>
    </row>
    <row r="1164" spans="1:13" x14ac:dyDescent="0.35">
      <c r="A1164" s="14" t="s">
        <v>391</v>
      </c>
      <c r="B1164" s="14" t="s">
        <v>377</v>
      </c>
      <c r="C1164" t="s">
        <v>394</v>
      </c>
      <c r="D1164" s="18">
        <v>44167</v>
      </c>
      <c r="E1164" s="18">
        <v>44166</v>
      </c>
      <c r="F1164" s="34">
        <v>44176</v>
      </c>
      <c r="H1164" s="28" t="s">
        <v>56</v>
      </c>
      <c r="K1164" t="s">
        <v>381</v>
      </c>
      <c r="L1164">
        <v>50</v>
      </c>
      <c r="M1164" s="52">
        <v>6.0749030278702838</v>
      </c>
    </row>
    <row r="1165" spans="1:13" x14ac:dyDescent="0.35">
      <c r="A1165" s="14" t="s">
        <v>391</v>
      </c>
      <c r="B1165" s="14" t="s">
        <v>377</v>
      </c>
      <c r="C1165" t="s">
        <v>394</v>
      </c>
      <c r="D1165" s="18">
        <v>44167</v>
      </c>
      <c r="E1165" s="18">
        <v>44166</v>
      </c>
      <c r="F1165" s="34">
        <v>44176</v>
      </c>
      <c r="H1165" s="28" t="s">
        <v>263</v>
      </c>
      <c r="M1165" s="52">
        <v>6.0749030278702838</v>
      </c>
    </row>
    <row r="1166" spans="1:13" x14ac:dyDescent="0.35">
      <c r="A1166" s="14" t="s">
        <v>391</v>
      </c>
      <c r="B1166" s="14" t="s">
        <v>377</v>
      </c>
      <c r="C1166" t="s">
        <v>394</v>
      </c>
      <c r="D1166" s="18">
        <v>44167</v>
      </c>
      <c r="E1166" s="18">
        <v>44166</v>
      </c>
      <c r="F1166" s="34">
        <v>44176</v>
      </c>
      <c r="H1166" s="28" t="s">
        <v>263</v>
      </c>
      <c r="M1166" s="52">
        <v>6.0749030278702838</v>
      </c>
    </row>
    <row r="1167" spans="1:13" x14ac:dyDescent="0.35">
      <c r="A1167" s="14" t="s">
        <v>391</v>
      </c>
      <c r="B1167" s="14" t="s">
        <v>377</v>
      </c>
      <c r="C1167" t="s">
        <v>394</v>
      </c>
      <c r="D1167" s="18">
        <v>44167</v>
      </c>
      <c r="E1167" s="18">
        <v>44166</v>
      </c>
      <c r="F1167" s="34">
        <v>44176</v>
      </c>
      <c r="H1167" s="28" t="s">
        <v>287</v>
      </c>
      <c r="M1167" s="52">
        <v>6.0749030278702838</v>
      </c>
    </row>
    <row r="1168" spans="1:13" x14ac:dyDescent="0.35">
      <c r="A1168" s="14" t="s">
        <v>391</v>
      </c>
      <c r="B1168" s="14" t="s">
        <v>377</v>
      </c>
      <c r="C1168" t="s">
        <v>394</v>
      </c>
      <c r="D1168" s="18">
        <v>44167</v>
      </c>
      <c r="E1168" s="18">
        <v>44166</v>
      </c>
      <c r="F1168" s="34">
        <v>44176</v>
      </c>
      <c r="H1168" s="28" t="s">
        <v>287</v>
      </c>
      <c r="M1168" s="52">
        <v>6.0749030278702838</v>
      </c>
    </row>
    <row r="1169" spans="1:13" x14ac:dyDescent="0.35">
      <c r="A1169" s="14" t="s">
        <v>391</v>
      </c>
      <c r="B1169" s="14" t="s">
        <v>377</v>
      </c>
      <c r="C1169" t="s">
        <v>394</v>
      </c>
      <c r="D1169" s="18">
        <v>44167</v>
      </c>
      <c r="E1169" s="18">
        <v>44166</v>
      </c>
      <c r="F1169" s="34">
        <v>44176</v>
      </c>
      <c r="H1169" s="28" t="s">
        <v>307</v>
      </c>
      <c r="M1169" s="52">
        <v>6.0749030278702838</v>
      </c>
    </row>
    <row r="1170" spans="1:13" x14ac:dyDescent="0.35">
      <c r="A1170" s="14" t="s">
        <v>391</v>
      </c>
      <c r="B1170" s="14" t="s">
        <v>377</v>
      </c>
      <c r="C1170" t="s">
        <v>394</v>
      </c>
      <c r="D1170" s="18">
        <v>44167</v>
      </c>
      <c r="E1170" s="18">
        <v>44166</v>
      </c>
      <c r="F1170" s="34">
        <v>44176</v>
      </c>
      <c r="H1170" s="28" t="s">
        <v>309</v>
      </c>
      <c r="M1170" s="52">
        <v>6.0749030278702838</v>
      </c>
    </row>
    <row r="1171" spans="1:13" x14ac:dyDescent="0.35">
      <c r="A1171" s="14" t="s">
        <v>391</v>
      </c>
      <c r="B1171" s="14" t="s">
        <v>377</v>
      </c>
      <c r="C1171" t="s">
        <v>394</v>
      </c>
      <c r="D1171" s="18">
        <v>44167</v>
      </c>
      <c r="E1171" s="18">
        <v>44166</v>
      </c>
      <c r="F1171" s="34">
        <v>44176</v>
      </c>
      <c r="H1171" s="28" t="s">
        <v>311</v>
      </c>
      <c r="M1171" s="52">
        <v>6.0749030278702838</v>
      </c>
    </row>
    <row r="1172" spans="1:13" x14ac:dyDescent="0.35">
      <c r="A1172" s="14" t="s">
        <v>391</v>
      </c>
      <c r="B1172" s="14" t="s">
        <v>377</v>
      </c>
      <c r="C1172" t="s">
        <v>394</v>
      </c>
      <c r="D1172" s="18">
        <v>44167</v>
      </c>
      <c r="E1172" s="18">
        <v>44166</v>
      </c>
      <c r="F1172" s="34">
        <v>44176</v>
      </c>
      <c r="H1172" s="28" t="s">
        <v>311</v>
      </c>
      <c r="M1172" s="52">
        <v>6.0749030278702838</v>
      </c>
    </row>
    <row r="1173" spans="1:13" x14ac:dyDescent="0.35">
      <c r="A1173" s="14" t="s">
        <v>391</v>
      </c>
      <c r="B1173" s="14" t="s">
        <v>377</v>
      </c>
      <c r="C1173" t="s">
        <v>394</v>
      </c>
      <c r="D1173" s="18">
        <v>44167</v>
      </c>
      <c r="E1173" s="18">
        <v>44166</v>
      </c>
      <c r="F1173" s="34">
        <v>44176</v>
      </c>
      <c r="H1173" s="28" t="s">
        <v>313</v>
      </c>
      <c r="K1173" t="s">
        <v>381</v>
      </c>
      <c r="L1173">
        <v>50</v>
      </c>
      <c r="M1173" s="52">
        <v>6.0749030278702838</v>
      </c>
    </row>
    <row r="1174" spans="1:13" x14ac:dyDescent="0.35">
      <c r="A1174" s="14" t="s">
        <v>391</v>
      </c>
      <c r="B1174" s="14" t="s">
        <v>377</v>
      </c>
      <c r="C1174" t="s">
        <v>394</v>
      </c>
      <c r="D1174" s="18">
        <v>44167</v>
      </c>
      <c r="E1174" s="18">
        <v>44166</v>
      </c>
      <c r="F1174" s="34">
        <v>44176</v>
      </c>
      <c r="H1174" s="28" t="s">
        <v>315</v>
      </c>
      <c r="K1174" t="s">
        <v>381</v>
      </c>
      <c r="L1174">
        <v>30</v>
      </c>
      <c r="M1174" s="52">
        <v>6.0749030278702838</v>
      </c>
    </row>
    <row r="1175" spans="1:13" x14ac:dyDescent="0.35">
      <c r="A1175" s="14" t="s">
        <v>391</v>
      </c>
      <c r="B1175" s="14" t="s">
        <v>377</v>
      </c>
      <c r="C1175" t="s">
        <v>394</v>
      </c>
      <c r="D1175" s="18">
        <v>44167</v>
      </c>
      <c r="E1175" s="18">
        <v>44166</v>
      </c>
      <c r="F1175" s="34">
        <v>44176</v>
      </c>
      <c r="H1175" s="28" t="s">
        <v>401</v>
      </c>
      <c r="K1175" t="s">
        <v>381</v>
      </c>
      <c r="L1175">
        <v>50</v>
      </c>
      <c r="M1175" s="52">
        <v>6.0749030278702838</v>
      </c>
    </row>
    <row r="1176" spans="1:13" x14ac:dyDescent="0.35">
      <c r="A1176" s="14" t="s">
        <v>391</v>
      </c>
      <c r="B1176" s="14" t="s">
        <v>377</v>
      </c>
      <c r="C1176" t="s">
        <v>394</v>
      </c>
      <c r="D1176" s="18">
        <v>44167</v>
      </c>
      <c r="E1176" s="18">
        <v>44166</v>
      </c>
      <c r="F1176" s="34">
        <v>44176</v>
      </c>
      <c r="H1176" s="28" t="s">
        <v>402</v>
      </c>
      <c r="K1176" t="s">
        <v>380</v>
      </c>
      <c r="L1176">
        <v>6</v>
      </c>
      <c r="M1176" s="52">
        <v>6.0749030278702838</v>
      </c>
    </row>
    <row r="1177" spans="1:13" x14ac:dyDescent="0.35">
      <c r="A1177" s="14" t="s">
        <v>391</v>
      </c>
      <c r="B1177" s="14" t="s">
        <v>377</v>
      </c>
      <c r="C1177" t="s">
        <v>394</v>
      </c>
      <c r="D1177" s="18">
        <v>44167</v>
      </c>
      <c r="E1177" s="18">
        <v>44166</v>
      </c>
      <c r="F1177" s="34">
        <v>44176</v>
      </c>
      <c r="H1177" s="28" t="s">
        <v>60</v>
      </c>
      <c r="K1177" t="s">
        <v>380</v>
      </c>
      <c r="L1177">
        <v>6</v>
      </c>
      <c r="M1177" s="52">
        <v>6.0749030278702838</v>
      </c>
    </row>
    <row r="1178" spans="1:13" x14ac:dyDescent="0.35">
      <c r="A1178" s="14" t="s">
        <v>391</v>
      </c>
      <c r="B1178" s="14" t="s">
        <v>377</v>
      </c>
      <c r="C1178" t="s">
        <v>394</v>
      </c>
      <c r="D1178" s="18">
        <v>44167</v>
      </c>
      <c r="E1178" s="18">
        <v>44166</v>
      </c>
      <c r="F1178" s="34">
        <v>44176</v>
      </c>
      <c r="H1178" s="28" t="s">
        <v>60</v>
      </c>
      <c r="K1178" t="s">
        <v>380</v>
      </c>
      <c r="L1178">
        <v>6</v>
      </c>
      <c r="M1178" s="52">
        <v>6.0749030278702838</v>
      </c>
    </row>
    <row r="1179" spans="1:13" x14ac:dyDescent="0.35">
      <c r="A1179" s="14" t="s">
        <v>391</v>
      </c>
      <c r="B1179" s="14" t="s">
        <v>377</v>
      </c>
      <c r="C1179" t="s">
        <v>394</v>
      </c>
      <c r="D1179" s="18">
        <v>44167</v>
      </c>
      <c r="E1179" s="18">
        <v>44166</v>
      </c>
      <c r="F1179" s="34">
        <v>44176</v>
      </c>
      <c r="H1179" s="28" t="s">
        <v>327</v>
      </c>
      <c r="K1179" t="s">
        <v>380</v>
      </c>
      <c r="L1179">
        <v>6</v>
      </c>
      <c r="M1179" s="52">
        <v>6.0749030278702838</v>
      </c>
    </row>
    <row r="1180" spans="1:13" x14ac:dyDescent="0.35">
      <c r="A1180" s="14" t="s">
        <v>391</v>
      </c>
      <c r="B1180" s="14" t="s">
        <v>377</v>
      </c>
      <c r="C1180" t="s">
        <v>394</v>
      </c>
      <c r="D1180" s="18">
        <v>44167</v>
      </c>
      <c r="E1180" s="18">
        <v>44166</v>
      </c>
      <c r="F1180" s="34">
        <v>44176</v>
      </c>
      <c r="H1180" s="28" t="s">
        <v>335</v>
      </c>
      <c r="M1180" s="52">
        <v>6.0749030278702838</v>
      </c>
    </row>
    <row r="1181" spans="1:13" x14ac:dyDescent="0.35">
      <c r="A1181" s="14" t="s">
        <v>391</v>
      </c>
      <c r="B1181" s="14" t="s">
        <v>377</v>
      </c>
      <c r="C1181" t="s">
        <v>394</v>
      </c>
      <c r="D1181" s="18">
        <v>44167</v>
      </c>
      <c r="E1181" s="18">
        <v>44166</v>
      </c>
      <c r="F1181" s="34">
        <v>44176</v>
      </c>
      <c r="H1181" s="28" t="s">
        <v>335</v>
      </c>
      <c r="M1181" s="52">
        <v>6.0749030278702838</v>
      </c>
    </row>
    <row r="1182" spans="1:13" x14ac:dyDescent="0.35">
      <c r="A1182" s="14" t="s">
        <v>391</v>
      </c>
      <c r="B1182" s="14" t="s">
        <v>377</v>
      </c>
      <c r="C1182" t="s">
        <v>394</v>
      </c>
      <c r="D1182" s="18">
        <v>44167</v>
      </c>
      <c r="E1182" s="18">
        <v>44166</v>
      </c>
      <c r="F1182" s="34">
        <v>44176</v>
      </c>
      <c r="H1182" s="28" t="s">
        <v>339</v>
      </c>
      <c r="M1182" s="52">
        <v>6.0749030278702838</v>
      </c>
    </row>
    <row r="1183" spans="1:13" x14ac:dyDescent="0.35">
      <c r="A1183" s="14" t="s">
        <v>391</v>
      </c>
      <c r="B1183" s="14" t="s">
        <v>377</v>
      </c>
      <c r="C1183" t="s">
        <v>394</v>
      </c>
      <c r="D1183" s="18">
        <v>44167</v>
      </c>
      <c r="E1183" s="18">
        <v>44166</v>
      </c>
      <c r="F1183" s="34">
        <v>44176</v>
      </c>
      <c r="H1183" s="28" t="s">
        <v>339</v>
      </c>
      <c r="M1183" s="52">
        <v>6.0749030278702838</v>
      </c>
    </row>
    <row r="1184" spans="1:13" x14ac:dyDescent="0.35">
      <c r="A1184" s="14" t="s">
        <v>391</v>
      </c>
      <c r="B1184" s="14" t="s">
        <v>377</v>
      </c>
      <c r="C1184" t="s">
        <v>394</v>
      </c>
      <c r="D1184" s="18">
        <v>44167</v>
      </c>
      <c r="E1184" s="18">
        <v>44166</v>
      </c>
      <c r="F1184" s="34">
        <v>44176</v>
      </c>
      <c r="H1184" s="28" t="s">
        <v>341</v>
      </c>
      <c r="M1184" s="52">
        <v>6.0749030278702838</v>
      </c>
    </row>
    <row r="1185" spans="1:13" x14ac:dyDescent="0.35">
      <c r="A1185" s="14" t="s">
        <v>391</v>
      </c>
      <c r="B1185" s="14" t="s">
        <v>377</v>
      </c>
      <c r="C1185" t="s">
        <v>394</v>
      </c>
      <c r="D1185" s="18">
        <v>44167</v>
      </c>
      <c r="E1185" s="18">
        <v>44166</v>
      </c>
      <c r="F1185" s="34">
        <v>44176</v>
      </c>
      <c r="H1185" s="28" t="s">
        <v>345</v>
      </c>
      <c r="K1185" t="s">
        <v>381</v>
      </c>
      <c r="L1185">
        <v>50</v>
      </c>
      <c r="M1185" s="52">
        <v>6.0749030278702838</v>
      </c>
    </row>
    <row r="1186" spans="1:13" x14ac:dyDescent="0.35">
      <c r="A1186" s="14" t="s">
        <v>391</v>
      </c>
      <c r="B1186" s="14" t="s">
        <v>377</v>
      </c>
      <c r="C1186" t="s">
        <v>394</v>
      </c>
      <c r="D1186" s="18">
        <v>44167</v>
      </c>
      <c r="E1186" s="18">
        <v>44166</v>
      </c>
      <c r="F1186" s="34">
        <v>44176</v>
      </c>
      <c r="H1186" s="28" t="s">
        <v>345</v>
      </c>
      <c r="K1186" t="s">
        <v>381</v>
      </c>
      <c r="L1186">
        <v>50</v>
      </c>
      <c r="M1186" s="52">
        <v>6.0749030278702838</v>
      </c>
    </row>
    <row r="1187" spans="1:13" x14ac:dyDescent="0.35">
      <c r="A1187" s="14" t="s">
        <v>391</v>
      </c>
      <c r="B1187" s="14" t="s">
        <v>377</v>
      </c>
      <c r="C1187" t="s">
        <v>394</v>
      </c>
      <c r="D1187" s="18">
        <v>44167</v>
      </c>
      <c r="E1187" s="18">
        <v>44166</v>
      </c>
      <c r="F1187" s="34">
        <v>44176</v>
      </c>
      <c r="H1187" s="28" t="s">
        <v>59</v>
      </c>
      <c r="M1187" s="52">
        <v>6.0749030278702838</v>
      </c>
    </row>
    <row r="1188" spans="1:13" x14ac:dyDescent="0.35">
      <c r="A1188" s="14" t="s">
        <v>391</v>
      </c>
      <c r="B1188" s="14" t="s">
        <v>377</v>
      </c>
      <c r="C1188" t="s">
        <v>394</v>
      </c>
      <c r="D1188" s="18">
        <v>44167</v>
      </c>
      <c r="E1188" s="18">
        <v>44166</v>
      </c>
      <c r="F1188" s="34">
        <v>44176</v>
      </c>
      <c r="H1188" s="28" t="s">
        <v>59</v>
      </c>
      <c r="M1188" s="52">
        <v>6.0749030278702838</v>
      </c>
    </row>
    <row r="1189" spans="1:13" x14ac:dyDescent="0.35">
      <c r="A1189" s="14" t="s">
        <v>391</v>
      </c>
      <c r="B1189" s="14" t="s">
        <v>377</v>
      </c>
      <c r="C1189" t="s">
        <v>394</v>
      </c>
      <c r="D1189" s="18">
        <v>44167</v>
      </c>
      <c r="E1189" s="18">
        <v>44166</v>
      </c>
      <c r="F1189" s="34">
        <v>44176</v>
      </c>
      <c r="H1189" s="28" t="s">
        <v>360</v>
      </c>
      <c r="M1189" s="52">
        <v>6.0749030278702838</v>
      </c>
    </row>
    <row r="1190" spans="1:13" x14ac:dyDescent="0.35">
      <c r="A1190" s="14" t="s">
        <v>391</v>
      </c>
      <c r="B1190" s="14" t="s">
        <v>377</v>
      </c>
      <c r="C1190" t="s">
        <v>394</v>
      </c>
      <c r="D1190" s="18">
        <v>44167</v>
      </c>
      <c r="E1190" s="18">
        <v>44166</v>
      </c>
      <c r="F1190" s="34">
        <v>44176</v>
      </c>
      <c r="H1190" s="28" t="s">
        <v>360</v>
      </c>
      <c r="M1190" s="52">
        <v>6.0749030278702838</v>
      </c>
    </row>
    <row r="1191" spans="1:13" x14ac:dyDescent="0.35">
      <c r="A1191" s="14" t="s">
        <v>391</v>
      </c>
      <c r="B1191" s="14" t="s">
        <v>377</v>
      </c>
      <c r="C1191" t="s">
        <v>397</v>
      </c>
      <c r="D1191" s="34">
        <v>44182</v>
      </c>
      <c r="E1191" s="18">
        <v>44175</v>
      </c>
      <c r="F1191" s="34">
        <v>44186</v>
      </c>
      <c r="H1191" s="28" t="s">
        <v>68</v>
      </c>
      <c r="M1191" s="52">
        <v>35.095681228957517</v>
      </c>
    </row>
    <row r="1192" spans="1:13" x14ac:dyDescent="0.35">
      <c r="A1192" s="14" t="s">
        <v>391</v>
      </c>
      <c r="B1192" s="14" t="s">
        <v>377</v>
      </c>
      <c r="C1192" t="s">
        <v>397</v>
      </c>
      <c r="D1192" s="34">
        <v>44182</v>
      </c>
      <c r="E1192" s="18">
        <v>44175</v>
      </c>
      <c r="F1192" s="34">
        <v>44186</v>
      </c>
      <c r="H1192" s="28" t="s">
        <v>408</v>
      </c>
      <c r="M1192" s="52">
        <v>35.095681228957517</v>
      </c>
    </row>
    <row r="1193" spans="1:13" x14ac:dyDescent="0.35">
      <c r="A1193" s="14" t="s">
        <v>391</v>
      </c>
      <c r="B1193" s="14" t="s">
        <v>377</v>
      </c>
      <c r="C1193" t="s">
        <v>397</v>
      </c>
      <c r="D1193" s="34">
        <v>44182</v>
      </c>
      <c r="E1193" s="18">
        <v>44175</v>
      </c>
      <c r="F1193" s="34">
        <v>44186</v>
      </c>
      <c r="H1193" s="28" t="s">
        <v>41</v>
      </c>
      <c r="K1193" t="s">
        <v>381</v>
      </c>
      <c r="L1193">
        <v>50</v>
      </c>
      <c r="M1193" s="52">
        <v>35.095681228957517</v>
      </c>
    </row>
    <row r="1194" spans="1:13" x14ac:dyDescent="0.35">
      <c r="A1194" s="14" t="s">
        <v>391</v>
      </c>
      <c r="B1194" s="14" t="s">
        <v>377</v>
      </c>
      <c r="C1194" t="s">
        <v>397</v>
      </c>
      <c r="D1194" s="34">
        <v>44182</v>
      </c>
      <c r="E1194" s="18">
        <v>44175</v>
      </c>
      <c r="F1194" s="34">
        <v>44186</v>
      </c>
      <c r="H1194" s="28" t="s">
        <v>39</v>
      </c>
      <c r="K1194" t="s">
        <v>381</v>
      </c>
      <c r="L1194">
        <v>25</v>
      </c>
      <c r="M1194" s="52">
        <v>35.095681228957517</v>
      </c>
    </row>
    <row r="1195" spans="1:13" x14ac:dyDescent="0.35">
      <c r="A1195" s="14" t="s">
        <v>391</v>
      </c>
      <c r="B1195" s="14" t="s">
        <v>377</v>
      </c>
      <c r="C1195" t="s">
        <v>397</v>
      </c>
      <c r="D1195" s="34">
        <v>44182</v>
      </c>
      <c r="E1195" s="18">
        <v>44175</v>
      </c>
      <c r="F1195" s="34">
        <v>44186</v>
      </c>
      <c r="H1195" s="28" t="s">
        <v>123</v>
      </c>
      <c r="M1195" s="52">
        <v>35.095681228957517</v>
      </c>
    </row>
    <row r="1196" spans="1:13" x14ac:dyDescent="0.35">
      <c r="A1196" s="14" t="s">
        <v>391</v>
      </c>
      <c r="B1196" s="14" t="s">
        <v>377</v>
      </c>
      <c r="C1196" t="s">
        <v>397</v>
      </c>
      <c r="D1196" s="34">
        <v>44182</v>
      </c>
      <c r="E1196" s="18">
        <v>44175</v>
      </c>
      <c r="F1196" s="34">
        <v>44186</v>
      </c>
      <c r="H1196" s="28" t="s">
        <v>150</v>
      </c>
      <c r="M1196" s="52">
        <v>35.095681228957517</v>
      </c>
    </row>
    <row r="1197" spans="1:13" x14ac:dyDescent="0.35">
      <c r="A1197" s="14" t="s">
        <v>391</v>
      </c>
      <c r="B1197" s="14" t="s">
        <v>377</v>
      </c>
      <c r="C1197" t="s">
        <v>397</v>
      </c>
      <c r="D1197" s="34">
        <v>44182</v>
      </c>
      <c r="E1197" s="18">
        <v>44175</v>
      </c>
      <c r="F1197" s="34">
        <v>44186</v>
      </c>
      <c r="H1197" s="28" t="s">
        <v>127</v>
      </c>
      <c r="M1197" s="52">
        <v>35.095681228957517</v>
      </c>
    </row>
    <row r="1198" spans="1:13" x14ac:dyDescent="0.35">
      <c r="A1198" s="14" t="s">
        <v>391</v>
      </c>
      <c r="B1198" s="14" t="s">
        <v>377</v>
      </c>
      <c r="C1198" t="s">
        <v>397</v>
      </c>
      <c r="D1198" s="34">
        <v>44182</v>
      </c>
      <c r="E1198" s="18">
        <v>44175</v>
      </c>
      <c r="F1198" s="34">
        <v>44186</v>
      </c>
      <c r="H1198" s="28" t="s">
        <v>25</v>
      </c>
      <c r="K1198" t="s">
        <v>381</v>
      </c>
      <c r="L1198">
        <v>20</v>
      </c>
      <c r="M1198" s="52">
        <v>35.095681228957517</v>
      </c>
    </row>
    <row r="1199" spans="1:13" x14ac:dyDescent="0.35">
      <c r="A1199" s="14" t="s">
        <v>391</v>
      </c>
      <c r="B1199" s="14" t="s">
        <v>377</v>
      </c>
      <c r="C1199" t="s">
        <v>397</v>
      </c>
      <c r="D1199" s="34">
        <v>44182</v>
      </c>
      <c r="E1199" s="18">
        <v>44175</v>
      </c>
      <c r="F1199" s="34">
        <v>44186</v>
      </c>
      <c r="H1199" s="28" t="s">
        <v>23</v>
      </c>
      <c r="K1199" t="s">
        <v>380</v>
      </c>
      <c r="L1199">
        <v>10</v>
      </c>
      <c r="M1199" s="52">
        <v>35.095681228957517</v>
      </c>
    </row>
    <row r="1200" spans="1:13" x14ac:dyDescent="0.35">
      <c r="A1200" s="14" t="s">
        <v>391</v>
      </c>
      <c r="B1200" s="14" t="s">
        <v>377</v>
      </c>
      <c r="C1200" t="s">
        <v>397</v>
      </c>
      <c r="D1200" s="34">
        <v>44182</v>
      </c>
      <c r="E1200" s="18">
        <v>44175</v>
      </c>
      <c r="F1200" s="34">
        <v>44186</v>
      </c>
      <c r="H1200" s="28" t="s">
        <v>24</v>
      </c>
      <c r="K1200" t="s">
        <v>380</v>
      </c>
      <c r="L1200">
        <v>15</v>
      </c>
      <c r="M1200" s="52">
        <v>35.095681228957517</v>
      </c>
    </row>
    <row r="1201" spans="1:13" x14ac:dyDescent="0.35">
      <c r="A1201" s="14" t="s">
        <v>391</v>
      </c>
      <c r="B1201" s="14" t="s">
        <v>377</v>
      </c>
      <c r="C1201" t="s">
        <v>397</v>
      </c>
      <c r="D1201" s="34">
        <v>44182</v>
      </c>
      <c r="E1201" s="18">
        <v>44175</v>
      </c>
      <c r="F1201" s="34">
        <v>44186</v>
      </c>
      <c r="H1201" s="28" t="s">
        <v>27</v>
      </c>
      <c r="K1201" t="s">
        <v>380</v>
      </c>
      <c r="L1201">
        <v>10</v>
      </c>
      <c r="M1201" s="52">
        <v>35.095681228957517</v>
      </c>
    </row>
    <row r="1202" spans="1:13" x14ac:dyDescent="0.35">
      <c r="A1202" s="14" t="s">
        <v>391</v>
      </c>
      <c r="B1202" s="14" t="s">
        <v>377</v>
      </c>
      <c r="C1202" t="s">
        <v>397</v>
      </c>
      <c r="D1202" s="34">
        <v>44182</v>
      </c>
      <c r="E1202" s="18">
        <v>44175</v>
      </c>
      <c r="F1202" s="34">
        <v>44186</v>
      </c>
      <c r="H1202" s="28" t="s">
        <v>28</v>
      </c>
      <c r="K1202" t="s">
        <v>380</v>
      </c>
      <c r="L1202">
        <v>15</v>
      </c>
      <c r="M1202" s="52">
        <v>35.095681228957517</v>
      </c>
    </row>
    <row r="1203" spans="1:13" x14ac:dyDescent="0.35">
      <c r="A1203" s="14" t="s">
        <v>391</v>
      </c>
      <c r="B1203" s="14" t="s">
        <v>377</v>
      </c>
      <c r="C1203" t="s">
        <v>397</v>
      </c>
      <c r="D1203" s="34">
        <v>44182</v>
      </c>
      <c r="E1203" s="18">
        <v>44175</v>
      </c>
      <c r="F1203" s="34">
        <v>44186</v>
      </c>
      <c r="H1203" s="28" t="s">
        <v>30</v>
      </c>
      <c r="M1203" s="52">
        <v>35.095681228957517</v>
      </c>
    </row>
    <row r="1204" spans="1:13" x14ac:dyDescent="0.35">
      <c r="A1204" s="14" t="s">
        <v>391</v>
      </c>
      <c r="B1204" s="14" t="s">
        <v>377</v>
      </c>
      <c r="C1204" t="s">
        <v>397</v>
      </c>
      <c r="D1204" s="34">
        <v>44182</v>
      </c>
      <c r="E1204" s="18">
        <v>44175</v>
      </c>
      <c r="F1204" s="34">
        <v>44186</v>
      </c>
      <c r="H1204" s="28" t="s">
        <v>29</v>
      </c>
      <c r="K1204" t="s">
        <v>381</v>
      </c>
      <c r="L1204">
        <v>33</v>
      </c>
      <c r="M1204" s="52">
        <v>35.095681228957517</v>
      </c>
    </row>
    <row r="1205" spans="1:13" x14ac:dyDescent="0.35">
      <c r="A1205" s="14" t="s">
        <v>391</v>
      </c>
      <c r="B1205" s="14" t="s">
        <v>377</v>
      </c>
      <c r="C1205" t="s">
        <v>397</v>
      </c>
      <c r="D1205" s="34">
        <v>44182</v>
      </c>
      <c r="E1205" s="18">
        <v>44175</v>
      </c>
      <c r="F1205" s="34">
        <v>44186</v>
      </c>
      <c r="H1205" s="28" t="s">
        <v>190</v>
      </c>
      <c r="M1205" s="52">
        <v>35.095681228957517</v>
      </c>
    </row>
    <row r="1206" spans="1:13" x14ac:dyDescent="0.35">
      <c r="A1206" s="14" t="s">
        <v>391</v>
      </c>
      <c r="B1206" s="14" t="s">
        <v>377</v>
      </c>
      <c r="C1206" t="s">
        <v>397</v>
      </c>
      <c r="D1206" s="34">
        <v>44182</v>
      </c>
      <c r="E1206" s="18">
        <v>44175</v>
      </c>
      <c r="F1206" s="34">
        <v>44186</v>
      </c>
      <c r="H1206" s="28" t="s">
        <v>198</v>
      </c>
      <c r="M1206" s="52">
        <v>35.095681228957517</v>
      </c>
    </row>
    <row r="1207" spans="1:13" x14ac:dyDescent="0.35">
      <c r="A1207" s="14" t="s">
        <v>391</v>
      </c>
      <c r="B1207" s="14" t="s">
        <v>377</v>
      </c>
      <c r="C1207" t="s">
        <v>397</v>
      </c>
      <c r="D1207" s="34">
        <v>44182</v>
      </c>
      <c r="E1207" s="18">
        <v>44175</v>
      </c>
      <c r="F1207" s="34">
        <v>44186</v>
      </c>
      <c r="H1207" s="28" t="s">
        <v>393</v>
      </c>
      <c r="M1207" s="52">
        <v>35.095681228957517</v>
      </c>
    </row>
    <row r="1208" spans="1:13" x14ac:dyDescent="0.35">
      <c r="A1208" s="14" t="s">
        <v>391</v>
      </c>
      <c r="B1208" s="14" t="s">
        <v>377</v>
      </c>
      <c r="C1208" t="s">
        <v>397</v>
      </c>
      <c r="D1208" s="34">
        <v>44182</v>
      </c>
      <c r="E1208" s="18">
        <v>44175</v>
      </c>
      <c r="F1208" s="34">
        <v>44186</v>
      </c>
      <c r="H1208" s="28" t="s">
        <v>204</v>
      </c>
      <c r="M1208" s="52">
        <v>35.095681228957517</v>
      </c>
    </row>
    <row r="1209" spans="1:13" x14ac:dyDescent="0.35">
      <c r="A1209" s="14" t="s">
        <v>391</v>
      </c>
      <c r="B1209" s="14" t="s">
        <v>377</v>
      </c>
      <c r="C1209" t="s">
        <v>397</v>
      </c>
      <c r="D1209" s="34">
        <v>44182</v>
      </c>
      <c r="E1209" s="18">
        <v>44175</v>
      </c>
      <c r="F1209" s="34">
        <v>44186</v>
      </c>
      <c r="H1209" s="28" t="s">
        <v>208</v>
      </c>
      <c r="M1209" s="52">
        <v>35.095681228957517</v>
      </c>
    </row>
    <row r="1210" spans="1:13" x14ac:dyDescent="0.35">
      <c r="A1210" s="14" t="s">
        <v>391</v>
      </c>
      <c r="B1210" s="14" t="s">
        <v>377</v>
      </c>
      <c r="C1210" t="s">
        <v>397</v>
      </c>
      <c r="D1210" s="34">
        <v>44182</v>
      </c>
      <c r="E1210" s="18">
        <v>44175</v>
      </c>
      <c r="F1210" s="34">
        <v>44186</v>
      </c>
      <c r="H1210" s="28" t="s">
        <v>210</v>
      </c>
      <c r="M1210" s="52">
        <v>35.095681228957517</v>
      </c>
    </row>
    <row r="1211" spans="1:13" x14ac:dyDescent="0.35">
      <c r="A1211" s="14" t="s">
        <v>391</v>
      </c>
      <c r="B1211" s="14" t="s">
        <v>377</v>
      </c>
      <c r="C1211" t="s">
        <v>397</v>
      </c>
      <c r="D1211" s="34">
        <v>44182</v>
      </c>
      <c r="E1211" s="18">
        <v>44175</v>
      </c>
      <c r="F1211" s="34">
        <v>44186</v>
      </c>
      <c r="H1211" s="28" t="s">
        <v>223</v>
      </c>
      <c r="M1211" s="52">
        <v>35.095681228957517</v>
      </c>
    </row>
    <row r="1212" spans="1:13" x14ac:dyDescent="0.35">
      <c r="A1212" s="14" t="s">
        <v>391</v>
      </c>
      <c r="B1212" s="14" t="s">
        <v>377</v>
      </c>
      <c r="C1212" t="s">
        <v>397</v>
      </c>
      <c r="D1212" s="34">
        <v>44182</v>
      </c>
      <c r="E1212" s="18">
        <v>44175</v>
      </c>
      <c r="F1212" s="34">
        <v>44186</v>
      </c>
      <c r="H1212" s="28" t="s">
        <v>56</v>
      </c>
      <c r="K1212" t="s">
        <v>381</v>
      </c>
      <c r="L1212">
        <v>30</v>
      </c>
      <c r="M1212" s="52">
        <v>35.095681228957517</v>
      </c>
    </row>
    <row r="1213" spans="1:13" x14ac:dyDescent="0.35">
      <c r="A1213" s="14" t="s">
        <v>391</v>
      </c>
      <c r="B1213" s="14" t="s">
        <v>377</v>
      </c>
      <c r="C1213" t="s">
        <v>397</v>
      </c>
      <c r="D1213" s="34">
        <v>44182</v>
      </c>
      <c r="E1213" s="18">
        <v>44175</v>
      </c>
      <c r="F1213" s="34">
        <v>44186</v>
      </c>
      <c r="H1213" s="28" t="s">
        <v>263</v>
      </c>
      <c r="M1213" s="52">
        <v>35.095681228957517</v>
      </c>
    </row>
    <row r="1214" spans="1:13" x14ac:dyDescent="0.35">
      <c r="A1214" s="14" t="s">
        <v>391</v>
      </c>
      <c r="B1214" s="14" t="s">
        <v>377</v>
      </c>
      <c r="C1214" t="s">
        <v>397</v>
      </c>
      <c r="D1214" s="34">
        <v>44182</v>
      </c>
      <c r="E1214" s="18">
        <v>44175</v>
      </c>
      <c r="F1214" s="34">
        <v>44186</v>
      </c>
      <c r="H1214" s="28" t="s">
        <v>287</v>
      </c>
      <c r="M1214" s="52">
        <v>35.095681228957517</v>
      </c>
    </row>
    <row r="1215" spans="1:13" x14ac:dyDescent="0.35">
      <c r="A1215" s="14" t="s">
        <v>391</v>
      </c>
      <c r="B1215" s="14" t="s">
        <v>377</v>
      </c>
      <c r="C1215" t="s">
        <v>397</v>
      </c>
      <c r="D1215" s="34">
        <v>44182</v>
      </c>
      <c r="E1215" s="18">
        <v>44175</v>
      </c>
      <c r="F1215" s="34">
        <v>44186</v>
      </c>
      <c r="H1215" s="28" t="s">
        <v>309</v>
      </c>
      <c r="M1215" s="52">
        <v>35.095681228957517</v>
      </c>
    </row>
    <row r="1216" spans="1:13" x14ac:dyDescent="0.35">
      <c r="A1216" s="14" t="s">
        <v>391</v>
      </c>
      <c r="B1216" s="14" t="s">
        <v>377</v>
      </c>
      <c r="C1216" t="s">
        <v>397</v>
      </c>
      <c r="D1216" s="34">
        <v>44182</v>
      </c>
      <c r="E1216" s="18">
        <v>44175</v>
      </c>
      <c r="F1216" s="34">
        <v>44186</v>
      </c>
      <c r="H1216" s="28" t="s">
        <v>311</v>
      </c>
      <c r="M1216" s="52">
        <v>35.095681228957517</v>
      </c>
    </row>
    <row r="1217" spans="1:13" x14ac:dyDescent="0.35">
      <c r="A1217" s="14" t="s">
        <v>391</v>
      </c>
      <c r="B1217" s="14" t="s">
        <v>377</v>
      </c>
      <c r="C1217" t="s">
        <v>397</v>
      </c>
      <c r="D1217" s="34">
        <v>44182</v>
      </c>
      <c r="E1217" s="18">
        <v>44175</v>
      </c>
      <c r="F1217" s="34">
        <v>44186</v>
      </c>
      <c r="H1217" s="28" t="s">
        <v>315</v>
      </c>
      <c r="K1217" t="s">
        <v>381</v>
      </c>
      <c r="L1217">
        <v>30</v>
      </c>
      <c r="M1217" s="52">
        <v>35.095681228957517</v>
      </c>
    </row>
    <row r="1218" spans="1:13" x14ac:dyDescent="0.35">
      <c r="A1218" s="14" t="s">
        <v>391</v>
      </c>
      <c r="B1218" s="14" t="s">
        <v>377</v>
      </c>
      <c r="C1218" t="s">
        <v>397</v>
      </c>
      <c r="D1218" s="34">
        <v>44182</v>
      </c>
      <c r="E1218" s="18">
        <v>44175</v>
      </c>
      <c r="F1218" s="34">
        <v>44186</v>
      </c>
      <c r="H1218" s="28" t="s">
        <v>313</v>
      </c>
      <c r="K1218" t="s">
        <v>381</v>
      </c>
      <c r="L1218">
        <v>50</v>
      </c>
      <c r="M1218" s="52">
        <v>35.095681228957517</v>
      </c>
    </row>
    <row r="1219" spans="1:13" x14ac:dyDescent="0.35">
      <c r="A1219" s="14" t="s">
        <v>391</v>
      </c>
      <c r="B1219" s="14" t="s">
        <v>377</v>
      </c>
      <c r="C1219" t="s">
        <v>397</v>
      </c>
      <c r="D1219" s="34">
        <v>44182</v>
      </c>
      <c r="E1219" s="18">
        <v>44175</v>
      </c>
      <c r="F1219" s="34">
        <v>44186</v>
      </c>
      <c r="H1219" s="28" t="s">
        <v>32</v>
      </c>
      <c r="K1219" t="s">
        <v>380</v>
      </c>
      <c r="L1219">
        <v>6</v>
      </c>
      <c r="M1219" s="52">
        <v>35.095681228957517</v>
      </c>
    </row>
    <row r="1220" spans="1:13" x14ac:dyDescent="0.35">
      <c r="A1220" s="14" t="s">
        <v>391</v>
      </c>
      <c r="B1220" s="14" t="s">
        <v>377</v>
      </c>
      <c r="C1220" t="s">
        <v>397</v>
      </c>
      <c r="D1220" s="34">
        <v>44182</v>
      </c>
      <c r="E1220" s="18">
        <v>44175</v>
      </c>
      <c r="F1220" s="34">
        <v>44186</v>
      </c>
      <c r="H1220" s="28" t="s">
        <v>60</v>
      </c>
      <c r="K1220" t="s">
        <v>380</v>
      </c>
      <c r="L1220">
        <v>6</v>
      </c>
      <c r="M1220" s="52">
        <v>35.095681228957517</v>
      </c>
    </row>
    <row r="1221" spans="1:13" x14ac:dyDescent="0.35">
      <c r="A1221" s="14" t="s">
        <v>391</v>
      </c>
      <c r="B1221" s="14" t="s">
        <v>377</v>
      </c>
      <c r="C1221" t="s">
        <v>397</v>
      </c>
      <c r="D1221" s="34">
        <v>44182</v>
      </c>
      <c r="E1221" s="18">
        <v>44175</v>
      </c>
      <c r="F1221" s="34">
        <v>44186</v>
      </c>
      <c r="H1221" s="28" t="s">
        <v>335</v>
      </c>
      <c r="M1221" s="52">
        <v>35.095681228957517</v>
      </c>
    </row>
    <row r="1222" spans="1:13" x14ac:dyDescent="0.35">
      <c r="A1222" s="14" t="s">
        <v>391</v>
      </c>
      <c r="B1222" s="14" t="s">
        <v>377</v>
      </c>
      <c r="C1222" t="s">
        <v>397</v>
      </c>
      <c r="D1222" s="34">
        <v>44182</v>
      </c>
      <c r="E1222" s="18">
        <v>44175</v>
      </c>
      <c r="F1222" s="34">
        <v>44186</v>
      </c>
      <c r="H1222" s="28" t="s">
        <v>339</v>
      </c>
      <c r="M1222" s="52">
        <v>35.095681228957517</v>
      </c>
    </row>
    <row r="1223" spans="1:13" x14ac:dyDescent="0.35">
      <c r="A1223" s="14" t="s">
        <v>391</v>
      </c>
      <c r="B1223" s="14" t="s">
        <v>377</v>
      </c>
      <c r="C1223" t="s">
        <v>397</v>
      </c>
      <c r="D1223" s="34">
        <v>44182</v>
      </c>
      <c r="E1223" s="18">
        <v>44175</v>
      </c>
      <c r="F1223" s="34">
        <v>44186</v>
      </c>
      <c r="H1223" s="28" t="s">
        <v>341</v>
      </c>
      <c r="M1223" s="52">
        <v>35.095681228957517</v>
      </c>
    </row>
    <row r="1224" spans="1:13" x14ac:dyDescent="0.35">
      <c r="A1224" s="14" t="s">
        <v>391</v>
      </c>
      <c r="B1224" s="14" t="s">
        <v>377</v>
      </c>
      <c r="C1224" t="s">
        <v>397</v>
      </c>
      <c r="D1224" s="34">
        <v>44182</v>
      </c>
      <c r="E1224" s="18">
        <v>44175</v>
      </c>
      <c r="F1224" s="34">
        <v>44186</v>
      </c>
      <c r="H1224" s="28" t="s">
        <v>345</v>
      </c>
      <c r="K1224" t="s">
        <v>381</v>
      </c>
      <c r="L1224">
        <v>50</v>
      </c>
      <c r="M1224" s="52">
        <v>35.095681228957517</v>
      </c>
    </row>
    <row r="1225" spans="1:13" x14ac:dyDescent="0.35">
      <c r="A1225" s="14" t="s">
        <v>391</v>
      </c>
      <c r="B1225" s="14" t="s">
        <v>377</v>
      </c>
      <c r="C1225" t="s">
        <v>397</v>
      </c>
      <c r="D1225" s="34">
        <v>44182</v>
      </c>
      <c r="E1225" s="18">
        <v>44175</v>
      </c>
      <c r="F1225" s="34">
        <v>44186</v>
      </c>
      <c r="H1225" s="28" t="s">
        <v>59</v>
      </c>
      <c r="M1225" s="52">
        <v>35.095681228957517</v>
      </c>
    </row>
    <row r="1226" spans="1:13" x14ac:dyDescent="0.35">
      <c r="A1226" s="14" t="s">
        <v>391</v>
      </c>
      <c r="B1226" s="14" t="s">
        <v>377</v>
      </c>
      <c r="C1226" t="s">
        <v>397</v>
      </c>
      <c r="D1226" s="34">
        <v>44182</v>
      </c>
      <c r="E1226" s="18">
        <v>44175</v>
      </c>
      <c r="F1226" s="34">
        <v>44186</v>
      </c>
      <c r="H1226" s="28" t="s">
        <v>360</v>
      </c>
      <c r="M1226" s="52">
        <v>35.095681228957517</v>
      </c>
    </row>
    <row r="1227" spans="1:13" x14ac:dyDescent="0.35">
      <c r="A1227" s="14" t="s">
        <v>391</v>
      </c>
      <c r="B1227" s="14" t="s">
        <v>377</v>
      </c>
      <c r="C1227" t="s">
        <v>394</v>
      </c>
      <c r="D1227" s="18">
        <v>44181</v>
      </c>
      <c r="E1227" s="34">
        <v>44176</v>
      </c>
      <c r="F1227" s="34">
        <v>44180</v>
      </c>
      <c r="H1227" s="28" t="s">
        <v>68</v>
      </c>
      <c r="M1227" s="52">
        <v>12.70471053592356</v>
      </c>
    </row>
    <row r="1228" spans="1:13" x14ac:dyDescent="0.35">
      <c r="A1228" s="14" t="s">
        <v>391</v>
      </c>
      <c r="B1228" s="14" t="s">
        <v>377</v>
      </c>
      <c r="C1228" t="s">
        <v>394</v>
      </c>
      <c r="D1228" s="18">
        <v>44181</v>
      </c>
      <c r="E1228" s="34">
        <v>44176</v>
      </c>
      <c r="F1228" s="34">
        <v>44180</v>
      </c>
      <c r="H1228" s="28" t="s">
        <v>96</v>
      </c>
      <c r="M1228" s="52">
        <v>12.70471053592356</v>
      </c>
    </row>
    <row r="1229" spans="1:13" x14ac:dyDescent="0.35">
      <c r="A1229" s="14" t="s">
        <v>391</v>
      </c>
      <c r="B1229" s="14" t="s">
        <v>377</v>
      </c>
      <c r="C1229" t="s">
        <v>394</v>
      </c>
      <c r="D1229" s="18">
        <v>44181</v>
      </c>
      <c r="E1229" s="34">
        <v>44176</v>
      </c>
      <c r="F1229" s="34">
        <v>44180</v>
      </c>
      <c r="H1229" s="28" t="s">
        <v>72</v>
      </c>
      <c r="M1229" s="52">
        <v>12.70471053592356</v>
      </c>
    </row>
    <row r="1230" spans="1:13" x14ac:dyDescent="0.35">
      <c r="A1230" s="14" t="s">
        <v>391</v>
      </c>
      <c r="B1230" s="14" t="s">
        <v>377</v>
      </c>
      <c r="C1230" t="s">
        <v>394</v>
      </c>
      <c r="D1230" s="18">
        <v>44181</v>
      </c>
      <c r="E1230" s="34">
        <v>44176</v>
      </c>
      <c r="F1230" s="34">
        <v>44180</v>
      </c>
      <c r="H1230" s="28" t="s">
        <v>47</v>
      </c>
      <c r="K1230" t="s">
        <v>381</v>
      </c>
      <c r="L1230">
        <v>20</v>
      </c>
      <c r="M1230" s="52">
        <v>12.70471053592356</v>
      </c>
    </row>
    <row r="1231" spans="1:13" x14ac:dyDescent="0.35">
      <c r="A1231" s="14" t="s">
        <v>391</v>
      </c>
      <c r="B1231" s="14" t="s">
        <v>377</v>
      </c>
      <c r="C1231" t="s">
        <v>394</v>
      </c>
      <c r="D1231" s="18">
        <v>44181</v>
      </c>
      <c r="E1231" s="34">
        <v>44176</v>
      </c>
      <c r="F1231" s="34">
        <v>44180</v>
      </c>
      <c r="H1231" s="28" t="s">
        <v>50</v>
      </c>
      <c r="K1231" t="s">
        <v>381</v>
      </c>
      <c r="L1231">
        <v>50</v>
      </c>
      <c r="M1231" s="52">
        <v>12.70471053592356</v>
      </c>
    </row>
    <row r="1232" spans="1:13" x14ac:dyDescent="0.35">
      <c r="A1232" s="14" t="s">
        <v>391</v>
      </c>
      <c r="B1232" s="14" t="s">
        <v>377</v>
      </c>
      <c r="C1232" t="s">
        <v>394</v>
      </c>
      <c r="D1232" s="18">
        <v>44181</v>
      </c>
      <c r="E1232" s="34">
        <v>44176</v>
      </c>
      <c r="F1232" s="34">
        <v>44180</v>
      </c>
      <c r="H1232" s="28" t="s">
        <v>408</v>
      </c>
      <c r="M1232" s="52">
        <v>12.70471053592356</v>
      </c>
    </row>
    <row r="1233" spans="1:13" x14ac:dyDescent="0.35">
      <c r="A1233" s="14" t="s">
        <v>391</v>
      </c>
      <c r="B1233" s="14" t="s">
        <v>377</v>
      </c>
      <c r="C1233" t="s">
        <v>394</v>
      </c>
      <c r="D1233" s="18">
        <v>44181</v>
      </c>
      <c r="E1233" s="34">
        <v>44176</v>
      </c>
      <c r="F1233" s="34">
        <v>44180</v>
      </c>
      <c r="H1233" s="28" t="s">
        <v>41</v>
      </c>
      <c r="K1233" t="s">
        <v>381</v>
      </c>
      <c r="L1233">
        <v>50</v>
      </c>
      <c r="M1233" s="52">
        <v>12.70471053592356</v>
      </c>
    </row>
    <row r="1234" spans="1:13" x14ac:dyDescent="0.35">
      <c r="A1234" s="14" t="s">
        <v>391</v>
      </c>
      <c r="B1234" s="14" t="s">
        <v>377</v>
      </c>
      <c r="C1234" t="s">
        <v>394</v>
      </c>
      <c r="D1234" s="18">
        <v>44181</v>
      </c>
      <c r="E1234" s="34">
        <v>44176</v>
      </c>
      <c r="F1234" s="34">
        <v>44180</v>
      </c>
      <c r="H1234" s="28" t="s">
        <v>39</v>
      </c>
      <c r="K1234" t="s">
        <v>381</v>
      </c>
      <c r="L1234">
        <v>25</v>
      </c>
      <c r="M1234" s="52">
        <v>12.70471053592356</v>
      </c>
    </row>
    <row r="1235" spans="1:13" x14ac:dyDescent="0.35">
      <c r="A1235" s="14" t="s">
        <v>391</v>
      </c>
      <c r="B1235" s="14" t="s">
        <v>377</v>
      </c>
      <c r="C1235" t="s">
        <v>394</v>
      </c>
      <c r="D1235" s="18">
        <v>44181</v>
      </c>
      <c r="E1235" s="34">
        <v>44176</v>
      </c>
      <c r="F1235" s="34">
        <v>44180</v>
      </c>
      <c r="H1235" s="28" t="s">
        <v>116</v>
      </c>
      <c r="K1235" t="s">
        <v>381</v>
      </c>
      <c r="L1235">
        <v>25</v>
      </c>
      <c r="M1235" s="52">
        <v>12.70471053592356</v>
      </c>
    </row>
    <row r="1236" spans="1:13" x14ac:dyDescent="0.35">
      <c r="A1236" s="14" t="s">
        <v>391</v>
      </c>
      <c r="B1236" s="14" t="s">
        <v>377</v>
      </c>
      <c r="C1236" t="s">
        <v>394</v>
      </c>
      <c r="D1236" s="18">
        <v>44181</v>
      </c>
      <c r="E1236" s="34">
        <v>44176</v>
      </c>
      <c r="F1236" s="34">
        <v>44180</v>
      </c>
      <c r="H1236" s="28" t="s">
        <v>123</v>
      </c>
      <c r="M1236" s="52">
        <v>12.70471053592356</v>
      </c>
    </row>
    <row r="1237" spans="1:13" x14ac:dyDescent="0.35">
      <c r="A1237" s="14" t="s">
        <v>391</v>
      </c>
      <c r="B1237" s="14" t="s">
        <v>377</v>
      </c>
      <c r="C1237" t="s">
        <v>394</v>
      </c>
      <c r="D1237" s="18">
        <v>44181</v>
      </c>
      <c r="E1237" s="34">
        <v>44176</v>
      </c>
      <c r="F1237" s="34">
        <v>44180</v>
      </c>
      <c r="H1237" s="28" t="s">
        <v>150</v>
      </c>
      <c r="M1237" s="52">
        <v>12.70471053592356</v>
      </c>
    </row>
    <row r="1238" spans="1:13" x14ac:dyDescent="0.35">
      <c r="A1238" s="14" t="s">
        <v>391</v>
      </c>
      <c r="B1238" s="14" t="s">
        <v>377</v>
      </c>
      <c r="C1238" t="s">
        <v>394</v>
      </c>
      <c r="D1238" s="18">
        <v>44181</v>
      </c>
      <c r="E1238" s="34">
        <v>44176</v>
      </c>
      <c r="F1238" s="34">
        <v>44180</v>
      </c>
      <c r="H1238" s="28" t="s">
        <v>125</v>
      </c>
      <c r="M1238" s="52">
        <v>12.70471053592356</v>
      </c>
    </row>
    <row r="1239" spans="1:13" x14ac:dyDescent="0.35">
      <c r="A1239" s="14" t="s">
        <v>391</v>
      </c>
      <c r="B1239" s="14" t="s">
        <v>377</v>
      </c>
      <c r="C1239" t="s">
        <v>394</v>
      </c>
      <c r="D1239" s="18">
        <v>44181</v>
      </c>
      <c r="E1239" s="34">
        <v>44176</v>
      </c>
      <c r="F1239" s="34">
        <v>44180</v>
      </c>
      <c r="H1239" s="28" t="s">
        <v>127</v>
      </c>
      <c r="M1239" s="52">
        <v>12.70471053592356</v>
      </c>
    </row>
    <row r="1240" spans="1:13" x14ac:dyDescent="0.35">
      <c r="A1240" s="14" t="s">
        <v>391</v>
      </c>
      <c r="B1240" s="14" t="s">
        <v>377</v>
      </c>
      <c r="C1240" t="s">
        <v>394</v>
      </c>
      <c r="D1240" s="18">
        <v>44181</v>
      </c>
      <c r="E1240" s="34">
        <v>44176</v>
      </c>
      <c r="F1240" s="34">
        <v>44180</v>
      </c>
      <c r="H1240" s="28" t="s">
        <v>42</v>
      </c>
      <c r="K1240" t="s">
        <v>380</v>
      </c>
      <c r="L1240">
        <v>6</v>
      </c>
      <c r="M1240" s="52">
        <v>12.70471053592356</v>
      </c>
    </row>
    <row r="1241" spans="1:13" x14ac:dyDescent="0.35">
      <c r="A1241" s="14" t="s">
        <v>391</v>
      </c>
      <c r="B1241" s="14" t="s">
        <v>377</v>
      </c>
      <c r="C1241" t="s">
        <v>394</v>
      </c>
      <c r="D1241" s="18">
        <v>44181</v>
      </c>
      <c r="E1241" s="34">
        <v>44176</v>
      </c>
      <c r="F1241" s="34">
        <v>44180</v>
      </c>
      <c r="H1241" s="28" t="s">
        <v>25</v>
      </c>
      <c r="K1241" t="s">
        <v>381</v>
      </c>
      <c r="L1241">
        <v>20</v>
      </c>
      <c r="M1241" s="52">
        <v>12.70471053592356</v>
      </c>
    </row>
    <row r="1242" spans="1:13" x14ac:dyDescent="0.35">
      <c r="A1242" s="14" t="s">
        <v>391</v>
      </c>
      <c r="B1242" s="14" t="s">
        <v>377</v>
      </c>
      <c r="C1242" t="s">
        <v>394</v>
      </c>
      <c r="D1242" s="18">
        <v>44181</v>
      </c>
      <c r="E1242" s="34">
        <v>44176</v>
      </c>
      <c r="F1242" s="34">
        <v>44180</v>
      </c>
      <c r="H1242" s="28" t="s">
        <v>25</v>
      </c>
      <c r="K1242" t="s">
        <v>381</v>
      </c>
      <c r="L1242">
        <v>40</v>
      </c>
      <c r="M1242" s="52">
        <v>12.70471053592356</v>
      </c>
    </row>
    <row r="1243" spans="1:13" x14ac:dyDescent="0.35">
      <c r="A1243" s="14" t="s">
        <v>391</v>
      </c>
      <c r="B1243" s="14" t="s">
        <v>377</v>
      </c>
      <c r="C1243" t="s">
        <v>394</v>
      </c>
      <c r="D1243" s="18">
        <v>44181</v>
      </c>
      <c r="E1243" s="34">
        <v>44176</v>
      </c>
      <c r="F1243" s="34">
        <v>44180</v>
      </c>
      <c r="H1243" s="28" t="s">
        <v>23</v>
      </c>
      <c r="K1243" t="s">
        <v>380</v>
      </c>
      <c r="L1243">
        <v>6</v>
      </c>
      <c r="M1243" s="52">
        <v>12.70471053592356</v>
      </c>
    </row>
    <row r="1244" spans="1:13" x14ac:dyDescent="0.35">
      <c r="A1244" s="14" t="s">
        <v>391</v>
      </c>
      <c r="B1244" s="14" t="s">
        <v>377</v>
      </c>
      <c r="C1244" t="s">
        <v>394</v>
      </c>
      <c r="D1244" s="18">
        <v>44181</v>
      </c>
      <c r="E1244" s="34">
        <v>44176</v>
      </c>
      <c r="F1244" s="34">
        <v>44180</v>
      </c>
      <c r="H1244" s="28" t="s">
        <v>24</v>
      </c>
      <c r="K1244" t="s">
        <v>380</v>
      </c>
      <c r="L1244">
        <v>6</v>
      </c>
      <c r="M1244" s="52">
        <v>12.70471053592356</v>
      </c>
    </row>
    <row r="1245" spans="1:13" x14ac:dyDescent="0.35">
      <c r="A1245" s="14" t="s">
        <v>391</v>
      </c>
      <c r="B1245" s="14" t="s">
        <v>377</v>
      </c>
      <c r="C1245" t="s">
        <v>394</v>
      </c>
      <c r="D1245" s="18">
        <v>44181</v>
      </c>
      <c r="E1245" s="34">
        <v>44176</v>
      </c>
      <c r="F1245" s="34">
        <v>44180</v>
      </c>
      <c r="H1245" s="28" t="s">
        <v>23</v>
      </c>
      <c r="K1245" t="s">
        <v>380</v>
      </c>
      <c r="L1245">
        <v>10</v>
      </c>
      <c r="M1245" s="52">
        <v>12.70471053592356</v>
      </c>
    </row>
    <row r="1246" spans="1:13" x14ac:dyDescent="0.35">
      <c r="A1246" s="14" t="s">
        <v>391</v>
      </c>
      <c r="B1246" s="14" t="s">
        <v>377</v>
      </c>
      <c r="C1246" t="s">
        <v>394</v>
      </c>
      <c r="D1246" s="18">
        <v>44181</v>
      </c>
      <c r="E1246" s="34">
        <v>44176</v>
      </c>
      <c r="F1246" s="34">
        <v>44180</v>
      </c>
      <c r="H1246" s="28" t="s">
        <v>24</v>
      </c>
      <c r="K1246" t="s">
        <v>380</v>
      </c>
      <c r="L1246">
        <v>15</v>
      </c>
      <c r="M1246" s="52">
        <v>12.70471053592356</v>
      </c>
    </row>
    <row r="1247" spans="1:13" x14ac:dyDescent="0.35">
      <c r="A1247" s="14" t="s">
        <v>391</v>
      </c>
      <c r="B1247" s="14" t="s">
        <v>377</v>
      </c>
      <c r="C1247" t="s">
        <v>394</v>
      </c>
      <c r="D1247" s="18">
        <v>44181</v>
      </c>
      <c r="E1247" s="34">
        <v>44176</v>
      </c>
      <c r="F1247" s="34">
        <v>44180</v>
      </c>
      <c r="H1247" s="28" t="s">
        <v>27</v>
      </c>
      <c r="K1247" t="s">
        <v>380</v>
      </c>
      <c r="L1247">
        <v>10</v>
      </c>
      <c r="M1247" s="52">
        <v>12.70471053592356</v>
      </c>
    </row>
    <row r="1248" spans="1:13" x14ac:dyDescent="0.35">
      <c r="A1248" s="14" t="s">
        <v>391</v>
      </c>
      <c r="B1248" s="14" t="s">
        <v>377</v>
      </c>
      <c r="C1248" t="s">
        <v>394</v>
      </c>
      <c r="D1248" s="18">
        <v>44181</v>
      </c>
      <c r="E1248" s="34">
        <v>44176</v>
      </c>
      <c r="F1248" s="34">
        <v>44180</v>
      </c>
      <c r="H1248" s="28" t="s">
        <v>28</v>
      </c>
      <c r="K1248" t="s">
        <v>380</v>
      </c>
      <c r="L1248">
        <v>15</v>
      </c>
      <c r="M1248" s="52">
        <v>12.70471053592356</v>
      </c>
    </row>
    <row r="1249" spans="1:13" x14ac:dyDescent="0.35">
      <c r="A1249" s="14" t="s">
        <v>391</v>
      </c>
      <c r="B1249" s="14" t="s">
        <v>377</v>
      </c>
      <c r="C1249" t="s">
        <v>394</v>
      </c>
      <c r="D1249" s="18">
        <v>44181</v>
      </c>
      <c r="E1249" s="34">
        <v>44176</v>
      </c>
      <c r="F1249" s="34">
        <v>44180</v>
      </c>
      <c r="H1249" s="28" t="s">
        <v>30</v>
      </c>
      <c r="K1249" t="s">
        <v>381</v>
      </c>
      <c r="L1249">
        <v>33</v>
      </c>
      <c r="M1249" s="52">
        <v>12.70471053592356</v>
      </c>
    </row>
    <row r="1250" spans="1:13" x14ac:dyDescent="0.35">
      <c r="A1250" s="14" t="s">
        <v>391</v>
      </c>
      <c r="B1250" s="14" t="s">
        <v>377</v>
      </c>
      <c r="C1250" t="s">
        <v>394</v>
      </c>
      <c r="D1250" s="18">
        <v>44181</v>
      </c>
      <c r="E1250" s="34">
        <v>44176</v>
      </c>
      <c r="F1250" s="34">
        <v>44180</v>
      </c>
      <c r="H1250" s="28" t="s">
        <v>29</v>
      </c>
      <c r="K1250" t="s">
        <v>381</v>
      </c>
      <c r="L1250">
        <v>33</v>
      </c>
      <c r="M1250" s="52">
        <v>12.70471053592356</v>
      </c>
    </row>
    <row r="1251" spans="1:13" x14ac:dyDescent="0.35">
      <c r="A1251" s="14" t="s">
        <v>391</v>
      </c>
      <c r="B1251" s="14" t="s">
        <v>377</v>
      </c>
      <c r="C1251" t="s">
        <v>394</v>
      </c>
      <c r="D1251" s="18">
        <v>44181</v>
      </c>
      <c r="E1251" s="34">
        <v>44176</v>
      </c>
      <c r="F1251" s="34">
        <v>44180</v>
      </c>
      <c r="H1251" s="28" t="s">
        <v>188</v>
      </c>
      <c r="M1251" s="52">
        <v>12.70471053592356</v>
      </c>
    </row>
    <row r="1252" spans="1:13" x14ac:dyDescent="0.35">
      <c r="A1252" s="14" t="s">
        <v>391</v>
      </c>
      <c r="B1252" s="14" t="s">
        <v>377</v>
      </c>
      <c r="C1252" t="s">
        <v>394</v>
      </c>
      <c r="D1252" s="18">
        <v>44181</v>
      </c>
      <c r="E1252" s="34">
        <v>44176</v>
      </c>
      <c r="F1252" s="34">
        <v>44180</v>
      </c>
      <c r="H1252" s="28" t="s">
        <v>190</v>
      </c>
      <c r="M1252" s="52">
        <v>12.70471053592356</v>
      </c>
    </row>
    <row r="1253" spans="1:13" x14ac:dyDescent="0.35">
      <c r="A1253" s="14" t="s">
        <v>391</v>
      </c>
      <c r="B1253" s="14" t="s">
        <v>377</v>
      </c>
      <c r="C1253" t="s">
        <v>394</v>
      </c>
      <c r="D1253" s="18">
        <v>44181</v>
      </c>
      <c r="E1253" s="34">
        <v>44176</v>
      </c>
      <c r="F1253" s="34">
        <v>44180</v>
      </c>
      <c r="H1253" s="28" t="s">
        <v>192</v>
      </c>
      <c r="M1253" s="52">
        <v>12.70471053592356</v>
      </c>
    </row>
    <row r="1254" spans="1:13" x14ac:dyDescent="0.35">
      <c r="A1254" s="14" t="s">
        <v>391</v>
      </c>
      <c r="B1254" s="14" t="s">
        <v>377</v>
      </c>
      <c r="C1254" t="s">
        <v>394</v>
      </c>
      <c r="D1254" s="18">
        <v>44181</v>
      </c>
      <c r="E1254" s="34">
        <v>44176</v>
      </c>
      <c r="F1254" s="34">
        <v>44180</v>
      </c>
      <c r="H1254" s="28" t="s">
        <v>198</v>
      </c>
      <c r="M1254" s="52">
        <v>12.70471053592356</v>
      </c>
    </row>
    <row r="1255" spans="1:13" x14ac:dyDescent="0.35">
      <c r="A1255" s="14" t="s">
        <v>391</v>
      </c>
      <c r="B1255" s="14" t="s">
        <v>377</v>
      </c>
      <c r="C1255" t="s">
        <v>394</v>
      </c>
      <c r="D1255" s="18">
        <v>44181</v>
      </c>
      <c r="E1255" s="34">
        <v>44176</v>
      </c>
      <c r="F1255" s="34">
        <v>44180</v>
      </c>
      <c r="H1255" s="28" t="s">
        <v>393</v>
      </c>
      <c r="M1255" s="52">
        <v>12.70471053592356</v>
      </c>
    </row>
    <row r="1256" spans="1:13" x14ac:dyDescent="0.35">
      <c r="A1256" s="14" t="s">
        <v>391</v>
      </c>
      <c r="B1256" s="14" t="s">
        <v>377</v>
      </c>
      <c r="C1256" t="s">
        <v>394</v>
      </c>
      <c r="D1256" s="18">
        <v>44181</v>
      </c>
      <c r="E1256" s="34">
        <v>44176</v>
      </c>
      <c r="F1256" s="34">
        <v>44180</v>
      </c>
      <c r="H1256" s="28" t="s">
        <v>204</v>
      </c>
      <c r="M1256" s="52">
        <v>12.70471053592356</v>
      </c>
    </row>
    <row r="1257" spans="1:13" x14ac:dyDescent="0.35">
      <c r="A1257" s="14" t="s">
        <v>391</v>
      </c>
      <c r="B1257" s="14" t="s">
        <v>377</v>
      </c>
      <c r="C1257" t="s">
        <v>394</v>
      </c>
      <c r="D1257" s="18">
        <v>44181</v>
      </c>
      <c r="E1257" s="34">
        <v>44176</v>
      </c>
      <c r="F1257" s="34">
        <v>44180</v>
      </c>
      <c r="H1257" s="28" t="s">
        <v>208</v>
      </c>
      <c r="M1257" s="52">
        <v>12.70471053592356</v>
      </c>
    </row>
    <row r="1258" spans="1:13" x14ac:dyDescent="0.35">
      <c r="A1258" s="14" t="s">
        <v>391</v>
      </c>
      <c r="B1258" s="14" t="s">
        <v>377</v>
      </c>
      <c r="C1258" t="s">
        <v>394</v>
      </c>
      <c r="D1258" s="18">
        <v>44181</v>
      </c>
      <c r="E1258" s="34">
        <v>44176</v>
      </c>
      <c r="F1258" s="34">
        <v>44180</v>
      </c>
      <c r="H1258" s="28" t="s">
        <v>210</v>
      </c>
      <c r="M1258" s="52">
        <v>12.70471053592356</v>
      </c>
    </row>
    <row r="1259" spans="1:13" x14ac:dyDescent="0.35">
      <c r="A1259" s="14" t="s">
        <v>391</v>
      </c>
      <c r="B1259" s="14" t="s">
        <v>377</v>
      </c>
      <c r="C1259" t="s">
        <v>394</v>
      </c>
      <c r="D1259" s="18">
        <v>44181</v>
      </c>
      <c r="E1259" s="34">
        <v>44176</v>
      </c>
      <c r="F1259" s="34">
        <v>44180</v>
      </c>
      <c r="H1259" s="28" t="s">
        <v>403</v>
      </c>
      <c r="M1259" s="52">
        <v>12.70471053592356</v>
      </c>
    </row>
    <row r="1260" spans="1:13" x14ac:dyDescent="0.35">
      <c r="A1260" s="14" t="s">
        <v>391</v>
      </c>
      <c r="B1260" s="14" t="s">
        <v>377</v>
      </c>
      <c r="C1260" t="s">
        <v>394</v>
      </c>
      <c r="D1260" s="18">
        <v>44181</v>
      </c>
      <c r="E1260" s="34">
        <v>44176</v>
      </c>
      <c r="F1260" s="34">
        <v>44180</v>
      </c>
      <c r="H1260" s="28" t="s">
        <v>223</v>
      </c>
      <c r="M1260" s="52">
        <v>12.70471053592356</v>
      </c>
    </row>
    <row r="1261" spans="1:13" x14ac:dyDescent="0.35">
      <c r="A1261" s="14" t="s">
        <v>391</v>
      </c>
      <c r="B1261" s="14" t="s">
        <v>377</v>
      </c>
      <c r="C1261" t="s">
        <v>394</v>
      </c>
      <c r="D1261" s="18">
        <v>44181</v>
      </c>
      <c r="E1261" s="34">
        <v>44176</v>
      </c>
      <c r="F1261" s="34">
        <v>44180</v>
      </c>
      <c r="H1261" s="28" t="s">
        <v>31</v>
      </c>
      <c r="K1261" t="s">
        <v>381</v>
      </c>
      <c r="L1261">
        <v>30</v>
      </c>
      <c r="M1261" s="52">
        <v>12.70471053592356</v>
      </c>
    </row>
    <row r="1262" spans="1:13" x14ac:dyDescent="0.35">
      <c r="A1262" s="14" t="s">
        <v>391</v>
      </c>
      <c r="B1262" s="14" t="s">
        <v>377</v>
      </c>
      <c r="C1262" t="s">
        <v>394</v>
      </c>
      <c r="D1262" s="18">
        <v>44181</v>
      </c>
      <c r="E1262" s="34">
        <v>44176</v>
      </c>
      <c r="F1262" s="34">
        <v>44180</v>
      </c>
      <c r="H1262" s="28" t="s">
        <v>56</v>
      </c>
      <c r="K1262" t="s">
        <v>381</v>
      </c>
      <c r="L1262">
        <v>50</v>
      </c>
      <c r="M1262" s="52">
        <v>12.70471053592356</v>
      </c>
    </row>
    <row r="1263" spans="1:13" x14ac:dyDescent="0.35">
      <c r="A1263" s="14" t="s">
        <v>391</v>
      </c>
      <c r="B1263" s="14" t="s">
        <v>377</v>
      </c>
      <c r="C1263" t="s">
        <v>394</v>
      </c>
      <c r="D1263" s="18">
        <v>44181</v>
      </c>
      <c r="E1263" s="34">
        <v>44176</v>
      </c>
      <c r="F1263" s="34">
        <v>44180</v>
      </c>
      <c r="H1263" s="28" t="s">
        <v>263</v>
      </c>
      <c r="M1263" s="52">
        <v>12.70471053592356</v>
      </c>
    </row>
    <row r="1264" spans="1:13" x14ac:dyDescent="0.35">
      <c r="A1264" s="14" t="s">
        <v>391</v>
      </c>
      <c r="B1264" s="14" t="s">
        <v>377</v>
      </c>
      <c r="C1264" t="s">
        <v>394</v>
      </c>
      <c r="D1264" s="18">
        <v>44181</v>
      </c>
      <c r="E1264" s="34">
        <v>44176</v>
      </c>
      <c r="F1264" s="34">
        <v>44180</v>
      </c>
      <c r="H1264" s="28" t="s">
        <v>287</v>
      </c>
      <c r="M1264" s="52">
        <v>12.70471053592356</v>
      </c>
    </row>
    <row r="1265" spans="1:13" x14ac:dyDescent="0.35">
      <c r="A1265" s="14" t="s">
        <v>391</v>
      </c>
      <c r="B1265" s="14" t="s">
        <v>377</v>
      </c>
      <c r="C1265" t="s">
        <v>394</v>
      </c>
      <c r="D1265" s="18">
        <v>44181</v>
      </c>
      <c r="E1265" s="34">
        <v>44176</v>
      </c>
      <c r="F1265" s="34">
        <v>44180</v>
      </c>
      <c r="H1265" s="28" t="s">
        <v>287</v>
      </c>
      <c r="M1265" s="52">
        <v>12.70471053592356</v>
      </c>
    </row>
    <row r="1266" spans="1:13" x14ac:dyDescent="0.35">
      <c r="A1266" s="14" t="s">
        <v>391</v>
      </c>
      <c r="B1266" s="14" t="s">
        <v>377</v>
      </c>
      <c r="C1266" t="s">
        <v>394</v>
      </c>
      <c r="D1266" s="18">
        <v>44181</v>
      </c>
      <c r="E1266" s="34">
        <v>44176</v>
      </c>
      <c r="F1266" s="34">
        <v>44180</v>
      </c>
      <c r="H1266" s="28" t="s">
        <v>307</v>
      </c>
      <c r="M1266" s="52">
        <v>12.70471053592356</v>
      </c>
    </row>
    <row r="1267" spans="1:13" x14ac:dyDescent="0.35">
      <c r="A1267" s="14" t="s">
        <v>391</v>
      </c>
      <c r="B1267" s="14" t="s">
        <v>377</v>
      </c>
      <c r="C1267" t="s">
        <v>394</v>
      </c>
      <c r="D1267" s="18">
        <v>44181</v>
      </c>
      <c r="E1267" s="34">
        <v>44176</v>
      </c>
      <c r="F1267" s="34">
        <v>44180</v>
      </c>
      <c r="H1267" s="28" t="s">
        <v>309</v>
      </c>
      <c r="M1267" s="52">
        <v>12.70471053592356</v>
      </c>
    </row>
    <row r="1268" spans="1:13" x14ac:dyDescent="0.35">
      <c r="A1268" s="14" t="s">
        <v>391</v>
      </c>
      <c r="B1268" s="14" t="s">
        <v>377</v>
      </c>
      <c r="C1268" t="s">
        <v>394</v>
      </c>
      <c r="D1268" s="18">
        <v>44181</v>
      </c>
      <c r="E1268" s="34">
        <v>44176</v>
      </c>
      <c r="F1268" s="34">
        <v>44180</v>
      </c>
      <c r="H1268" s="28" t="s">
        <v>311</v>
      </c>
      <c r="M1268" s="52">
        <v>12.70471053592356</v>
      </c>
    </row>
    <row r="1269" spans="1:13" x14ac:dyDescent="0.35">
      <c r="A1269" s="14" t="s">
        <v>391</v>
      </c>
      <c r="B1269" s="14" t="s">
        <v>377</v>
      </c>
      <c r="C1269" t="s">
        <v>394</v>
      </c>
      <c r="D1269" s="18">
        <v>44181</v>
      </c>
      <c r="E1269" s="34">
        <v>44176</v>
      </c>
      <c r="F1269" s="34">
        <v>44180</v>
      </c>
      <c r="H1269" s="28" t="s">
        <v>313</v>
      </c>
      <c r="K1269" t="s">
        <v>381</v>
      </c>
      <c r="L1269">
        <v>50</v>
      </c>
      <c r="M1269" s="52">
        <v>12.70471053592356</v>
      </c>
    </row>
    <row r="1270" spans="1:13" x14ac:dyDescent="0.35">
      <c r="A1270" s="14" t="s">
        <v>391</v>
      </c>
      <c r="B1270" s="14" t="s">
        <v>377</v>
      </c>
      <c r="C1270" t="s">
        <v>394</v>
      </c>
      <c r="D1270" s="18">
        <v>44181</v>
      </c>
      <c r="E1270" s="34">
        <v>44176</v>
      </c>
      <c r="F1270" s="34">
        <v>44180</v>
      </c>
      <c r="H1270" s="28" t="s">
        <v>315</v>
      </c>
      <c r="K1270" t="s">
        <v>381</v>
      </c>
      <c r="L1270">
        <v>30</v>
      </c>
      <c r="M1270" s="52">
        <v>12.70471053592356</v>
      </c>
    </row>
    <row r="1271" spans="1:13" x14ac:dyDescent="0.35">
      <c r="A1271" s="14" t="s">
        <v>391</v>
      </c>
      <c r="B1271" s="14" t="s">
        <v>377</v>
      </c>
      <c r="C1271" t="s">
        <v>394</v>
      </c>
      <c r="D1271" s="18">
        <v>44181</v>
      </c>
      <c r="E1271" s="34">
        <v>44176</v>
      </c>
      <c r="F1271" s="34">
        <v>44180</v>
      </c>
      <c r="H1271" s="28" t="s">
        <v>32</v>
      </c>
      <c r="K1271" t="s">
        <v>380</v>
      </c>
      <c r="L1271">
        <v>6</v>
      </c>
      <c r="M1271" s="52">
        <v>12.70471053592356</v>
      </c>
    </row>
    <row r="1272" spans="1:13" x14ac:dyDescent="0.35">
      <c r="A1272" s="14" t="s">
        <v>391</v>
      </c>
      <c r="B1272" s="14" t="s">
        <v>377</v>
      </c>
      <c r="C1272" t="s">
        <v>394</v>
      </c>
      <c r="D1272" s="18">
        <v>44181</v>
      </c>
      <c r="E1272" s="34">
        <v>44176</v>
      </c>
      <c r="F1272" s="34">
        <v>44180</v>
      </c>
      <c r="H1272" s="28" t="s">
        <v>60</v>
      </c>
      <c r="K1272" t="s">
        <v>380</v>
      </c>
      <c r="L1272">
        <v>6</v>
      </c>
      <c r="M1272" s="52">
        <v>12.70471053592356</v>
      </c>
    </row>
    <row r="1273" spans="1:13" x14ac:dyDescent="0.35">
      <c r="A1273" s="14" t="s">
        <v>391</v>
      </c>
      <c r="B1273" s="14" t="s">
        <v>377</v>
      </c>
      <c r="C1273" t="s">
        <v>394</v>
      </c>
      <c r="D1273" s="18">
        <v>44181</v>
      </c>
      <c r="E1273" s="34">
        <v>44176</v>
      </c>
      <c r="F1273" s="34">
        <v>44180</v>
      </c>
      <c r="H1273" s="28" t="s">
        <v>327</v>
      </c>
      <c r="K1273" t="s">
        <v>380</v>
      </c>
      <c r="L1273">
        <v>6</v>
      </c>
      <c r="M1273" s="52">
        <v>12.70471053592356</v>
      </c>
    </row>
    <row r="1274" spans="1:13" x14ac:dyDescent="0.35">
      <c r="A1274" s="14" t="s">
        <v>391</v>
      </c>
      <c r="B1274" s="14" t="s">
        <v>377</v>
      </c>
      <c r="C1274" t="s">
        <v>394</v>
      </c>
      <c r="D1274" s="18">
        <v>44181</v>
      </c>
      <c r="E1274" s="34">
        <v>44176</v>
      </c>
      <c r="F1274" s="34">
        <v>44180</v>
      </c>
      <c r="H1274" s="28" t="s">
        <v>335</v>
      </c>
      <c r="M1274" s="52">
        <v>12.70471053592356</v>
      </c>
    </row>
    <row r="1275" spans="1:13" x14ac:dyDescent="0.35">
      <c r="A1275" s="14" t="s">
        <v>391</v>
      </c>
      <c r="B1275" s="14" t="s">
        <v>377</v>
      </c>
      <c r="C1275" t="s">
        <v>394</v>
      </c>
      <c r="D1275" s="18">
        <v>44181</v>
      </c>
      <c r="E1275" s="34">
        <v>44176</v>
      </c>
      <c r="F1275" s="34">
        <v>44180</v>
      </c>
      <c r="H1275" s="28" t="s">
        <v>339</v>
      </c>
      <c r="M1275" s="52">
        <v>12.70471053592356</v>
      </c>
    </row>
    <row r="1276" spans="1:13" x14ac:dyDescent="0.35">
      <c r="A1276" s="14" t="s">
        <v>391</v>
      </c>
      <c r="B1276" s="14" t="s">
        <v>377</v>
      </c>
      <c r="C1276" t="s">
        <v>394</v>
      </c>
      <c r="D1276" s="18">
        <v>44181</v>
      </c>
      <c r="E1276" s="34">
        <v>44176</v>
      </c>
      <c r="F1276" s="34">
        <v>44180</v>
      </c>
      <c r="H1276" s="28" t="s">
        <v>341</v>
      </c>
      <c r="M1276" s="52">
        <v>12.70471053592356</v>
      </c>
    </row>
    <row r="1277" spans="1:13" x14ac:dyDescent="0.35">
      <c r="A1277" s="14" t="s">
        <v>391</v>
      </c>
      <c r="B1277" s="14" t="s">
        <v>377</v>
      </c>
      <c r="C1277" t="s">
        <v>394</v>
      </c>
      <c r="D1277" s="18">
        <v>44181</v>
      </c>
      <c r="E1277" s="34">
        <v>44176</v>
      </c>
      <c r="F1277" s="34">
        <v>44180</v>
      </c>
      <c r="H1277" s="28" t="s">
        <v>345</v>
      </c>
      <c r="K1277" t="s">
        <v>381</v>
      </c>
      <c r="L1277">
        <v>50</v>
      </c>
      <c r="M1277" s="52">
        <v>12.70471053592356</v>
      </c>
    </row>
    <row r="1278" spans="1:13" x14ac:dyDescent="0.35">
      <c r="A1278" s="14" t="s">
        <v>391</v>
      </c>
      <c r="B1278" s="14" t="s">
        <v>377</v>
      </c>
      <c r="C1278" t="s">
        <v>394</v>
      </c>
      <c r="D1278" s="18">
        <v>44181</v>
      </c>
      <c r="E1278" s="34">
        <v>44176</v>
      </c>
      <c r="F1278" s="34">
        <v>44180</v>
      </c>
      <c r="H1278" s="28" t="s">
        <v>59</v>
      </c>
      <c r="M1278" s="52">
        <v>12.70471053592356</v>
      </c>
    </row>
    <row r="1279" spans="1:13" x14ac:dyDescent="0.35">
      <c r="A1279" s="14" t="s">
        <v>391</v>
      </c>
      <c r="B1279" s="14" t="s">
        <v>377</v>
      </c>
      <c r="C1279" t="s">
        <v>394</v>
      </c>
      <c r="D1279" s="18">
        <v>44181</v>
      </c>
      <c r="E1279" s="34">
        <v>44176</v>
      </c>
      <c r="F1279" s="34">
        <v>44180</v>
      </c>
      <c r="H1279" s="28" t="s">
        <v>360</v>
      </c>
      <c r="M1279" s="52">
        <v>12.70471053592356</v>
      </c>
    </row>
    <row r="1280" spans="1:13" x14ac:dyDescent="0.35">
      <c r="A1280" s="14" t="s">
        <v>391</v>
      </c>
      <c r="B1280" s="14" t="s">
        <v>377</v>
      </c>
      <c r="C1280" t="s">
        <v>394</v>
      </c>
      <c r="D1280" s="18">
        <v>44181</v>
      </c>
      <c r="E1280" s="34">
        <v>44176</v>
      </c>
      <c r="F1280" s="34">
        <v>44180</v>
      </c>
      <c r="H1280" s="28" t="s">
        <v>360</v>
      </c>
      <c r="M1280" s="52">
        <v>12.70471053592356</v>
      </c>
    </row>
    <row r="1281" spans="1:13" x14ac:dyDescent="0.35">
      <c r="A1281" s="14" t="s">
        <v>391</v>
      </c>
      <c r="B1281" s="14" t="s">
        <v>377</v>
      </c>
      <c r="C1281" t="s">
        <v>392</v>
      </c>
      <c r="D1281" s="18">
        <v>44181</v>
      </c>
      <c r="E1281" s="34">
        <v>44176</v>
      </c>
      <c r="F1281" s="34">
        <v>44183</v>
      </c>
      <c r="H1281" s="28" t="s">
        <v>96</v>
      </c>
      <c r="M1281" s="52">
        <v>2.314332425695552</v>
      </c>
    </row>
    <row r="1282" spans="1:13" x14ac:dyDescent="0.35">
      <c r="A1282" s="14" t="s">
        <v>391</v>
      </c>
      <c r="B1282" s="14" t="s">
        <v>377</v>
      </c>
      <c r="C1282" t="s">
        <v>392</v>
      </c>
      <c r="D1282" s="18">
        <v>44181</v>
      </c>
      <c r="E1282" s="34">
        <v>44176</v>
      </c>
      <c r="F1282" s="34">
        <v>44183</v>
      </c>
      <c r="H1282" s="28" t="s">
        <v>72</v>
      </c>
      <c r="M1282" s="52">
        <v>2.314332425695552</v>
      </c>
    </row>
    <row r="1283" spans="1:13" x14ac:dyDescent="0.35">
      <c r="A1283" s="14" t="s">
        <v>391</v>
      </c>
      <c r="B1283" s="14" t="s">
        <v>377</v>
      </c>
      <c r="C1283" t="s">
        <v>392</v>
      </c>
      <c r="D1283" s="18">
        <v>44181</v>
      </c>
      <c r="E1283" s="34">
        <v>44176</v>
      </c>
      <c r="F1283" s="34">
        <v>44183</v>
      </c>
      <c r="H1283" s="28" t="s">
        <v>47</v>
      </c>
      <c r="K1283" t="s">
        <v>381</v>
      </c>
      <c r="L1283">
        <v>20</v>
      </c>
      <c r="M1283" s="52">
        <v>2.314332425695552</v>
      </c>
    </row>
    <row r="1284" spans="1:13" x14ac:dyDescent="0.35">
      <c r="A1284" s="14" t="s">
        <v>391</v>
      </c>
      <c r="B1284" s="14" t="s">
        <v>377</v>
      </c>
      <c r="C1284" t="s">
        <v>392</v>
      </c>
      <c r="D1284" s="18">
        <v>44181</v>
      </c>
      <c r="E1284" s="34">
        <v>44176</v>
      </c>
      <c r="F1284" s="34">
        <v>44183</v>
      </c>
      <c r="H1284" s="28" t="s">
        <v>50</v>
      </c>
      <c r="K1284" t="s">
        <v>381</v>
      </c>
      <c r="L1284">
        <v>50</v>
      </c>
      <c r="M1284" s="52">
        <v>2.314332425695552</v>
      </c>
    </row>
    <row r="1285" spans="1:13" x14ac:dyDescent="0.35">
      <c r="A1285" s="14" t="s">
        <v>391</v>
      </c>
      <c r="B1285" s="14" t="s">
        <v>377</v>
      </c>
      <c r="C1285" t="s">
        <v>392</v>
      </c>
      <c r="D1285" s="18">
        <v>44181</v>
      </c>
      <c r="E1285" s="34">
        <v>44176</v>
      </c>
      <c r="F1285" s="34">
        <v>44183</v>
      </c>
      <c r="H1285" s="28" t="s">
        <v>41</v>
      </c>
      <c r="K1285" t="s">
        <v>381</v>
      </c>
      <c r="L1285">
        <v>50</v>
      </c>
      <c r="M1285" s="52">
        <v>2.314332425695552</v>
      </c>
    </row>
    <row r="1286" spans="1:13" x14ac:dyDescent="0.35">
      <c r="A1286" s="14" t="s">
        <v>391</v>
      </c>
      <c r="B1286" s="14" t="s">
        <v>377</v>
      </c>
      <c r="C1286" t="s">
        <v>392</v>
      </c>
      <c r="D1286" s="18">
        <v>44181</v>
      </c>
      <c r="E1286" s="34">
        <v>44176</v>
      </c>
      <c r="F1286" s="34">
        <v>44183</v>
      </c>
      <c r="H1286" s="28" t="s">
        <v>116</v>
      </c>
      <c r="K1286" t="s">
        <v>381</v>
      </c>
      <c r="L1286">
        <v>25</v>
      </c>
      <c r="M1286" s="52">
        <v>2.314332425695552</v>
      </c>
    </row>
    <row r="1287" spans="1:13" x14ac:dyDescent="0.35">
      <c r="A1287" s="14" t="s">
        <v>391</v>
      </c>
      <c r="B1287" s="14" t="s">
        <v>377</v>
      </c>
      <c r="C1287" t="s">
        <v>392</v>
      </c>
      <c r="D1287" s="18">
        <v>44181</v>
      </c>
      <c r="E1287" s="34">
        <v>44176</v>
      </c>
      <c r="F1287" s="34">
        <v>44183</v>
      </c>
      <c r="H1287" s="28" t="s">
        <v>125</v>
      </c>
      <c r="M1287" s="52">
        <v>2.314332425695552</v>
      </c>
    </row>
    <row r="1288" spans="1:13" x14ac:dyDescent="0.35">
      <c r="A1288" s="14" t="s">
        <v>391</v>
      </c>
      <c r="B1288" s="14" t="s">
        <v>377</v>
      </c>
      <c r="C1288" t="s">
        <v>392</v>
      </c>
      <c r="D1288" s="18">
        <v>44181</v>
      </c>
      <c r="E1288" s="34">
        <v>44176</v>
      </c>
      <c r="F1288" s="34">
        <v>44183</v>
      </c>
      <c r="H1288" s="28" t="s">
        <v>127</v>
      </c>
      <c r="M1288" s="52">
        <v>2.314332425695552</v>
      </c>
    </row>
    <row r="1289" spans="1:13" x14ac:dyDescent="0.35">
      <c r="A1289" s="14" t="s">
        <v>391</v>
      </c>
      <c r="B1289" s="14" t="s">
        <v>377</v>
      </c>
      <c r="C1289" t="s">
        <v>392</v>
      </c>
      <c r="D1289" s="18">
        <v>44181</v>
      </c>
      <c r="E1289" s="34">
        <v>44176</v>
      </c>
      <c r="F1289" s="34">
        <v>44183</v>
      </c>
      <c r="H1289" s="28" t="s">
        <v>42</v>
      </c>
      <c r="K1289" t="s">
        <v>380</v>
      </c>
      <c r="L1289">
        <v>6</v>
      </c>
      <c r="M1289" s="52">
        <v>2.314332425695552</v>
      </c>
    </row>
    <row r="1290" spans="1:13" x14ac:dyDescent="0.35">
      <c r="A1290" s="14" t="s">
        <v>391</v>
      </c>
      <c r="B1290" s="14" t="s">
        <v>377</v>
      </c>
      <c r="C1290" t="s">
        <v>392</v>
      </c>
      <c r="D1290" s="18">
        <v>44181</v>
      </c>
      <c r="E1290" s="34">
        <v>44176</v>
      </c>
      <c r="F1290" s="34">
        <v>44183</v>
      </c>
      <c r="H1290" s="28" t="s">
        <v>25</v>
      </c>
      <c r="K1290" t="s">
        <v>381</v>
      </c>
      <c r="L1290">
        <v>40</v>
      </c>
      <c r="M1290" s="52">
        <v>2.314332425695552</v>
      </c>
    </row>
    <row r="1291" spans="1:13" x14ac:dyDescent="0.35">
      <c r="A1291" s="14" t="s">
        <v>391</v>
      </c>
      <c r="B1291" s="14" t="s">
        <v>377</v>
      </c>
      <c r="C1291" t="s">
        <v>392</v>
      </c>
      <c r="D1291" s="18">
        <v>44181</v>
      </c>
      <c r="E1291" s="34">
        <v>44176</v>
      </c>
      <c r="F1291" s="34">
        <v>44183</v>
      </c>
      <c r="H1291" s="28" t="s">
        <v>23</v>
      </c>
      <c r="K1291" t="s">
        <v>380</v>
      </c>
      <c r="L1291">
        <v>6</v>
      </c>
      <c r="M1291" s="52">
        <v>2.314332425695552</v>
      </c>
    </row>
    <row r="1292" spans="1:13" x14ac:dyDescent="0.35">
      <c r="A1292" s="14" t="s">
        <v>391</v>
      </c>
      <c r="B1292" s="14" t="s">
        <v>377</v>
      </c>
      <c r="C1292" t="s">
        <v>392</v>
      </c>
      <c r="D1292" s="18">
        <v>44181</v>
      </c>
      <c r="E1292" s="34">
        <v>44176</v>
      </c>
      <c r="F1292" s="34">
        <v>44183</v>
      </c>
      <c r="H1292" s="28" t="s">
        <v>24</v>
      </c>
      <c r="K1292" t="s">
        <v>380</v>
      </c>
      <c r="L1292">
        <v>6</v>
      </c>
      <c r="M1292" s="52">
        <v>2.314332425695552</v>
      </c>
    </row>
    <row r="1293" spans="1:13" x14ac:dyDescent="0.35">
      <c r="A1293" s="14" t="s">
        <v>391</v>
      </c>
      <c r="B1293" s="14" t="s">
        <v>377</v>
      </c>
      <c r="C1293" t="s">
        <v>392</v>
      </c>
      <c r="D1293" s="18">
        <v>44181</v>
      </c>
      <c r="E1293" s="34">
        <v>44176</v>
      </c>
      <c r="F1293" s="34">
        <v>44183</v>
      </c>
      <c r="H1293" s="28" t="s">
        <v>30</v>
      </c>
      <c r="K1293" t="s">
        <v>381</v>
      </c>
      <c r="L1293">
        <v>33</v>
      </c>
      <c r="M1293" s="52">
        <v>2.314332425695552</v>
      </c>
    </row>
    <row r="1294" spans="1:13" x14ac:dyDescent="0.35">
      <c r="A1294" s="14" t="s">
        <v>391</v>
      </c>
      <c r="B1294" s="14" t="s">
        <v>377</v>
      </c>
      <c r="C1294" t="s">
        <v>392</v>
      </c>
      <c r="D1294" s="18">
        <v>44181</v>
      </c>
      <c r="E1294" s="34">
        <v>44176</v>
      </c>
      <c r="F1294" s="34">
        <v>44183</v>
      </c>
      <c r="H1294" s="28" t="s">
        <v>29</v>
      </c>
      <c r="K1294" t="s">
        <v>381</v>
      </c>
      <c r="L1294">
        <v>33</v>
      </c>
      <c r="M1294" s="52">
        <v>2.314332425695552</v>
      </c>
    </row>
    <row r="1295" spans="1:13" x14ac:dyDescent="0.35">
      <c r="A1295" s="14" t="s">
        <v>391</v>
      </c>
      <c r="B1295" s="14" t="s">
        <v>377</v>
      </c>
      <c r="C1295" t="s">
        <v>392</v>
      </c>
      <c r="D1295" s="18">
        <v>44181</v>
      </c>
      <c r="E1295" s="34">
        <v>44176</v>
      </c>
      <c r="F1295" s="34">
        <v>44183</v>
      </c>
      <c r="H1295" s="28" t="s">
        <v>188</v>
      </c>
      <c r="M1295" s="52">
        <v>2.314332425695552</v>
      </c>
    </row>
    <row r="1296" spans="1:13" x14ac:dyDescent="0.35">
      <c r="A1296" s="14" t="s">
        <v>391</v>
      </c>
      <c r="B1296" s="14" t="s">
        <v>377</v>
      </c>
      <c r="C1296" t="s">
        <v>392</v>
      </c>
      <c r="D1296" s="18">
        <v>44181</v>
      </c>
      <c r="E1296" s="34">
        <v>44176</v>
      </c>
      <c r="F1296" s="34">
        <v>44183</v>
      </c>
      <c r="H1296" s="28" t="s">
        <v>192</v>
      </c>
      <c r="M1296" s="52">
        <v>2.314332425695552</v>
      </c>
    </row>
    <row r="1297" spans="1:13" x14ac:dyDescent="0.35">
      <c r="A1297" s="14" t="s">
        <v>391</v>
      </c>
      <c r="B1297" s="14" t="s">
        <v>377</v>
      </c>
      <c r="C1297" t="s">
        <v>392</v>
      </c>
      <c r="D1297" s="18">
        <v>44181</v>
      </c>
      <c r="E1297" s="34">
        <v>44176</v>
      </c>
      <c r="F1297" s="34">
        <v>44183</v>
      </c>
      <c r="H1297" s="28" t="s">
        <v>198</v>
      </c>
      <c r="M1297" s="52">
        <v>2.314332425695552</v>
      </c>
    </row>
    <row r="1298" spans="1:13" x14ac:dyDescent="0.35">
      <c r="A1298" s="14" t="s">
        <v>391</v>
      </c>
      <c r="B1298" s="14" t="s">
        <v>377</v>
      </c>
      <c r="C1298" t="s">
        <v>392</v>
      </c>
      <c r="D1298" s="18">
        <v>44181</v>
      </c>
      <c r="E1298" s="34">
        <v>44176</v>
      </c>
      <c r="F1298" s="34">
        <v>44183</v>
      </c>
      <c r="H1298" s="28" t="s">
        <v>393</v>
      </c>
      <c r="M1298" s="52">
        <v>2.314332425695552</v>
      </c>
    </row>
    <row r="1299" spans="1:13" x14ac:dyDescent="0.35">
      <c r="A1299" s="14" t="s">
        <v>391</v>
      </c>
      <c r="B1299" s="14" t="s">
        <v>377</v>
      </c>
      <c r="C1299" t="s">
        <v>392</v>
      </c>
      <c r="D1299" s="18">
        <v>44181</v>
      </c>
      <c r="E1299" s="34">
        <v>44176</v>
      </c>
      <c r="F1299" s="34">
        <v>44183</v>
      </c>
      <c r="H1299" s="28" t="s">
        <v>204</v>
      </c>
      <c r="M1299" s="52">
        <v>2.314332425695552</v>
      </c>
    </row>
    <row r="1300" spans="1:13" x14ac:dyDescent="0.35">
      <c r="A1300" s="14" t="s">
        <v>391</v>
      </c>
      <c r="B1300" s="14" t="s">
        <v>377</v>
      </c>
      <c r="C1300" t="s">
        <v>392</v>
      </c>
      <c r="D1300" s="18">
        <v>44181</v>
      </c>
      <c r="E1300" s="34">
        <v>44176</v>
      </c>
      <c r="F1300" s="34">
        <v>44183</v>
      </c>
      <c r="H1300" s="28" t="s">
        <v>208</v>
      </c>
      <c r="M1300" s="52">
        <v>2.314332425695552</v>
      </c>
    </row>
    <row r="1301" spans="1:13" x14ac:dyDescent="0.35">
      <c r="A1301" s="14" t="s">
        <v>391</v>
      </c>
      <c r="B1301" s="14" t="s">
        <v>377</v>
      </c>
      <c r="C1301" t="s">
        <v>392</v>
      </c>
      <c r="D1301" s="18">
        <v>44181</v>
      </c>
      <c r="E1301" s="34">
        <v>44176</v>
      </c>
      <c r="F1301" s="34">
        <v>44183</v>
      </c>
      <c r="H1301" s="28" t="s">
        <v>210</v>
      </c>
      <c r="M1301" s="52">
        <v>2.314332425695552</v>
      </c>
    </row>
    <row r="1302" spans="1:13" x14ac:dyDescent="0.35">
      <c r="A1302" s="14" t="s">
        <v>391</v>
      </c>
      <c r="B1302" s="14" t="s">
        <v>377</v>
      </c>
      <c r="C1302" t="s">
        <v>392</v>
      </c>
      <c r="D1302" s="18">
        <v>44181</v>
      </c>
      <c r="E1302" s="34">
        <v>44176</v>
      </c>
      <c r="F1302" s="34">
        <v>44183</v>
      </c>
      <c r="H1302" s="28" t="s">
        <v>31</v>
      </c>
      <c r="K1302" t="s">
        <v>381</v>
      </c>
      <c r="L1302">
        <v>30</v>
      </c>
      <c r="M1302" s="52">
        <v>2.314332425695552</v>
      </c>
    </row>
    <row r="1303" spans="1:13" x14ac:dyDescent="0.35">
      <c r="A1303" s="14" t="s">
        <v>391</v>
      </c>
      <c r="B1303" s="14" t="s">
        <v>377</v>
      </c>
      <c r="C1303" t="s">
        <v>392</v>
      </c>
      <c r="D1303" s="18">
        <v>44181</v>
      </c>
      <c r="E1303" s="34">
        <v>44176</v>
      </c>
      <c r="F1303" s="34">
        <v>44183</v>
      </c>
      <c r="H1303" s="28" t="s">
        <v>56</v>
      </c>
      <c r="K1303" t="s">
        <v>381</v>
      </c>
      <c r="L1303">
        <v>50</v>
      </c>
      <c r="M1303" s="52">
        <v>2.314332425695552</v>
      </c>
    </row>
    <row r="1304" spans="1:13" x14ac:dyDescent="0.35">
      <c r="A1304" s="14" t="s">
        <v>391</v>
      </c>
      <c r="B1304" s="14" t="s">
        <v>377</v>
      </c>
      <c r="C1304" t="s">
        <v>392</v>
      </c>
      <c r="D1304" s="18">
        <v>44181</v>
      </c>
      <c r="E1304" s="34">
        <v>44176</v>
      </c>
      <c r="F1304" s="34">
        <v>44183</v>
      </c>
      <c r="H1304" s="28" t="s">
        <v>263</v>
      </c>
      <c r="M1304" s="52">
        <v>2.314332425695552</v>
      </c>
    </row>
    <row r="1305" spans="1:13" x14ac:dyDescent="0.35">
      <c r="A1305" s="14" t="s">
        <v>391</v>
      </c>
      <c r="B1305" s="14" t="s">
        <v>377</v>
      </c>
      <c r="C1305" t="s">
        <v>392</v>
      </c>
      <c r="D1305" s="18">
        <v>44181</v>
      </c>
      <c r="E1305" s="34">
        <v>44176</v>
      </c>
      <c r="F1305" s="34">
        <v>44183</v>
      </c>
      <c r="H1305" s="28" t="s">
        <v>287</v>
      </c>
      <c r="M1305" s="52">
        <v>2.314332425695552</v>
      </c>
    </row>
    <row r="1306" spans="1:13" x14ac:dyDescent="0.35">
      <c r="A1306" s="14" t="s">
        <v>391</v>
      </c>
      <c r="B1306" s="14" t="s">
        <v>377</v>
      </c>
      <c r="C1306" t="s">
        <v>392</v>
      </c>
      <c r="D1306" s="18">
        <v>44181</v>
      </c>
      <c r="E1306" s="34">
        <v>44176</v>
      </c>
      <c r="F1306" s="34">
        <v>44183</v>
      </c>
      <c r="H1306" s="28" t="s">
        <v>307</v>
      </c>
      <c r="M1306" s="52">
        <v>2.314332425695552</v>
      </c>
    </row>
    <row r="1307" spans="1:13" x14ac:dyDescent="0.35">
      <c r="A1307" s="14" t="s">
        <v>391</v>
      </c>
      <c r="B1307" s="14" t="s">
        <v>377</v>
      </c>
      <c r="C1307" t="s">
        <v>392</v>
      </c>
      <c r="D1307" s="18">
        <v>44181</v>
      </c>
      <c r="E1307" s="34">
        <v>44176</v>
      </c>
      <c r="F1307" s="34">
        <v>44183</v>
      </c>
      <c r="H1307" s="28" t="s">
        <v>311</v>
      </c>
      <c r="M1307" s="52">
        <v>2.314332425695552</v>
      </c>
    </row>
    <row r="1308" spans="1:13" x14ac:dyDescent="0.35">
      <c r="A1308" s="14" t="s">
        <v>391</v>
      </c>
      <c r="B1308" s="14" t="s">
        <v>377</v>
      </c>
      <c r="C1308" t="s">
        <v>392</v>
      </c>
      <c r="D1308" s="18">
        <v>44181</v>
      </c>
      <c r="E1308" s="34">
        <v>44176</v>
      </c>
      <c r="F1308" s="34">
        <v>44183</v>
      </c>
      <c r="H1308" s="28" t="s">
        <v>313</v>
      </c>
      <c r="K1308" t="s">
        <v>381</v>
      </c>
      <c r="L1308">
        <v>50</v>
      </c>
      <c r="M1308" s="52">
        <v>2.314332425695552</v>
      </c>
    </row>
    <row r="1309" spans="1:13" x14ac:dyDescent="0.35">
      <c r="A1309" s="14" t="s">
        <v>391</v>
      </c>
      <c r="B1309" s="14" t="s">
        <v>377</v>
      </c>
      <c r="C1309" t="s">
        <v>392</v>
      </c>
      <c r="D1309" s="18">
        <v>44181</v>
      </c>
      <c r="E1309" s="34">
        <v>44176</v>
      </c>
      <c r="F1309" s="34">
        <v>44183</v>
      </c>
      <c r="H1309" s="28" t="s">
        <v>327</v>
      </c>
      <c r="K1309" t="s">
        <v>380</v>
      </c>
      <c r="L1309">
        <v>6</v>
      </c>
      <c r="M1309" s="52">
        <v>2.314332425695552</v>
      </c>
    </row>
    <row r="1310" spans="1:13" x14ac:dyDescent="0.35">
      <c r="A1310" s="14" t="s">
        <v>391</v>
      </c>
      <c r="B1310" s="14" t="s">
        <v>377</v>
      </c>
      <c r="C1310" t="s">
        <v>392</v>
      </c>
      <c r="D1310" s="18">
        <v>44181</v>
      </c>
      <c r="E1310" s="34">
        <v>44176</v>
      </c>
      <c r="F1310" s="34">
        <v>44183</v>
      </c>
      <c r="H1310" s="28" t="s">
        <v>335</v>
      </c>
      <c r="M1310" s="52">
        <v>2.314332425695552</v>
      </c>
    </row>
    <row r="1311" spans="1:13" x14ac:dyDescent="0.35">
      <c r="A1311" s="14" t="s">
        <v>391</v>
      </c>
      <c r="B1311" s="14" t="s">
        <v>377</v>
      </c>
      <c r="C1311" t="s">
        <v>392</v>
      </c>
      <c r="D1311" s="18">
        <v>44181</v>
      </c>
      <c r="E1311" s="34">
        <v>44176</v>
      </c>
      <c r="F1311" s="34">
        <v>44183</v>
      </c>
      <c r="H1311" s="28" t="s">
        <v>339</v>
      </c>
      <c r="M1311" s="52">
        <v>2.314332425695552</v>
      </c>
    </row>
    <row r="1312" spans="1:13" x14ac:dyDescent="0.35">
      <c r="A1312" s="14" t="s">
        <v>391</v>
      </c>
      <c r="B1312" s="14" t="s">
        <v>377</v>
      </c>
      <c r="C1312" t="s">
        <v>392</v>
      </c>
      <c r="D1312" s="18">
        <v>44181</v>
      </c>
      <c r="E1312" s="34">
        <v>44176</v>
      </c>
      <c r="F1312" s="34">
        <v>44183</v>
      </c>
      <c r="H1312" s="28" t="s">
        <v>345</v>
      </c>
      <c r="K1312" t="s">
        <v>381</v>
      </c>
      <c r="L1312">
        <v>50</v>
      </c>
      <c r="M1312" s="52">
        <v>2.314332425695552</v>
      </c>
    </row>
    <row r="1313" spans="1:13" x14ac:dyDescent="0.35">
      <c r="A1313" s="14" t="s">
        <v>391</v>
      </c>
      <c r="B1313" s="14" t="s">
        <v>377</v>
      </c>
      <c r="C1313" t="s">
        <v>392</v>
      </c>
      <c r="D1313" s="18">
        <v>44181</v>
      </c>
      <c r="E1313" s="34">
        <v>44176</v>
      </c>
      <c r="F1313" s="34">
        <v>44183</v>
      </c>
      <c r="H1313" s="28" t="s">
        <v>59</v>
      </c>
      <c r="M1313" s="52">
        <v>2.314332425695552</v>
      </c>
    </row>
    <row r="1314" spans="1:13" x14ac:dyDescent="0.35">
      <c r="A1314" s="14" t="s">
        <v>391</v>
      </c>
      <c r="B1314" s="14" t="s">
        <v>377</v>
      </c>
      <c r="C1314" t="s">
        <v>392</v>
      </c>
      <c r="D1314" s="18">
        <v>44181</v>
      </c>
      <c r="E1314" s="34">
        <v>44176</v>
      </c>
      <c r="F1314" s="34">
        <v>44183</v>
      </c>
      <c r="H1314" s="28" t="s">
        <v>360</v>
      </c>
      <c r="M1314" s="52">
        <v>2.314332425695552</v>
      </c>
    </row>
    <row r="1315" spans="1:13" x14ac:dyDescent="0.35">
      <c r="A1315" s="14" t="s">
        <v>391</v>
      </c>
      <c r="B1315" s="14" t="s">
        <v>377</v>
      </c>
      <c r="C1315" t="s">
        <v>394</v>
      </c>
      <c r="D1315" s="18">
        <v>44182</v>
      </c>
      <c r="E1315" s="34">
        <v>44180</v>
      </c>
      <c r="F1315" s="34">
        <v>44183</v>
      </c>
      <c r="H1315" s="28" t="s">
        <v>68</v>
      </c>
      <c r="M1315" s="52">
        <v>15.82698114615712</v>
      </c>
    </row>
    <row r="1316" spans="1:13" x14ac:dyDescent="0.35">
      <c r="A1316" s="14" t="s">
        <v>391</v>
      </c>
      <c r="B1316" s="14" t="s">
        <v>377</v>
      </c>
      <c r="C1316" t="s">
        <v>394</v>
      </c>
      <c r="D1316" s="18">
        <v>44182</v>
      </c>
      <c r="E1316" s="34">
        <v>44180</v>
      </c>
      <c r="F1316" s="34">
        <v>44183</v>
      </c>
      <c r="H1316" s="28" t="s">
        <v>96</v>
      </c>
      <c r="M1316" s="52">
        <v>15.82698114615712</v>
      </c>
    </row>
    <row r="1317" spans="1:13" x14ac:dyDescent="0.35">
      <c r="A1317" s="14" t="s">
        <v>391</v>
      </c>
      <c r="B1317" s="14" t="s">
        <v>377</v>
      </c>
      <c r="C1317" t="s">
        <v>394</v>
      </c>
      <c r="D1317" s="18">
        <v>44182</v>
      </c>
      <c r="E1317" s="34">
        <v>44180</v>
      </c>
      <c r="F1317" s="34">
        <v>44183</v>
      </c>
      <c r="H1317" s="28" t="s">
        <v>72</v>
      </c>
      <c r="M1317" s="52">
        <v>15.82698114615712</v>
      </c>
    </row>
    <row r="1318" spans="1:13" x14ac:dyDescent="0.35">
      <c r="A1318" s="14" t="s">
        <v>391</v>
      </c>
      <c r="B1318" s="14" t="s">
        <v>377</v>
      </c>
      <c r="C1318" t="s">
        <v>394</v>
      </c>
      <c r="D1318" s="18">
        <v>44182</v>
      </c>
      <c r="E1318" s="34">
        <v>44180</v>
      </c>
      <c r="F1318" s="34">
        <v>44183</v>
      </c>
      <c r="H1318" s="28" t="s">
        <v>47</v>
      </c>
      <c r="K1318" t="s">
        <v>381</v>
      </c>
      <c r="L1318">
        <v>20</v>
      </c>
      <c r="M1318" s="52">
        <v>15.82698114615712</v>
      </c>
    </row>
    <row r="1319" spans="1:13" x14ac:dyDescent="0.35">
      <c r="A1319" s="14" t="s">
        <v>391</v>
      </c>
      <c r="B1319" s="14" t="s">
        <v>377</v>
      </c>
      <c r="C1319" t="s">
        <v>394</v>
      </c>
      <c r="D1319" s="18">
        <v>44182</v>
      </c>
      <c r="E1319" s="34">
        <v>44180</v>
      </c>
      <c r="F1319" s="34">
        <v>44183</v>
      </c>
      <c r="H1319" s="28" t="s">
        <v>50</v>
      </c>
      <c r="K1319" t="s">
        <v>381</v>
      </c>
      <c r="L1319">
        <v>50</v>
      </c>
      <c r="M1319" s="52">
        <v>15.82698114615712</v>
      </c>
    </row>
    <row r="1320" spans="1:13" x14ac:dyDescent="0.35">
      <c r="A1320" s="14" t="s">
        <v>391</v>
      </c>
      <c r="B1320" s="14" t="s">
        <v>377</v>
      </c>
      <c r="C1320" t="s">
        <v>394</v>
      </c>
      <c r="D1320" s="18">
        <v>44182</v>
      </c>
      <c r="E1320" s="34">
        <v>44180</v>
      </c>
      <c r="F1320" s="34">
        <v>44183</v>
      </c>
      <c r="H1320" s="28" t="s">
        <v>408</v>
      </c>
      <c r="M1320" s="52">
        <v>15.82698114615712</v>
      </c>
    </row>
    <row r="1321" spans="1:13" x14ac:dyDescent="0.35">
      <c r="A1321" s="14" t="s">
        <v>391</v>
      </c>
      <c r="B1321" s="14" t="s">
        <v>377</v>
      </c>
      <c r="C1321" t="s">
        <v>394</v>
      </c>
      <c r="D1321" s="18">
        <v>44182</v>
      </c>
      <c r="E1321" s="34">
        <v>44180</v>
      </c>
      <c r="F1321" s="34">
        <v>44183</v>
      </c>
      <c r="H1321" s="28" t="s">
        <v>41</v>
      </c>
      <c r="K1321" t="s">
        <v>381</v>
      </c>
      <c r="L1321">
        <v>50</v>
      </c>
      <c r="M1321" s="52">
        <v>15.82698114615712</v>
      </c>
    </row>
    <row r="1322" spans="1:13" x14ac:dyDescent="0.35">
      <c r="A1322" s="14" t="s">
        <v>391</v>
      </c>
      <c r="B1322" s="14" t="s">
        <v>377</v>
      </c>
      <c r="C1322" t="s">
        <v>394</v>
      </c>
      <c r="D1322" s="18">
        <v>44182</v>
      </c>
      <c r="E1322" s="34">
        <v>44180</v>
      </c>
      <c r="F1322" s="34">
        <v>44183</v>
      </c>
      <c r="H1322" s="28" t="s">
        <v>39</v>
      </c>
      <c r="K1322" t="s">
        <v>381</v>
      </c>
      <c r="L1322">
        <v>25</v>
      </c>
      <c r="M1322" s="52">
        <v>15.82698114615712</v>
      </c>
    </row>
    <row r="1323" spans="1:13" x14ac:dyDescent="0.35">
      <c r="A1323" s="14" t="s">
        <v>391</v>
      </c>
      <c r="B1323" s="14" t="s">
        <v>377</v>
      </c>
      <c r="C1323" t="s">
        <v>394</v>
      </c>
      <c r="D1323" s="18">
        <v>44182</v>
      </c>
      <c r="E1323" s="34">
        <v>44180</v>
      </c>
      <c r="F1323" s="34">
        <v>44183</v>
      </c>
      <c r="H1323" s="28" t="s">
        <v>116</v>
      </c>
      <c r="K1323" t="s">
        <v>381</v>
      </c>
      <c r="L1323">
        <v>25</v>
      </c>
      <c r="M1323" s="52">
        <v>15.82698114615712</v>
      </c>
    </row>
    <row r="1324" spans="1:13" x14ac:dyDescent="0.35">
      <c r="A1324" s="14" t="s">
        <v>391</v>
      </c>
      <c r="B1324" s="14" t="s">
        <v>377</v>
      </c>
      <c r="C1324" t="s">
        <v>394</v>
      </c>
      <c r="D1324" s="18">
        <v>44182</v>
      </c>
      <c r="E1324" s="34">
        <v>44180</v>
      </c>
      <c r="F1324" s="34">
        <v>44183</v>
      </c>
      <c r="H1324" s="28" t="s">
        <v>123</v>
      </c>
      <c r="M1324" s="52">
        <v>15.82698114615712</v>
      </c>
    </row>
    <row r="1325" spans="1:13" x14ac:dyDescent="0.35">
      <c r="A1325" s="14" t="s">
        <v>391</v>
      </c>
      <c r="B1325" s="14" t="s">
        <v>377</v>
      </c>
      <c r="C1325" t="s">
        <v>394</v>
      </c>
      <c r="D1325" s="18">
        <v>44182</v>
      </c>
      <c r="E1325" s="34">
        <v>44180</v>
      </c>
      <c r="F1325" s="34">
        <v>44183</v>
      </c>
      <c r="H1325" s="28" t="s">
        <v>150</v>
      </c>
      <c r="M1325" s="52">
        <v>15.82698114615712</v>
      </c>
    </row>
    <row r="1326" spans="1:13" x14ac:dyDescent="0.35">
      <c r="A1326" s="14" t="s">
        <v>391</v>
      </c>
      <c r="B1326" s="14" t="s">
        <v>377</v>
      </c>
      <c r="C1326" t="s">
        <v>394</v>
      </c>
      <c r="D1326" s="18">
        <v>44182</v>
      </c>
      <c r="E1326" s="34">
        <v>44180</v>
      </c>
      <c r="F1326" s="34">
        <v>44183</v>
      </c>
      <c r="H1326" s="28" t="s">
        <v>125</v>
      </c>
      <c r="M1326" s="52">
        <v>15.82698114615712</v>
      </c>
    </row>
    <row r="1327" spans="1:13" x14ac:dyDescent="0.35">
      <c r="A1327" s="14" t="s">
        <v>391</v>
      </c>
      <c r="B1327" s="14" t="s">
        <v>377</v>
      </c>
      <c r="C1327" t="s">
        <v>394</v>
      </c>
      <c r="D1327" s="18">
        <v>44182</v>
      </c>
      <c r="E1327" s="34">
        <v>44180</v>
      </c>
      <c r="F1327" s="34">
        <v>44183</v>
      </c>
      <c r="H1327" s="28" t="s">
        <v>127</v>
      </c>
      <c r="M1327" s="52">
        <v>15.82698114615712</v>
      </c>
    </row>
    <row r="1328" spans="1:13" x14ac:dyDescent="0.35">
      <c r="A1328" s="14" t="s">
        <v>391</v>
      </c>
      <c r="B1328" s="14" t="s">
        <v>377</v>
      </c>
      <c r="C1328" t="s">
        <v>394</v>
      </c>
      <c r="D1328" s="18">
        <v>44182</v>
      </c>
      <c r="E1328" s="34">
        <v>44180</v>
      </c>
      <c r="F1328" s="34">
        <v>44183</v>
      </c>
      <c r="H1328" s="28" t="s">
        <v>42</v>
      </c>
      <c r="K1328" t="s">
        <v>380</v>
      </c>
      <c r="L1328">
        <v>6</v>
      </c>
      <c r="M1328" s="52">
        <v>15.82698114615712</v>
      </c>
    </row>
    <row r="1329" spans="1:13" x14ac:dyDescent="0.35">
      <c r="A1329" s="14" t="s">
        <v>391</v>
      </c>
      <c r="B1329" s="14" t="s">
        <v>377</v>
      </c>
      <c r="C1329" t="s">
        <v>394</v>
      </c>
      <c r="D1329" s="18">
        <v>44182</v>
      </c>
      <c r="E1329" s="34">
        <v>44180</v>
      </c>
      <c r="F1329" s="34">
        <v>44183</v>
      </c>
      <c r="H1329" s="28" t="s">
        <v>25</v>
      </c>
      <c r="K1329" t="s">
        <v>381</v>
      </c>
      <c r="L1329">
        <v>20</v>
      </c>
      <c r="M1329" s="52">
        <v>15.82698114615712</v>
      </c>
    </row>
    <row r="1330" spans="1:13" x14ac:dyDescent="0.35">
      <c r="A1330" s="14" t="s">
        <v>391</v>
      </c>
      <c r="B1330" s="14" t="s">
        <v>377</v>
      </c>
      <c r="C1330" t="s">
        <v>394</v>
      </c>
      <c r="D1330" s="18">
        <v>44182</v>
      </c>
      <c r="E1330" s="34">
        <v>44180</v>
      </c>
      <c r="F1330" s="34">
        <v>44183</v>
      </c>
      <c r="H1330" s="28" t="s">
        <v>25</v>
      </c>
      <c r="K1330" t="s">
        <v>381</v>
      </c>
      <c r="L1330">
        <v>40</v>
      </c>
      <c r="M1330" s="52">
        <v>15.82698114615712</v>
      </c>
    </row>
    <row r="1331" spans="1:13" x14ac:dyDescent="0.35">
      <c r="A1331" s="14" t="s">
        <v>391</v>
      </c>
      <c r="B1331" s="14" t="s">
        <v>377</v>
      </c>
      <c r="C1331" t="s">
        <v>394</v>
      </c>
      <c r="D1331" s="18">
        <v>44182</v>
      </c>
      <c r="E1331" s="34">
        <v>44180</v>
      </c>
      <c r="F1331" s="34">
        <v>44183</v>
      </c>
      <c r="H1331" s="28" t="s">
        <v>23</v>
      </c>
      <c r="K1331" t="s">
        <v>380</v>
      </c>
      <c r="L1331">
        <v>6</v>
      </c>
      <c r="M1331" s="52">
        <v>15.82698114615712</v>
      </c>
    </row>
    <row r="1332" spans="1:13" x14ac:dyDescent="0.35">
      <c r="A1332" s="14" t="s">
        <v>391</v>
      </c>
      <c r="B1332" s="14" t="s">
        <v>377</v>
      </c>
      <c r="C1332" t="s">
        <v>394</v>
      </c>
      <c r="D1332" s="18">
        <v>44182</v>
      </c>
      <c r="E1332" s="34">
        <v>44180</v>
      </c>
      <c r="F1332" s="34">
        <v>44183</v>
      </c>
      <c r="H1332" s="28" t="s">
        <v>24</v>
      </c>
      <c r="K1332" t="s">
        <v>380</v>
      </c>
      <c r="L1332">
        <v>6</v>
      </c>
      <c r="M1332" s="52">
        <v>15.82698114615712</v>
      </c>
    </row>
    <row r="1333" spans="1:13" x14ac:dyDescent="0.35">
      <c r="A1333" s="14" t="s">
        <v>391</v>
      </c>
      <c r="B1333" s="14" t="s">
        <v>377</v>
      </c>
      <c r="C1333" t="s">
        <v>394</v>
      </c>
      <c r="D1333" s="18">
        <v>44182</v>
      </c>
      <c r="E1333" s="34">
        <v>44180</v>
      </c>
      <c r="F1333" s="34">
        <v>44183</v>
      </c>
      <c r="H1333" s="28" t="s">
        <v>23</v>
      </c>
      <c r="K1333" t="s">
        <v>380</v>
      </c>
      <c r="L1333">
        <v>10</v>
      </c>
      <c r="M1333" s="52">
        <v>15.82698114615712</v>
      </c>
    </row>
    <row r="1334" spans="1:13" x14ac:dyDescent="0.35">
      <c r="A1334" s="14" t="s">
        <v>391</v>
      </c>
      <c r="B1334" s="14" t="s">
        <v>377</v>
      </c>
      <c r="C1334" t="s">
        <v>394</v>
      </c>
      <c r="D1334" s="18">
        <v>44182</v>
      </c>
      <c r="E1334" s="34">
        <v>44180</v>
      </c>
      <c r="F1334" s="34">
        <v>44183</v>
      </c>
      <c r="H1334" s="28" t="s">
        <v>24</v>
      </c>
      <c r="K1334" t="s">
        <v>380</v>
      </c>
      <c r="L1334">
        <v>15</v>
      </c>
      <c r="M1334" s="52">
        <v>15.82698114615712</v>
      </c>
    </row>
    <row r="1335" spans="1:13" x14ac:dyDescent="0.35">
      <c r="A1335" s="14" t="s">
        <v>391</v>
      </c>
      <c r="B1335" s="14" t="s">
        <v>377</v>
      </c>
      <c r="C1335" t="s">
        <v>394</v>
      </c>
      <c r="D1335" s="18">
        <v>44182</v>
      </c>
      <c r="E1335" s="34">
        <v>44180</v>
      </c>
      <c r="F1335" s="34">
        <v>44183</v>
      </c>
      <c r="H1335" s="28" t="s">
        <v>27</v>
      </c>
      <c r="K1335" t="s">
        <v>380</v>
      </c>
      <c r="L1335">
        <v>10</v>
      </c>
      <c r="M1335" s="52">
        <v>15.82698114615712</v>
      </c>
    </row>
    <row r="1336" spans="1:13" x14ac:dyDescent="0.35">
      <c r="A1336" s="14" t="s">
        <v>391</v>
      </c>
      <c r="B1336" s="14" t="s">
        <v>377</v>
      </c>
      <c r="C1336" t="s">
        <v>394</v>
      </c>
      <c r="D1336" s="18">
        <v>44182</v>
      </c>
      <c r="E1336" s="34">
        <v>44180</v>
      </c>
      <c r="F1336" s="34">
        <v>44183</v>
      </c>
      <c r="H1336" s="28" t="s">
        <v>28</v>
      </c>
      <c r="K1336" t="s">
        <v>380</v>
      </c>
      <c r="L1336">
        <v>15</v>
      </c>
      <c r="M1336" s="52">
        <v>15.82698114615712</v>
      </c>
    </row>
    <row r="1337" spans="1:13" x14ac:dyDescent="0.35">
      <c r="A1337" s="14" t="s">
        <v>391</v>
      </c>
      <c r="B1337" s="14" t="s">
        <v>377</v>
      </c>
      <c r="C1337" t="s">
        <v>394</v>
      </c>
      <c r="D1337" s="18">
        <v>44182</v>
      </c>
      <c r="E1337" s="34">
        <v>44180</v>
      </c>
      <c r="F1337" s="34">
        <v>44183</v>
      </c>
      <c r="H1337" s="28" t="s">
        <v>30</v>
      </c>
      <c r="K1337" t="s">
        <v>381</v>
      </c>
      <c r="L1337">
        <v>33</v>
      </c>
      <c r="M1337" s="52">
        <v>15.82698114615712</v>
      </c>
    </row>
    <row r="1338" spans="1:13" x14ac:dyDescent="0.35">
      <c r="A1338" s="14" t="s">
        <v>391</v>
      </c>
      <c r="B1338" s="14" t="s">
        <v>377</v>
      </c>
      <c r="C1338" t="s">
        <v>394</v>
      </c>
      <c r="D1338" s="18">
        <v>44182</v>
      </c>
      <c r="E1338" s="34">
        <v>44180</v>
      </c>
      <c r="F1338" s="34">
        <v>44183</v>
      </c>
      <c r="H1338" s="28" t="s">
        <v>29</v>
      </c>
      <c r="K1338" t="s">
        <v>381</v>
      </c>
      <c r="L1338">
        <v>33</v>
      </c>
      <c r="M1338" s="52">
        <v>15.82698114615712</v>
      </c>
    </row>
    <row r="1339" spans="1:13" x14ac:dyDescent="0.35">
      <c r="A1339" s="14" t="s">
        <v>391</v>
      </c>
      <c r="B1339" s="14" t="s">
        <v>377</v>
      </c>
      <c r="C1339" t="s">
        <v>394</v>
      </c>
      <c r="D1339" s="18">
        <v>44182</v>
      </c>
      <c r="E1339" s="34">
        <v>44180</v>
      </c>
      <c r="F1339" s="34">
        <v>44183</v>
      </c>
      <c r="H1339" s="28" t="s">
        <v>188</v>
      </c>
      <c r="M1339" s="52">
        <v>15.82698114615712</v>
      </c>
    </row>
    <row r="1340" spans="1:13" x14ac:dyDescent="0.35">
      <c r="A1340" s="14" t="s">
        <v>391</v>
      </c>
      <c r="B1340" s="14" t="s">
        <v>377</v>
      </c>
      <c r="C1340" t="s">
        <v>394</v>
      </c>
      <c r="D1340" s="18">
        <v>44182</v>
      </c>
      <c r="E1340" s="34">
        <v>44180</v>
      </c>
      <c r="F1340" s="34">
        <v>44183</v>
      </c>
      <c r="H1340" s="28" t="s">
        <v>190</v>
      </c>
      <c r="M1340" s="52">
        <v>15.82698114615712</v>
      </c>
    </row>
    <row r="1341" spans="1:13" x14ac:dyDescent="0.35">
      <c r="A1341" s="14" t="s">
        <v>391</v>
      </c>
      <c r="B1341" s="14" t="s">
        <v>377</v>
      </c>
      <c r="C1341" t="s">
        <v>394</v>
      </c>
      <c r="D1341" s="18">
        <v>44182</v>
      </c>
      <c r="E1341" s="34">
        <v>44180</v>
      </c>
      <c r="F1341" s="34">
        <v>44183</v>
      </c>
      <c r="H1341" s="28" t="s">
        <v>192</v>
      </c>
      <c r="M1341" s="52">
        <v>15.82698114615712</v>
      </c>
    </row>
    <row r="1342" spans="1:13" x14ac:dyDescent="0.35">
      <c r="A1342" s="14" t="s">
        <v>391</v>
      </c>
      <c r="B1342" s="14" t="s">
        <v>377</v>
      </c>
      <c r="C1342" t="s">
        <v>394</v>
      </c>
      <c r="D1342" s="18">
        <v>44182</v>
      </c>
      <c r="E1342" s="34">
        <v>44180</v>
      </c>
      <c r="F1342" s="34">
        <v>44183</v>
      </c>
      <c r="H1342" s="28" t="s">
        <v>198</v>
      </c>
      <c r="M1342" s="52">
        <v>15.82698114615712</v>
      </c>
    </row>
    <row r="1343" spans="1:13" x14ac:dyDescent="0.35">
      <c r="A1343" s="14" t="s">
        <v>391</v>
      </c>
      <c r="B1343" s="14" t="s">
        <v>377</v>
      </c>
      <c r="C1343" t="s">
        <v>394</v>
      </c>
      <c r="D1343" s="18">
        <v>44182</v>
      </c>
      <c r="E1343" s="34">
        <v>44180</v>
      </c>
      <c r="F1343" s="34">
        <v>44183</v>
      </c>
      <c r="H1343" s="28" t="s">
        <v>393</v>
      </c>
      <c r="M1343" s="52">
        <v>15.82698114615712</v>
      </c>
    </row>
    <row r="1344" spans="1:13" x14ac:dyDescent="0.35">
      <c r="A1344" s="14" t="s">
        <v>391</v>
      </c>
      <c r="B1344" s="14" t="s">
        <v>377</v>
      </c>
      <c r="C1344" t="s">
        <v>394</v>
      </c>
      <c r="D1344" s="18">
        <v>44182</v>
      </c>
      <c r="E1344" s="34">
        <v>44180</v>
      </c>
      <c r="F1344" s="34">
        <v>44183</v>
      </c>
      <c r="H1344" s="28" t="s">
        <v>204</v>
      </c>
      <c r="M1344" s="52">
        <v>15.82698114615712</v>
      </c>
    </row>
    <row r="1345" spans="1:13" x14ac:dyDescent="0.35">
      <c r="A1345" s="14" t="s">
        <v>391</v>
      </c>
      <c r="B1345" s="14" t="s">
        <v>377</v>
      </c>
      <c r="C1345" t="s">
        <v>394</v>
      </c>
      <c r="D1345" s="18">
        <v>44182</v>
      </c>
      <c r="E1345" s="34">
        <v>44180</v>
      </c>
      <c r="F1345" s="34">
        <v>44183</v>
      </c>
      <c r="H1345" s="28" t="s">
        <v>208</v>
      </c>
      <c r="M1345" s="52">
        <v>15.82698114615712</v>
      </c>
    </row>
    <row r="1346" spans="1:13" x14ac:dyDescent="0.35">
      <c r="A1346" s="14" t="s">
        <v>391</v>
      </c>
      <c r="B1346" s="14" t="s">
        <v>377</v>
      </c>
      <c r="C1346" t="s">
        <v>394</v>
      </c>
      <c r="D1346" s="18">
        <v>44182</v>
      </c>
      <c r="E1346" s="34">
        <v>44180</v>
      </c>
      <c r="F1346" s="34">
        <v>44183</v>
      </c>
      <c r="H1346" s="28" t="s">
        <v>210</v>
      </c>
      <c r="M1346" s="52">
        <v>15.82698114615712</v>
      </c>
    </row>
    <row r="1347" spans="1:13" x14ac:dyDescent="0.35">
      <c r="A1347" s="14" t="s">
        <v>391</v>
      </c>
      <c r="B1347" s="14" t="s">
        <v>377</v>
      </c>
      <c r="C1347" t="s">
        <v>394</v>
      </c>
      <c r="D1347" s="18">
        <v>44182</v>
      </c>
      <c r="E1347" s="34">
        <v>44180</v>
      </c>
      <c r="F1347" s="34">
        <v>44183</v>
      </c>
      <c r="H1347" s="28" t="s">
        <v>403</v>
      </c>
      <c r="M1347" s="52">
        <v>15.82698114615712</v>
      </c>
    </row>
    <row r="1348" spans="1:13" x14ac:dyDescent="0.35">
      <c r="A1348" s="14" t="s">
        <v>391</v>
      </c>
      <c r="B1348" s="14" t="s">
        <v>377</v>
      </c>
      <c r="C1348" t="s">
        <v>394</v>
      </c>
      <c r="D1348" s="18">
        <v>44182</v>
      </c>
      <c r="E1348" s="34">
        <v>44180</v>
      </c>
      <c r="F1348" s="34">
        <v>44183</v>
      </c>
      <c r="H1348" s="28" t="s">
        <v>223</v>
      </c>
      <c r="M1348" s="52">
        <v>15.82698114615712</v>
      </c>
    </row>
    <row r="1349" spans="1:13" x14ac:dyDescent="0.35">
      <c r="A1349" s="14" t="s">
        <v>391</v>
      </c>
      <c r="B1349" s="14" t="s">
        <v>377</v>
      </c>
      <c r="C1349" t="s">
        <v>394</v>
      </c>
      <c r="D1349" s="18">
        <v>44182</v>
      </c>
      <c r="E1349" s="34">
        <v>44180</v>
      </c>
      <c r="F1349" s="34">
        <v>44183</v>
      </c>
      <c r="H1349" s="28" t="s">
        <v>31</v>
      </c>
      <c r="K1349" t="s">
        <v>381</v>
      </c>
      <c r="L1349">
        <v>30</v>
      </c>
      <c r="M1349" s="52">
        <v>15.82698114615712</v>
      </c>
    </row>
    <row r="1350" spans="1:13" x14ac:dyDescent="0.35">
      <c r="A1350" s="14" t="s">
        <v>391</v>
      </c>
      <c r="B1350" s="14" t="s">
        <v>377</v>
      </c>
      <c r="C1350" t="s">
        <v>394</v>
      </c>
      <c r="D1350" s="18">
        <v>44182</v>
      </c>
      <c r="E1350" s="34">
        <v>44180</v>
      </c>
      <c r="F1350" s="34">
        <v>44183</v>
      </c>
      <c r="H1350" s="28" t="s">
        <v>56</v>
      </c>
      <c r="K1350" t="s">
        <v>381</v>
      </c>
      <c r="L1350">
        <v>50</v>
      </c>
      <c r="M1350" s="52">
        <v>15.82698114615712</v>
      </c>
    </row>
    <row r="1351" spans="1:13" x14ac:dyDescent="0.35">
      <c r="A1351" s="14" t="s">
        <v>391</v>
      </c>
      <c r="B1351" s="14" t="s">
        <v>377</v>
      </c>
      <c r="C1351" t="s">
        <v>394</v>
      </c>
      <c r="D1351" s="18">
        <v>44182</v>
      </c>
      <c r="E1351" s="34">
        <v>44180</v>
      </c>
      <c r="F1351" s="34">
        <v>44183</v>
      </c>
      <c r="H1351" s="28" t="s">
        <v>263</v>
      </c>
      <c r="M1351" s="52">
        <v>15.82698114615712</v>
      </c>
    </row>
    <row r="1352" spans="1:13" x14ac:dyDescent="0.35">
      <c r="A1352" s="14" t="s">
        <v>391</v>
      </c>
      <c r="B1352" s="14" t="s">
        <v>377</v>
      </c>
      <c r="C1352" t="s">
        <v>394</v>
      </c>
      <c r="D1352" s="18">
        <v>44182</v>
      </c>
      <c r="E1352" s="34">
        <v>44180</v>
      </c>
      <c r="F1352" s="34">
        <v>44183</v>
      </c>
      <c r="H1352" s="28" t="s">
        <v>287</v>
      </c>
      <c r="M1352" s="52">
        <v>15.82698114615712</v>
      </c>
    </row>
    <row r="1353" spans="1:13" x14ac:dyDescent="0.35">
      <c r="A1353" s="14" t="s">
        <v>391</v>
      </c>
      <c r="B1353" s="14" t="s">
        <v>377</v>
      </c>
      <c r="C1353" t="s">
        <v>394</v>
      </c>
      <c r="D1353" s="18">
        <v>44182</v>
      </c>
      <c r="E1353" s="34">
        <v>44180</v>
      </c>
      <c r="F1353" s="34">
        <v>44183</v>
      </c>
      <c r="H1353" s="28" t="s">
        <v>287</v>
      </c>
      <c r="M1353" s="52">
        <v>15.82698114615712</v>
      </c>
    </row>
    <row r="1354" spans="1:13" x14ac:dyDescent="0.35">
      <c r="A1354" s="14" t="s">
        <v>391</v>
      </c>
      <c r="B1354" s="14" t="s">
        <v>377</v>
      </c>
      <c r="C1354" t="s">
        <v>394</v>
      </c>
      <c r="D1354" s="18">
        <v>44182</v>
      </c>
      <c r="E1354" s="34">
        <v>44180</v>
      </c>
      <c r="F1354" s="34">
        <v>44183</v>
      </c>
      <c r="H1354" s="28" t="s">
        <v>307</v>
      </c>
      <c r="M1354" s="52">
        <v>15.82698114615712</v>
      </c>
    </row>
    <row r="1355" spans="1:13" x14ac:dyDescent="0.35">
      <c r="A1355" s="14" t="s">
        <v>391</v>
      </c>
      <c r="B1355" s="14" t="s">
        <v>377</v>
      </c>
      <c r="C1355" t="s">
        <v>394</v>
      </c>
      <c r="D1355" s="18">
        <v>44182</v>
      </c>
      <c r="E1355" s="34">
        <v>44180</v>
      </c>
      <c r="F1355" s="34">
        <v>44183</v>
      </c>
      <c r="H1355" s="28" t="s">
        <v>309</v>
      </c>
      <c r="M1355" s="52">
        <v>15.82698114615712</v>
      </c>
    </row>
    <row r="1356" spans="1:13" x14ac:dyDescent="0.35">
      <c r="A1356" s="14" t="s">
        <v>391</v>
      </c>
      <c r="B1356" s="14" t="s">
        <v>377</v>
      </c>
      <c r="C1356" t="s">
        <v>394</v>
      </c>
      <c r="D1356" s="18">
        <v>44182</v>
      </c>
      <c r="E1356" s="34">
        <v>44180</v>
      </c>
      <c r="F1356" s="34">
        <v>44183</v>
      </c>
      <c r="H1356" s="28" t="s">
        <v>311</v>
      </c>
      <c r="M1356" s="52">
        <v>15.82698114615712</v>
      </c>
    </row>
    <row r="1357" spans="1:13" x14ac:dyDescent="0.35">
      <c r="A1357" s="14" t="s">
        <v>391</v>
      </c>
      <c r="B1357" s="14" t="s">
        <v>377</v>
      </c>
      <c r="C1357" t="s">
        <v>394</v>
      </c>
      <c r="D1357" s="18">
        <v>44182</v>
      </c>
      <c r="E1357" s="34">
        <v>44180</v>
      </c>
      <c r="F1357" s="34">
        <v>44183</v>
      </c>
      <c r="H1357" s="28" t="s">
        <v>313</v>
      </c>
      <c r="K1357" t="s">
        <v>381</v>
      </c>
      <c r="L1357">
        <v>50</v>
      </c>
      <c r="M1357" s="52">
        <v>15.82698114615712</v>
      </c>
    </row>
    <row r="1358" spans="1:13" x14ac:dyDescent="0.35">
      <c r="A1358" s="14" t="s">
        <v>391</v>
      </c>
      <c r="B1358" s="14" t="s">
        <v>377</v>
      </c>
      <c r="C1358" t="s">
        <v>394</v>
      </c>
      <c r="D1358" s="18">
        <v>44182</v>
      </c>
      <c r="E1358" s="34">
        <v>44180</v>
      </c>
      <c r="F1358" s="34">
        <v>44183</v>
      </c>
      <c r="H1358" s="28" t="s">
        <v>315</v>
      </c>
      <c r="K1358" t="s">
        <v>381</v>
      </c>
      <c r="L1358">
        <v>30</v>
      </c>
      <c r="M1358" s="52">
        <v>15.82698114615712</v>
      </c>
    </row>
    <row r="1359" spans="1:13" x14ac:dyDescent="0.35">
      <c r="A1359" s="14" t="s">
        <v>391</v>
      </c>
      <c r="B1359" s="14" t="s">
        <v>377</v>
      </c>
      <c r="C1359" t="s">
        <v>394</v>
      </c>
      <c r="D1359" s="18">
        <v>44182</v>
      </c>
      <c r="E1359" s="34">
        <v>44180</v>
      </c>
      <c r="F1359" s="34">
        <v>44183</v>
      </c>
      <c r="H1359" s="28" t="s">
        <v>32</v>
      </c>
      <c r="K1359" t="s">
        <v>380</v>
      </c>
      <c r="L1359">
        <v>6</v>
      </c>
      <c r="M1359" s="52">
        <v>15.82698114615712</v>
      </c>
    </row>
    <row r="1360" spans="1:13" x14ac:dyDescent="0.35">
      <c r="A1360" s="14" t="s">
        <v>391</v>
      </c>
      <c r="B1360" s="14" t="s">
        <v>377</v>
      </c>
      <c r="C1360" t="s">
        <v>394</v>
      </c>
      <c r="D1360" s="18">
        <v>44182</v>
      </c>
      <c r="E1360" s="34">
        <v>44180</v>
      </c>
      <c r="F1360" s="34">
        <v>44183</v>
      </c>
      <c r="H1360" s="28" t="s">
        <v>60</v>
      </c>
      <c r="K1360" t="s">
        <v>380</v>
      </c>
      <c r="L1360">
        <v>6</v>
      </c>
      <c r="M1360" s="52">
        <v>15.82698114615712</v>
      </c>
    </row>
    <row r="1361" spans="1:13" x14ac:dyDescent="0.35">
      <c r="A1361" s="14" t="s">
        <v>391</v>
      </c>
      <c r="B1361" s="14" t="s">
        <v>377</v>
      </c>
      <c r="C1361" t="s">
        <v>394</v>
      </c>
      <c r="D1361" s="18">
        <v>44182</v>
      </c>
      <c r="E1361" s="34">
        <v>44180</v>
      </c>
      <c r="F1361" s="34">
        <v>44183</v>
      </c>
      <c r="H1361" s="28" t="s">
        <v>327</v>
      </c>
      <c r="K1361" t="s">
        <v>380</v>
      </c>
      <c r="L1361">
        <v>6</v>
      </c>
      <c r="M1361" s="52">
        <v>15.82698114615712</v>
      </c>
    </row>
    <row r="1362" spans="1:13" x14ac:dyDescent="0.35">
      <c r="A1362" s="14" t="s">
        <v>391</v>
      </c>
      <c r="B1362" s="14" t="s">
        <v>377</v>
      </c>
      <c r="C1362" t="s">
        <v>394</v>
      </c>
      <c r="D1362" s="18">
        <v>44182</v>
      </c>
      <c r="E1362" s="34">
        <v>44180</v>
      </c>
      <c r="F1362" s="34">
        <v>44183</v>
      </c>
      <c r="H1362" s="28" t="s">
        <v>335</v>
      </c>
      <c r="M1362" s="52">
        <v>15.82698114615712</v>
      </c>
    </row>
    <row r="1363" spans="1:13" x14ac:dyDescent="0.35">
      <c r="A1363" s="14" t="s">
        <v>391</v>
      </c>
      <c r="B1363" s="14" t="s">
        <v>377</v>
      </c>
      <c r="C1363" t="s">
        <v>394</v>
      </c>
      <c r="D1363" s="18">
        <v>44182</v>
      </c>
      <c r="E1363" s="34">
        <v>44180</v>
      </c>
      <c r="F1363" s="34">
        <v>44183</v>
      </c>
      <c r="H1363" s="28" t="s">
        <v>339</v>
      </c>
      <c r="M1363" s="52">
        <v>15.82698114615712</v>
      </c>
    </row>
    <row r="1364" spans="1:13" x14ac:dyDescent="0.35">
      <c r="A1364" s="14" t="s">
        <v>391</v>
      </c>
      <c r="B1364" s="14" t="s">
        <v>377</v>
      </c>
      <c r="C1364" t="s">
        <v>394</v>
      </c>
      <c r="D1364" s="18">
        <v>44182</v>
      </c>
      <c r="E1364" s="34">
        <v>44180</v>
      </c>
      <c r="F1364" s="34">
        <v>44183</v>
      </c>
      <c r="H1364" s="28" t="s">
        <v>341</v>
      </c>
      <c r="M1364" s="52">
        <v>15.82698114615712</v>
      </c>
    </row>
    <row r="1365" spans="1:13" x14ac:dyDescent="0.35">
      <c r="A1365" s="14" t="s">
        <v>391</v>
      </c>
      <c r="B1365" s="14" t="s">
        <v>377</v>
      </c>
      <c r="C1365" t="s">
        <v>394</v>
      </c>
      <c r="D1365" s="18">
        <v>44182</v>
      </c>
      <c r="E1365" s="34">
        <v>44180</v>
      </c>
      <c r="F1365" s="34">
        <v>44183</v>
      </c>
      <c r="H1365" s="28" t="s">
        <v>345</v>
      </c>
      <c r="K1365" t="s">
        <v>381</v>
      </c>
      <c r="L1365">
        <v>50</v>
      </c>
      <c r="M1365" s="52">
        <v>15.82698114615712</v>
      </c>
    </row>
    <row r="1366" spans="1:13" x14ac:dyDescent="0.35">
      <c r="A1366" s="14" t="s">
        <v>391</v>
      </c>
      <c r="B1366" s="14" t="s">
        <v>377</v>
      </c>
      <c r="C1366" t="s">
        <v>394</v>
      </c>
      <c r="D1366" s="18">
        <v>44182</v>
      </c>
      <c r="E1366" s="34">
        <v>44180</v>
      </c>
      <c r="F1366" s="34">
        <v>44183</v>
      </c>
      <c r="H1366" s="28" t="s">
        <v>59</v>
      </c>
      <c r="M1366" s="52">
        <v>15.82698114615712</v>
      </c>
    </row>
    <row r="1367" spans="1:13" x14ac:dyDescent="0.35">
      <c r="A1367" s="14" t="s">
        <v>391</v>
      </c>
      <c r="B1367" s="14" t="s">
        <v>377</v>
      </c>
      <c r="C1367" t="s">
        <v>394</v>
      </c>
      <c r="D1367" s="18">
        <v>44182</v>
      </c>
      <c r="E1367" s="34">
        <v>44180</v>
      </c>
      <c r="F1367" s="34">
        <v>44183</v>
      </c>
      <c r="H1367" s="28" t="s">
        <v>360</v>
      </c>
      <c r="M1367" s="52">
        <v>15.82698114615712</v>
      </c>
    </row>
    <row r="1368" spans="1:13" x14ac:dyDescent="0.35">
      <c r="A1368" s="14" t="s">
        <v>391</v>
      </c>
      <c r="B1368" s="14" t="s">
        <v>377</v>
      </c>
      <c r="C1368" t="s">
        <v>394</v>
      </c>
      <c r="D1368" s="18">
        <v>44182</v>
      </c>
      <c r="E1368" s="34">
        <v>44180</v>
      </c>
      <c r="F1368" s="34">
        <v>44183</v>
      </c>
      <c r="H1368" s="28" t="s">
        <v>360</v>
      </c>
      <c r="M1368" s="52">
        <v>15.82698114615712</v>
      </c>
    </row>
    <row r="1369" spans="1:13" x14ac:dyDescent="0.35">
      <c r="A1369" s="14" t="s">
        <v>391</v>
      </c>
      <c r="B1369" s="14" t="s">
        <v>377</v>
      </c>
      <c r="C1369" t="s">
        <v>400</v>
      </c>
      <c r="D1369" s="18">
        <v>44187</v>
      </c>
      <c r="E1369" s="18">
        <v>44182</v>
      </c>
      <c r="F1369" s="34">
        <v>44187</v>
      </c>
      <c r="H1369" s="28" t="s">
        <v>68</v>
      </c>
      <c r="M1369" s="52">
        <v>6.5536225387526503</v>
      </c>
    </row>
    <row r="1370" spans="1:13" x14ac:dyDescent="0.35">
      <c r="A1370" s="14" t="s">
        <v>391</v>
      </c>
      <c r="B1370" s="14" t="s">
        <v>377</v>
      </c>
      <c r="C1370" t="s">
        <v>400</v>
      </c>
      <c r="D1370" s="18">
        <v>44187</v>
      </c>
      <c r="E1370" s="18">
        <v>44182</v>
      </c>
      <c r="F1370" s="34">
        <v>44187</v>
      </c>
      <c r="H1370" s="28" t="s">
        <v>408</v>
      </c>
      <c r="M1370" s="52">
        <v>6.5536225387526503</v>
      </c>
    </row>
    <row r="1371" spans="1:13" x14ac:dyDescent="0.35">
      <c r="A1371" s="14" t="s">
        <v>391</v>
      </c>
      <c r="B1371" s="14" t="s">
        <v>377</v>
      </c>
      <c r="C1371" t="s">
        <v>400</v>
      </c>
      <c r="D1371" s="18">
        <v>44187</v>
      </c>
      <c r="E1371" s="18">
        <v>44182</v>
      </c>
      <c r="F1371" s="34">
        <v>44187</v>
      </c>
      <c r="H1371" s="28" t="s">
        <v>41</v>
      </c>
      <c r="K1371" t="s">
        <v>381</v>
      </c>
      <c r="L1371">
        <v>50</v>
      </c>
      <c r="M1371" s="52">
        <v>6.5536225387526503</v>
      </c>
    </row>
    <row r="1372" spans="1:13" x14ac:dyDescent="0.35">
      <c r="A1372" s="14" t="s">
        <v>391</v>
      </c>
      <c r="B1372" s="14" t="s">
        <v>377</v>
      </c>
      <c r="C1372" t="s">
        <v>400</v>
      </c>
      <c r="D1372" s="18">
        <v>44187</v>
      </c>
      <c r="E1372" s="18">
        <v>44182</v>
      </c>
      <c r="F1372" s="34">
        <v>44187</v>
      </c>
      <c r="H1372" s="28" t="s">
        <v>39</v>
      </c>
      <c r="K1372" t="s">
        <v>381</v>
      </c>
      <c r="L1372">
        <v>25</v>
      </c>
      <c r="M1372" s="52">
        <v>6.5536225387526503</v>
      </c>
    </row>
    <row r="1373" spans="1:13" x14ac:dyDescent="0.35">
      <c r="A1373" s="14" t="s">
        <v>391</v>
      </c>
      <c r="B1373" s="14" t="s">
        <v>377</v>
      </c>
      <c r="C1373" t="s">
        <v>400</v>
      </c>
      <c r="D1373" s="18">
        <v>44187</v>
      </c>
      <c r="E1373" s="18">
        <v>44182</v>
      </c>
      <c r="F1373" s="34">
        <v>44187</v>
      </c>
      <c r="H1373" s="28" t="s">
        <v>123</v>
      </c>
      <c r="M1373" s="52">
        <v>6.5536225387526503</v>
      </c>
    </row>
    <row r="1374" spans="1:13" x14ac:dyDescent="0.35">
      <c r="A1374" s="14" t="s">
        <v>391</v>
      </c>
      <c r="B1374" s="14" t="s">
        <v>377</v>
      </c>
      <c r="C1374" t="s">
        <v>400</v>
      </c>
      <c r="D1374" s="18">
        <v>44187</v>
      </c>
      <c r="E1374" s="18">
        <v>44182</v>
      </c>
      <c r="F1374" s="34">
        <v>44187</v>
      </c>
      <c r="H1374" s="28" t="s">
        <v>150</v>
      </c>
      <c r="M1374" s="52">
        <v>6.5536225387526503</v>
      </c>
    </row>
    <row r="1375" spans="1:13" x14ac:dyDescent="0.35">
      <c r="A1375" s="14" t="s">
        <v>391</v>
      </c>
      <c r="B1375" s="14" t="s">
        <v>377</v>
      </c>
      <c r="C1375" t="s">
        <v>400</v>
      </c>
      <c r="D1375" s="18">
        <v>44187</v>
      </c>
      <c r="E1375" s="18">
        <v>44182</v>
      </c>
      <c r="F1375" s="34">
        <v>44187</v>
      </c>
      <c r="H1375" s="28" t="s">
        <v>127</v>
      </c>
      <c r="M1375" s="52">
        <v>6.5536225387526503</v>
      </c>
    </row>
    <row r="1376" spans="1:13" x14ac:dyDescent="0.35">
      <c r="A1376" s="14" t="s">
        <v>391</v>
      </c>
      <c r="B1376" s="14" t="s">
        <v>377</v>
      </c>
      <c r="C1376" t="s">
        <v>400</v>
      </c>
      <c r="D1376" s="18">
        <v>44187</v>
      </c>
      <c r="E1376" s="18">
        <v>44182</v>
      </c>
      <c r="F1376" s="34">
        <v>44187</v>
      </c>
      <c r="H1376" s="28" t="s">
        <v>25</v>
      </c>
      <c r="K1376" t="s">
        <v>381</v>
      </c>
      <c r="L1376">
        <v>20</v>
      </c>
      <c r="M1376" s="52">
        <v>6.5536225387526503</v>
      </c>
    </row>
    <row r="1377" spans="1:13" x14ac:dyDescent="0.35">
      <c r="A1377" s="14" t="s">
        <v>391</v>
      </c>
      <c r="B1377" s="14" t="s">
        <v>377</v>
      </c>
      <c r="C1377" t="s">
        <v>400</v>
      </c>
      <c r="D1377" s="18">
        <v>44187</v>
      </c>
      <c r="E1377" s="18">
        <v>44182</v>
      </c>
      <c r="F1377" s="34">
        <v>44187</v>
      </c>
      <c r="H1377" s="28" t="s">
        <v>23</v>
      </c>
      <c r="K1377" t="s">
        <v>380</v>
      </c>
      <c r="L1377">
        <v>10</v>
      </c>
      <c r="M1377" s="52">
        <v>6.5536225387526503</v>
      </c>
    </row>
    <row r="1378" spans="1:13" x14ac:dyDescent="0.35">
      <c r="A1378" s="14" t="s">
        <v>391</v>
      </c>
      <c r="B1378" s="14" t="s">
        <v>377</v>
      </c>
      <c r="C1378" t="s">
        <v>400</v>
      </c>
      <c r="D1378" s="18">
        <v>44187</v>
      </c>
      <c r="E1378" s="18">
        <v>44182</v>
      </c>
      <c r="F1378" s="34">
        <v>44187</v>
      </c>
      <c r="H1378" s="28" t="s">
        <v>24</v>
      </c>
      <c r="K1378" t="s">
        <v>380</v>
      </c>
      <c r="L1378">
        <v>15</v>
      </c>
      <c r="M1378" s="52">
        <v>6.5536225387526503</v>
      </c>
    </row>
    <row r="1379" spans="1:13" x14ac:dyDescent="0.35">
      <c r="A1379" s="14" t="s">
        <v>391</v>
      </c>
      <c r="B1379" s="14" t="s">
        <v>377</v>
      </c>
      <c r="C1379" t="s">
        <v>400</v>
      </c>
      <c r="D1379" s="18">
        <v>44187</v>
      </c>
      <c r="E1379" s="18">
        <v>44182</v>
      </c>
      <c r="F1379" s="34">
        <v>44187</v>
      </c>
      <c r="H1379" s="28" t="s">
        <v>27</v>
      </c>
      <c r="K1379" t="s">
        <v>380</v>
      </c>
      <c r="L1379">
        <v>10</v>
      </c>
      <c r="M1379" s="52">
        <v>6.5536225387526503</v>
      </c>
    </row>
    <row r="1380" spans="1:13" x14ac:dyDescent="0.35">
      <c r="A1380" s="14" t="s">
        <v>391</v>
      </c>
      <c r="B1380" s="14" t="s">
        <v>377</v>
      </c>
      <c r="C1380" t="s">
        <v>400</v>
      </c>
      <c r="D1380" s="18">
        <v>44187</v>
      </c>
      <c r="E1380" s="18">
        <v>44182</v>
      </c>
      <c r="F1380" s="34">
        <v>44187</v>
      </c>
      <c r="H1380" s="28" t="s">
        <v>28</v>
      </c>
      <c r="K1380" t="s">
        <v>380</v>
      </c>
      <c r="L1380">
        <v>15</v>
      </c>
      <c r="M1380" s="52">
        <v>6.5536225387526503</v>
      </c>
    </row>
    <row r="1381" spans="1:13" x14ac:dyDescent="0.35">
      <c r="A1381" s="14" t="s">
        <v>391</v>
      </c>
      <c r="B1381" s="14" t="s">
        <v>377</v>
      </c>
      <c r="C1381" t="s">
        <v>400</v>
      </c>
      <c r="D1381" s="18">
        <v>44187</v>
      </c>
      <c r="E1381" s="18">
        <v>44182</v>
      </c>
      <c r="F1381" s="34">
        <v>44187</v>
      </c>
      <c r="H1381" s="28" t="s">
        <v>30</v>
      </c>
      <c r="M1381" s="52">
        <v>6.5536225387526503</v>
      </c>
    </row>
    <row r="1382" spans="1:13" x14ac:dyDescent="0.35">
      <c r="A1382" s="14" t="s">
        <v>391</v>
      </c>
      <c r="B1382" s="14" t="s">
        <v>377</v>
      </c>
      <c r="C1382" t="s">
        <v>400</v>
      </c>
      <c r="D1382" s="18">
        <v>44187</v>
      </c>
      <c r="E1382" s="18">
        <v>44182</v>
      </c>
      <c r="F1382" s="34">
        <v>44187</v>
      </c>
      <c r="H1382" s="28" t="s">
        <v>29</v>
      </c>
      <c r="K1382" t="s">
        <v>381</v>
      </c>
      <c r="L1382">
        <v>33</v>
      </c>
      <c r="M1382" s="52">
        <v>6.5536225387526503</v>
      </c>
    </row>
    <row r="1383" spans="1:13" x14ac:dyDescent="0.35">
      <c r="A1383" s="14" t="s">
        <v>391</v>
      </c>
      <c r="B1383" s="14" t="s">
        <v>377</v>
      </c>
      <c r="C1383" t="s">
        <v>400</v>
      </c>
      <c r="D1383" s="18">
        <v>44187</v>
      </c>
      <c r="E1383" s="18">
        <v>44182</v>
      </c>
      <c r="F1383" s="34">
        <v>44187</v>
      </c>
      <c r="H1383" s="28" t="s">
        <v>190</v>
      </c>
      <c r="M1383" s="52">
        <v>6.5536225387526503</v>
      </c>
    </row>
    <row r="1384" spans="1:13" x14ac:dyDescent="0.35">
      <c r="A1384" s="14" t="s">
        <v>391</v>
      </c>
      <c r="B1384" s="14" t="s">
        <v>377</v>
      </c>
      <c r="C1384" t="s">
        <v>400</v>
      </c>
      <c r="D1384" s="18">
        <v>44187</v>
      </c>
      <c r="E1384" s="18">
        <v>44182</v>
      </c>
      <c r="F1384" s="34">
        <v>44187</v>
      </c>
      <c r="H1384" s="28" t="s">
        <v>198</v>
      </c>
      <c r="M1384" s="52">
        <v>6.5536225387526503</v>
      </c>
    </row>
    <row r="1385" spans="1:13" x14ac:dyDescent="0.35">
      <c r="A1385" s="14" t="s">
        <v>391</v>
      </c>
      <c r="B1385" s="14" t="s">
        <v>377</v>
      </c>
      <c r="C1385" t="s">
        <v>400</v>
      </c>
      <c r="D1385" s="18">
        <v>44187</v>
      </c>
      <c r="E1385" s="18">
        <v>44182</v>
      </c>
      <c r="F1385" s="34">
        <v>44187</v>
      </c>
      <c r="H1385" s="28" t="s">
        <v>393</v>
      </c>
      <c r="M1385" s="52">
        <v>6.5536225387526503</v>
      </c>
    </row>
    <row r="1386" spans="1:13" x14ac:dyDescent="0.35">
      <c r="A1386" s="14" t="s">
        <v>391</v>
      </c>
      <c r="B1386" s="14" t="s">
        <v>377</v>
      </c>
      <c r="C1386" t="s">
        <v>400</v>
      </c>
      <c r="D1386" s="18">
        <v>44187</v>
      </c>
      <c r="E1386" s="18">
        <v>44182</v>
      </c>
      <c r="F1386" s="34">
        <v>44187</v>
      </c>
      <c r="H1386" s="28" t="s">
        <v>204</v>
      </c>
      <c r="M1386" s="52">
        <v>6.5536225387526503</v>
      </c>
    </row>
    <row r="1387" spans="1:13" x14ac:dyDescent="0.35">
      <c r="A1387" s="14" t="s">
        <v>391</v>
      </c>
      <c r="B1387" s="14" t="s">
        <v>377</v>
      </c>
      <c r="C1387" t="s">
        <v>400</v>
      </c>
      <c r="D1387" s="18">
        <v>44187</v>
      </c>
      <c r="E1387" s="18">
        <v>44182</v>
      </c>
      <c r="F1387" s="34">
        <v>44187</v>
      </c>
      <c r="H1387" s="28" t="s">
        <v>208</v>
      </c>
      <c r="M1387" s="52">
        <v>6.5536225387526503</v>
      </c>
    </row>
    <row r="1388" spans="1:13" x14ac:dyDescent="0.35">
      <c r="A1388" s="14" t="s">
        <v>391</v>
      </c>
      <c r="B1388" s="14" t="s">
        <v>377</v>
      </c>
      <c r="C1388" t="s">
        <v>400</v>
      </c>
      <c r="D1388" s="18">
        <v>44187</v>
      </c>
      <c r="E1388" s="18">
        <v>44182</v>
      </c>
      <c r="F1388" s="34">
        <v>44187</v>
      </c>
      <c r="H1388" s="28" t="s">
        <v>403</v>
      </c>
      <c r="M1388" s="52">
        <v>6.5536225387526503</v>
      </c>
    </row>
    <row r="1389" spans="1:13" x14ac:dyDescent="0.35">
      <c r="A1389" s="14" t="s">
        <v>391</v>
      </c>
      <c r="B1389" s="14" t="s">
        <v>377</v>
      </c>
      <c r="C1389" t="s">
        <v>400</v>
      </c>
      <c r="D1389" s="18">
        <v>44187</v>
      </c>
      <c r="E1389" s="18">
        <v>44182</v>
      </c>
      <c r="F1389" s="34">
        <v>44187</v>
      </c>
      <c r="H1389" s="28" t="s">
        <v>223</v>
      </c>
      <c r="M1389" s="52">
        <v>6.5536225387526503</v>
      </c>
    </row>
    <row r="1390" spans="1:13" x14ac:dyDescent="0.35">
      <c r="A1390" s="14" t="s">
        <v>391</v>
      </c>
      <c r="B1390" s="14" t="s">
        <v>377</v>
      </c>
      <c r="C1390" t="s">
        <v>400</v>
      </c>
      <c r="D1390" s="18">
        <v>44187</v>
      </c>
      <c r="E1390" s="18">
        <v>44182</v>
      </c>
      <c r="F1390" s="34">
        <v>44187</v>
      </c>
      <c r="H1390" s="28" t="s">
        <v>56</v>
      </c>
      <c r="K1390" t="s">
        <v>381</v>
      </c>
      <c r="L1390">
        <v>30</v>
      </c>
      <c r="M1390" s="52">
        <v>6.5536225387526503</v>
      </c>
    </row>
    <row r="1391" spans="1:13" x14ac:dyDescent="0.35">
      <c r="A1391" s="14" t="s">
        <v>391</v>
      </c>
      <c r="B1391" s="14" t="s">
        <v>377</v>
      </c>
      <c r="C1391" t="s">
        <v>400</v>
      </c>
      <c r="D1391" s="18">
        <v>44187</v>
      </c>
      <c r="E1391" s="18">
        <v>44182</v>
      </c>
      <c r="F1391" s="34">
        <v>44187</v>
      </c>
      <c r="H1391" s="28" t="s">
        <v>263</v>
      </c>
      <c r="M1391" s="52">
        <v>6.5536225387526503</v>
      </c>
    </row>
    <row r="1392" spans="1:13" x14ac:dyDescent="0.35">
      <c r="A1392" s="14" t="s">
        <v>391</v>
      </c>
      <c r="B1392" s="14" t="s">
        <v>377</v>
      </c>
      <c r="C1392" t="s">
        <v>400</v>
      </c>
      <c r="D1392" s="18">
        <v>44187</v>
      </c>
      <c r="E1392" s="18">
        <v>44182</v>
      </c>
      <c r="F1392" s="34">
        <v>44187</v>
      </c>
      <c r="H1392" s="28" t="s">
        <v>287</v>
      </c>
      <c r="M1392" s="52">
        <v>6.5536225387526503</v>
      </c>
    </row>
    <row r="1393" spans="1:13" x14ac:dyDescent="0.35">
      <c r="A1393" s="14" t="s">
        <v>391</v>
      </c>
      <c r="B1393" s="14" t="s">
        <v>377</v>
      </c>
      <c r="C1393" t="s">
        <v>400</v>
      </c>
      <c r="D1393" s="18">
        <v>44187</v>
      </c>
      <c r="E1393" s="18">
        <v>44182</v>
      </c>
      <c r="F1393" s="34">
        <v>44187</v>
      </c>
      <c r="H1393" s="28" t="s">
        <v>309</v>
      </c>
      <c r="M1393" s="52">
        <v>6.5536225387526503</v>
      </c>
    </row>
    <row r="1394" spans="1:13" x14ac:dyDescent="0.35">
      <c r="A1394" s="14" t="s">
        <v>391</v>
      </c>
      <c r="B1394" s="14" t="s">
        <v>377</v>
      </c>
      <c r="C1394" t="s">
        <v>400</v>
      </c>
      <c r="D1394" s="18">
        <v>44187</v>
      </c>
      <c r="E1394" s="18">
        <v>44182</v>
      </c>
      <c r="F1394" s="34">
        <v>44187</v>
      </c>
      <c r="H1394" s="28" t="s">
        <v>311</v>
      </c>
      <c r="M1394" s="52">
        <v>6.5536225387526503</v>
      </c>
    </row>
    <row r="1395" spans="1:13" x14ac:dyDescent="0.35">
      <c r="A1395" s="14" t="s">
        <v>391</v>
      </c>
      <c r="B1395" s="14" t="s">
        <v>377</v>
      </c>
      <c r="C1395" t="s">
        <v>400</v>
      </c>
      <c r="D1395" s="18">
        <v>44187</v>
      </c>
      <c r="E1395" s="18">
        <v>44182</v>
      </c>
      <c r="F1395" s="34">
        <v>44187</v>
      </c>
      <c r="H1395" s="28" t="s">
        <v>315</v>
      </c>
      <c r="K1395" t="s">
        <v>381</v>
      </c>
      <c r="L1395">
        <v>30</v>
      </c>
      <c r="M1395" s="52">
        <v>6.5536225387526503</v>
      </c>
    </row>
    <row r="1396" spans="1:13" x14ac:dyDescent="0.35">
      <c r="A1396" s="14" t="s">
        <v>391</v>
      </c>
      <c r="B1396" s="14" t="s">
        <v>377</v>
      </c>
      <c r="C1396" t="s">
        <v>400</v>
      </c>
      <c r="D1396" s="18">
        <v>44187</v>
      </c>
      <c r="E1396" s="18">
        <v>44182</v>
      </c>
      <c r="F1396" s="34">
        <v>44187</v>
      </c>
      <c r="H1396" s="28" t="s">
        <v>401</v>
      </c>
      <c r="K1396" t="s">
        <v>381</v>
      </c>
      <c r="L1396">
        <v>50</v>
      </c>
      <c r="M1396" s="52">
        <v>6.5536225387526503</v>
      </c>
    </row>
    <row r="1397" spans="1:13" x14ac:dyDescent="0.35">
      <c r="A1397" s="14" t="s">
        <v>391</v>
      </c>
      <c r="B1397" s="14" t="s">
        <v>377</v>
      </c>
      <c r="C1397" t="s">
        <v>400</v>
      </c>
      <c r="D1397" s="18">
        <v>44187</v>
      </c>
      <c r="E1397" s="18">
        <v>44182</v>
      </c>
      <c r="F1397" s="34">
        <v>44187</v>
      </c>
      <c r="H1397" s="28" t="s">
        <v>402</v>
      </c>
      <c r="K1397" t="s">
        <v>380</v>
      </c>
      <c r="L1397">
        <v>6</v>
      </c>
      <c r="M1397" s="52">
        <v>6.5536225387526503</v>
      </c>
    </row>
    <row r="1398" spans="1:13" x14ac:dyDescent="0.35">
      <c r="A1398" s="14" t="s">
        <v>391</v>
      </c>
      <c r="B1398" s="14" t="s">
        <v>377</v>
      </c>
      <c r="C1398" t="s">
        <v>400</v>
      </c>
      <c r="D1398" s="18">
        <v>44187</v>
      </c>
      <c r="E1398" s="18">
        <v>44182</v>
      </c>
      <c r="F1398" s="34">
        <v>44187</v>
      </c>
      <c r="H1398" s="28" t="s">
        <v>60</v>
      </c>
      <c r="K1398" t="s">
        <v>380</v>
      </c>
      <c r="L1398">
        <v>6</v>
      </c>
      <c r="M1398" s="52">
        <v>6.5536225387526503</v>
      </c>
    </row>
    <row r="1399" spans="1:13" x14ac:dyDescent="0.35">
      <c r="A1399" s="14" t="s">
        <v>391</v>
      </c>
      <c r="B1399" s="14" t="s">
        <v>377</v>
      </c>
      <c r="C1399" t="s">
        <v>400</v>
      </c>
      <c r="D1399" s="18">
        <v>44187</v>
      </c>
      <c r="E1399" s="18">
        <v>44182</v>
      </c>
      <c r="F1399" s="34">
        <v>44187</v>
      </c>
      <c r="H1399" s="28" t="s">
        <v>60</v>
      </c>
      <c r="K1399" t="s">
        <v>380</v>
      </c>
      <c r="L1399">
        <v>6</v>
      </c>
      <c r="M1399" s="52">
        <v>6.5536225387526503</v>
      </c>
    </row>
    <row r="1400" spans="1:13" x14ac:dyDescent="0.35">
      <c r="A1400" s="14" t="s">
        <v>391</v>
      </c>
      <c r="B1400" s="14" t="s">
        <v>377</v>
      </c>
      <c r="C1400" t="s">
        <v>400</v>
      </c>
      <c r="D1400" s="18">
        <v>44187</v>
      </c>
      <c r="E1400" s="18">
        <v>44182</v>
      </c>
      <c r="F1400" s="34">
        <v>44187</v>
      </c>
      <c r="H1400" s="28" t="s">
        <v>335</v>
      </c>
      <c r="M1400" s="52">
        <v>6.5536225387526503</v>
      </c>
    </row>
    <row r="1401" spans="1:13" x14ac:dyDescent="0.35">
      <c r="A1401" s="14" t="s">
        <v>391</v>
      </c>
      <c r="B1401" s="14" t="s">
        <v>377</v>
      </c>
      <c r="C1401" t="s">
        <v>400</v>
      </c>
      <c r="D1401" s="18">
        <v>44187</v>
      </c>
      <c r="E1401" s="18">
        <v>44182</v>
      </c>
      <c r="F1401" s="34">
        <v>44187</v>
      </c>
      <c r="H1401" s="28" t="s">
        <v>339</v>
      </c>
      <c r="M1401" s="52">
        <v>6.5536225387526503</v>
      </c>
    </row>
    <row r="1402" spans="1:13" x14ac:dyDescent="0.35">
      <c r="A1402" s="14" t="s">
        <v>391</v>
      </c>
      <c r="B1402" s="14" t="s">
        <v>377</v>
      </c>
      <c r="C1402" t="s">
        <v>400</v>
      </c>
      <c r="D1402" s="18">
        <v>44187</v>
      </c>
      <c r="E1402" s="18">
        <v>44182</v>
      </c>
      <c r="F1402" s="34">
        <v>44187</v>
      </c>
      <c r="H1402" s="28" t="s">
        <v>341</v>
      </c>
      <c r="M1402" s="52">
        <v>6.5536225387526503</v>
      </c>
    </row>
    <row r="1403" spans="1:13" x14ac:dyDescent="0.35">
      <c r="A1403" s="14" t="s">
        <v>391</v>
      </c>
      <c r="B1403" s="14" t="s">
        <v>377</v>
      </c>
      <c r="C1403" t="s">
        <v>400</v>
      </c>
      <c r="D1403" s="18">
        <v>44187</v>
      </c>
      <c r="E1403" s="18">
        <v>44182</v>
      </c>
      <c r="F1403" s="34">
        <v>44187</v>
      </c>
      <c r="H1403" s="28" t="s">
        <v>345</v>
      </c>
      <c r="K1403" t="s">
        <v>381</v>
      </c>
      <c r="L1403">
        <v>50</v>
      </c>
      <c r="M1403" s="52">
        <v>6.5536225387526503</v>
      </c>
    </row>
    <row r="1404" spans="1:13" x14ac:dyDescent="0.35">
      <c r="A1404" s="14" t="s">
        <v>391</v>
      </c>
      <c r="B1404" s="14" t="s">
        <v>377</v>
      </c>
      <c r="C1404" t="s">
        <v>400</v>
      </c>
      <c r="D1404" s="18">
        <v>44187</v>
      </c>
      <c r="E1404" s="18">
        <v>44182</v>
      </c>
      <c r="F1404" s="34">
        <v>44187</v>
      </c>
      <c r="H1404" s="28" t="s">
        <v>59</v>
      </c>
      <c r="M1404" s="52">
        <v>6.5536225387526503</v>
      </c>
    </row>
    <row r="1405" spans="1:13" x14ac:dyDescent="0.35">
      <c r="A1405" s="14" t="s">
        <v>391</v>
      </c>
      <c r="B1405" s="14" t="s">
        <v>377</v>
      </c>
      <c r="C1405" t="s">
        <v>400</v>
      </c>
      <c r="D1405" s="18">
        <v>44187</v>
      </c>
      <c r="E1405" s="18">
        <v>44182</v>
      </c>
      <c r="F1405" s="34">
        <v>44187</v>
      </c>
      <c r="H1405" s="28" t="s">
        <v>360</v>
      </c>
      <c r="M1405" s="52">
        <v>6.5536225387526503</v>
      </c>
    </row>
    <row r="1406" spans="1:13" x14ac:dyDescent="0.35">
      <c r="A1406" s="14" t="s">
        <v>391</v>
      </c>
      <c r="B1406" s="14" t="s">
        <v>377</v>
      </c>
      <c r="C1406" t="s">
        <v>392</v>
      </c>
      <c r="D1406" s="18">
        <v>44187</v>
      </c>
      <c r="E1406" s="34">
        <v>44183</v>
      </c>
      <c r="F1406" s="34">
        <v>44187</v>
      </c>
      <c r="H1406" s="28" t="s">
        <v>96</v>
      </c>
      <c r="M1406" s="52">
        <v>3.0189510163432369</v>
      </c>
    </row>
    <row r="1407" spans="1:13" x14ac:dyDescent="0.35">
      <c r="A1407" s="14" t="s">
        <v>391</v>
      </c>
      <c r="B1407" s="14" t="s">
        <v>377</v>
      </c>
      <c r="C1407" t="s">
        <v>392</v>
      </c>
      <c r="D1407" s="18">
        <v>44187</v>
      </c>
      <c r="E1407" s="34">
        <v>44183</v>
      </c>
      <c r="F1407" s="34">
        <v>44187</v>
      </c>
      <c r="H1407" s="28" t="s">
        <v>72</v>
      </c>
      <c r="M1407" s="52">
        <v>3.0189510163432369</v>
      </c>
    </row>
    <row r="1408" spans="1:13" x14ac:dyDescent="0.35">
      <c r="A1408" s="14" t="s">
        <v>391</v>
      </c>
      <c r="B1408" s="14" t="s">
        <v>377</v>
      </c>
      <c r="C1408" t="s">
        <v>392</v>
      </c>
      <c r="D1408" s="18">
        <v>44187</v>
      </c>
      <c r="E1408" s="34">
        <v>44183</v>
      </c>
      <c r="F1408" s="34">
        <v>44187</v>
      </c>
      <c r="H1408" s="28" t="s">
        <v>47</v>
      </c>
      <c r="K1408" t="s">
        <v>381</v>
      </c>
      <c r="L1408">
        <v>20</v>
      </c>
      <c r="M1408" s="52">
        <v>3.0189510163432369</v>
      </c>
    </row>
    <row r="1409" spans="1:13" x14ac:dyDescent="0.35">
      <c r="A1409" s="14" t="s">
        <v>391</v>
      </c>
      <c r="B1409" s="14" t="s">
        <v>377</v>
      </c>
      <c r="C1409" t="s">
        <v>392</v>
      </c>
      <c r="D1409" s="18">
        <v>44187</v>
      </c>
      <c r="E1409" s="34">
        <v>44183</v>
      </c>
      <c r="F1409" s="34">
        <v>44187</v>
      </c>
      <c r="H1409" s="28" t="s">
        <v>50</v>
      </c>
      <c r="K1409" t="s">
        <v>381</v>
      </c>
      <c r="L1409">
        <v>50</v>
      </c>
      <c r="M1409" s="52">
        <v>3.0189510163432369</v>
      </c>
    </row>
    <row r="1410" spans="1:13" x14ac:dyDescent="0.35">
      <c r="A1410" s="14" t="s">
        <v>391</v>
      </c>
      <c r="B1410" s="14" t="s">
        <v>377</v>
      </c>
      <c r="C1410" t="s">
        <v>392</v>
      </c>
      <c r="D1410" s="18">
        <v>44187</v>
      </c>
      <c r="E1410" s="34">
        <v>44183</v>
      </c>
      <c r="F1410" s="34">
        <v>44187</v>
      </c>
      <c r="H1410" s="28" t="s">
        <v>41</v>
      </c>
      <c r="K1410" t="s">
        <v>381</v>
      </c>
      <c r="L1410">
        <v>50</v>
      </c>
      <c r="M1410" s="52">
        <v>3.0189510163432369</v>
      </c>
    </row>
    <row r="1411" spans="1:13" x14ac:dyDescent="0.35">
      <c r="A1411" s="14" t="s">
        <v>391</v>
      </c>
      <c r="B1411" s="14" t="s">
        <v>377</v>
      </c>
      <c r="C1411" t="s">
        <v>392</v>
      </c>
      <c r="D1411" s="18">
        <v>44187</v>
      </c>
      <c r="E1411" s="34">
        <v>44183</v>
      </c>
      <c r="F1411" s="34">
        <v>44187</v>
      </c>
      <c r="H1411" s="28" t="s">
        <v>116</v>
      </c>
      <c r="K1411" t="s">
        <v>381</v>
      </c>
      <c r="L1411">
        <v>25</v>
      </c>
      <c r="M1411" s="52">
        <v>3.0189510163432369</v>
      </c>
    </row>
    <row r="1412" spans="1:13" x14ac:dyDescent="0.35">
      <c r="A1412" s="14" t="s">
        <v>391</v>
      </c>
      <c r="B1412" s="14" t="s">
        <v>377</v>
      </c>
      <c r="C1412" t="s">
        <v>392</v>
      </c>
      <c r="D1412" s="18">
        <v>44187</v>
      </c>
      <c r="E1412" s="34">
        <v>44183</v>
      </c>
      <c r="F1412" s="34">
        <v>44187</v>
      </c>
      <c r="H1412" s="28" t="s">
        <v>125</v>
      </c>
      <c r="M1412" s="52">
        <v>3.0189510163432369</v>
      </c>
    </row>
    <row r="1413" spans="1:13" x14ac:dyDescent="0.35">
      <c r="A1413" s="14" t="s">
        <v>391</v>
      </c>
      <c r="B1413" s="14" t="s">
        <v>377</v>
      </c>
      <c r="C1413" t="s">
        <v>392</v>
      </c>
      <c r="D1413" s="18">
        <v>44187</v>
      </c>
      <c r="E1413" s="34">
        <v>44183</v>
      </c>
      <c r="F1413" s="34">
        <v>44187</v>
      </c>
      <c r="H1413" s="28" t="s">
        <v>127</v>
      </c>
      <c r="M1413" s="52">
        <v>3.0189510163432369</v>
      </c>
    </row>
    <row r="1414" spans="1:13" x14ac:dyDescent="0.35">
      <c r="A1414" s="14" t="s">
        <v>391</v>
      </c>
      <c r="B1414" s="14" t="s">
        <v>377</v>
      </c>
      <c r="C1414" t="s">
        <v>392</v>
      </c>
      <c r="D1414" s="18">
        <v>44187</v>
      </c>
      <c r="E1414" s="34">
        <v>44183</v>
      </c>
      <c r="F1414" s="34">
        <v>44187</v>
      </c>
      <c r="H1414" s="28" t="s">
        <v>42</v>
      </c>
      <c r="K1414" t="s">
        <v>380</v>
      </c>
      <c r="L1414">
        <v>6</v>
      </c>
      <c r="M1414" s="52">
        <v>3.0189510163432369</v>
      </c>
    </row>
    <row r="1415" spans="1:13" x14ac:dyDescent="0.35">
      <c r="A1415" s="14" t="s">
        <v>391</v>
      </c>
      <c r="B1415" s="14" t="s">
        <v>377</v>
      </c>
      <c r="C1415" t="s">
        <v>392</v>
      </c>
      <c r="D1415" s="18">
        <v>44187</v>
      </c>
      <c r="E1415" s="34">
        <v>44183</v>
      </c>
      <c r="F1415" s="34">
        <v>44187</v>
      </c>
      <c r="H1415" s="28" t="s">
        <v>25</v>
      </c>
      <c r="K1415" t="s">
        <v>381</v>
      </c>
      <c r="L1415">
        <v>40</v>
      </c>
      <c r="M1415" s="52">
        <v>3.0189510163432369</v>
      </c>
    </row>
    <row r="1416" spans="1:13" x14ac:dyDescent="0.35">
      <c r="A1416" s="14" t="s">
        <v>391</v>
      </c>
      <c r="B1416" s="14" t="s">
        <v>377</v>
      </c>
      <c r="C1416" t="s">
        <v>392</v>
      </c>
      <c r="D1416" s="18">
        <v>44187</v>
      </c>
      <c r="E1416" s="34">
        <v>44183</v>
      </c>
      <c r="F1416" s="34">
        <v>44187</v>
      </c>
      <c r="H1416" s="28" t="s">
        <v>23</v>
      </c>
      <c r="K1416" t="s">
        <v>380</v>
      </c>
      <c r="L1416">
        <v>6</v>
      </c>
      <c r="M1416" s="52">
        <v>3.0189510163432369</v>
      </c>
    </row>
    <row r="1417" spans="1:13" x14ac:dyDescent="0.35">
      <c r="A1417" s="14" t="s">
        <v>391</v>
      </c>
      <c r="B1417" s="14" t="s">
        <v>377</v>
      </c>
      <c r="C1417" t="s">
        <v>392</v>
      </c>
      <c r="D1417" s="18">
        <v>44187</v>
      </c>
      <c r="E1417" s="34">
        <v>44183</v>
      </c>
      <c r="F1417" s="34">
        <v>44187</v>
      </c>
      <c r="H1417" s="28" t="s">
        <v>24</v>
      </c>
      <c r="K1417" t="s">
        <v>380</v>
      </c>
      <c r="L1417">
        <v>6</v>
      </c>
      <c r="M1417" s="52">
        <v>3.0189510163432369</v>
      </c>
    </row>
    <row r="1418" spans="1:13" x14ac:dyDescent="0.35">
      <c r="A1418" s="14" t="s">
        <v>391</v>
      </c>
      <c r="B1418" s="14" t="s">
        <v>377</v>
      </c>
      <c r="C1418" t="s">
        <v>392</v>
      </c>
      <c r="D1418" s="18">
        <v>44187</v>
      </c>
      <c r="E1418" s="34">
        <v>44183</v>
      </c>
      <c r="F1418" s="34">
        <v>44187</v>
      </c>
      <c r="H1418" s="28" t="s">
        <v>30</v>
      </c>
      <c r="K1418" t="s">
        <v>381</v>
      </c>
      <c r="L1418">
        <v>33</v>
      </c>
      <c r="M1418" s="52">
        <v>3.0189510163432369</v>
      </c>
    </row>
    <row r="1419" spans="1:13" x14ac:dyDescent="0.35">
      <c r="A1419" s="14" t="s">
        <v>391</v>
      </c>
      <c r="B1419" s="14" t="s">
        <v>377</v>
      </c>
      <c r="C1419" t="s">
        <v>392</v>
      </c>
      <c r="D1419" s="18">
        <v>44187</v>
      </c>
      <c r="E1419" s="34">
        <v>44183</v>
      </c>
      <c r="F1419" s="34">
        <v>44187</v>
      </c>
      <c r="H1419" s="28" t="s">
        <v>29</v>
      </c>
      <c r="K1419" t="s">
        <v>381</v>
      </c>
      <c r="L1419">
        <v>33</v>
      </c>
      <c r="M1419" s="52">
        <v>3.0189510163432369</v>
      </c>
    </row>
    <row r="1420" spans="1:13" x14ac:dyDescent="0.35">
      <c r="A1420" s="14" t="s">
        <v>391</v>
      </c>
      <c r="B1420" s="14" t="s">
        <v>377</v>
      </c>
      <c r="C1420" t="s">
        <v>392</v>
      </c>
      <c r="D1420" s="18">
        <v>44187</v>
      </c>
      <c r="E1420" s="34">
        <v>44183</v>
      </c>
      <c r="F1420" s="34">
        <v>44187</v>
      </c>
      <c r="H1420" s="28" t="s">
        <v>188</v>
      </c>
      <c r="M1420" s="52">
        <v>3.0189510163432369</v>
      </c>
    </row>
    <row r="1421" spans="1:13" x14ac:dyDescent="0.35">
      <c r="A1421" s="14" t="s">
        <v>391</v>
      </c>
      <c r="B1421" s="14" t="s">
        <v>377</v>
      </c>
      <c r="C1421" t="s">
        <v>392</v>
      </c>
      <c r="D1421" s="18">
        <v>44187</v>
      </c>
      <c r="E1421" s="34">
        <v>44183</v>
      </c>
      <c r="F1421" s="34">
        <v>44187</v>
      </c>
      <c r="H1421" s="28" t="s">
        <v>192</v>
      </c>
      <c r="M1421" s="52">
        <v>3.0189510163432369</v>
      </c>
    </row>
    <row r="1422" spans="1:13" x14ac:dyDescent="0.35">
      <c r="A1422" s="14" t="s">
        <v>391</v>
      </c>
      <c r="B1422" s="14" t="s">
        <v>377</v>
      </c>
      <c r="C1422" t="s">
        <v>392</v>
      </c>
      <c r="D1422" s="18">
        <v>44187</v>
      </c>
      <c r="E1422" s="34">
        <v>44183</v>
      </c>
      <c r="F1422" s="34">
        <v>44187</v>
      </c>
      <c r="H1422" s="28" t="s">
        <v>198</v>
      </c>
      <c r="M1422" s="52">
        <v>3.0189510163432369</v>
      </c>
    </row>
    <row r="1423" spans="1:13" x14ac:dyDescent="0.35">
      <c r="A1423" s="14" t="s">
        <v>391</v>
      </c>
      <c r="B1423" s="14" t="s">
        <v>377</v>
      </c>
      <c r="C1423" t="s">
        <v>392</v>
      </c>
      <c r="D1423" s="18">
        <v>44187</v>
      </c>
      <c r="E1423" s="34">
        <v>44183</v>
      </c>
      <c r="F1423" s="34">
        <v>44187</v>
      </c>
      <c r="H1423" s="28" t="s">
        <v>393</v>
      </c>
      <c r="M1423" s="52">
        <v>3.0189510163432369</v>
      </c>
    </row>
    <row r="1424" spans="1:13" x14ac:dyDescent="0.35">
      <c r="A1424" s="14" t="s">
        <v>391</v>
      </c>
      <c r="B1424" s="14" t="s">
        <v>377</v>
      </c>
      <c r="C1424" t="s">
        <v>392</v>
      </c>
      <c r="D1424" s="18">
        <v>44187</v>
      </c>
      <c r="E1424" s="34">
        <v>44183</v>
      </c>
      <c r="F1424" s="34">
        <v>44187</v>
      </c>
      <c r="H1424" s="28" t="s">
        <v>204</v>
      </c>
      <c r="M1424" s="52">
        <v>3.0189510163432369</v>
      </c>
    </row>
    <row r="1425" spans="1:13" x14ac:dyDescent="0.35">
      <c r="A1425" s="14" t="s">
        <v>391</v>
      </c>
      <c r="B1425" s="14" t="s">
        <v>377</v>
      </c>
      <c r="C1425" t="s">
        <v>392</v>
      </c>
      <c r="D1425" s="18">
        <v>44187</v>
      </c>
      <c r="E1425" s="34">
        <v>44183</v>
      </c>
      <c r="F1425" s="34">
        <v>44187</v>
      </c>
      <c r="H1425" s="28" t="s">
        <v>208</v>
      </c>
      <c r="M1425" s="52">
        <v>3.0189510163432369</v>
      </c>
    </row>
    <row r="1426" spans="1:13" x14ac:dyDescent="0.35">
      <c r="A1426" s="14" t="s">
        <v>391</v>
      </c>
      <c r="B1426" s="14" t="s">
        <v>377</v>
      </c>
      <c r="C1426" t="s">
        <v>392</v>
      </c>
      <c r="D1426" s="18">
        <v>44187</v>
      </c>
      <c r="E1426" s="34">
        <v>44183</v>
      </c>
      <c r="F1426" s="34">
        <v>44187</v>
      </c>
      <c r="H1426" s="28" t="s">
        <v>210</v>
      </c>
      <c r="M1426" s="52">
        <v>3.0189510163432369</v>
      </c>
    </row>
    <row r="1427" spans="1:13" x14ac:dyDescent="0.35">
      <c r="A1427" s="14" t="s">
        <v>391</v>
      </c>
      <c r="B1427" s="14" t="s">
        <v>377</v>
      </c>
      <c r="C1427" t="s">
        <v>392</v>
      </c>
      <c r="D1427" s="18">
        <v>44187</v>
      </c>
      <c r="E1427" s="34">
        <v>44183</v>
      </c>
      <c r="F1427" s="34">
        <v>44187</v>
      </c>
      <c r="H1427" s="28" t="s">
        <v>31</v>
      </c>
      <c r="K1427" t="s">
        <v>381</v>
      </c>
      <c r="L1427">
        <v>30</v>
      </c>
      <c r="M1427" s="52">
        <v>3.0189510163432369</v>
      </c>
    </row>
    <row r="1428" spans="1:13" x14ac:dyDescent="0.35">
      <c r="A1428" s="14" t="s">
        <v>391</v>
      </c>
      <c r="B1428" s="14" t="s">
        <v>377</v>
      </c>
      <c r="C1428" t="s">
        <v>392</v>
      </c>
      <c r="D1428" s="18">
        <v>44187</v>
      </c>
      <c r="E1428" s="34">
        <v>44183</v>
      </c>
      <c r="F1428" s="34">
        <v>44187</v>
      </c>
      <c r="H1428" s="28" t="s">
        <v>56</v>
      </c>
      <c r="K1428" t="s">
        <v>381</v>
      </c>
      <c r="L1428">
        <v>50</v>
      </c>
      <c r="M1428" s="52">
        <v>3.0189510163432369</v>
      </c>
    </row>
    <row r="1429" spans="1:13" x14ac:dyDescent="0.35">
      <c r="A1429" s="14" t="s">
        <v>391</v>
      </c>
      <c r="B1429" s="14" t="s">
        <v>377</v>
      </c>
      <c r="C1429" t="s">
        <v>392</v>
      </c>
      <c r="D1429" s="18">
        <v>44187</v>
      </c>
      <c r="E1429" s="34">
        <v>44183</v>
      </c>
      <c r="F1429" s="34">
        <v>44187</v>
      </c>
      <c r="H1429" s="28" t="s">
        <v>263</v>
      </c>
      <c r="M1429" s="52">
        <v>3.0189510163432369</v>
      </c>
    </row>
    <row r="1430" spans="1:13" x14ac:dyDescent="0.35">
      <c r="A1430" s="14" t="s">
        <v>391</v>
      </c>
      <c r="B1430" s="14" t="s">
        <v>377</v>
      </c>
      <c r="C1430" t="s">
        <v>392</v>
      </c>
      <c r="D1430" s="18">
        <v>44187</v>
      </c>
      <c r="E1430" s="34">
        <v>44183</v>
      </c>
      <c r="F1430" s="34">
        <v>44187</v>
      </c>
      <c r="H1430" s="28" t="s">
        <v>287</v>
      </c>
      <c r="M1430" s="52">
        <v>3.0189510163432369</v>
      </c>
    </row>
    <row r="1431" spans="1:13" x14ac:dyDescent="0.35">
      <c r="A1431" s="14" t="s">
        <v>391</v>
      </c>
      <c r="B1431" s="14" t="s">
        <v>377</v>
      </c>
      <c r="C1431" t="s">
        <v>392</v>
      </c>
      <c r="D1431" s="18">
        <v>44187</v>
      </c>
      <c r="E1431" s="34">
        <v>44183</v>
      </c>
      <c r="F1431" s="34">
        <v>44187</v>
      </c>
      <c r="H1431" s="28" t="s">
        <v>307</v>
      </c>
      <c r="M1431" s="52">
        <v>3.0189510163432369</v>
      </c>
    </row>
    <row r="1432" spans="1:13" x14ac:dyDescent="0.35">
      <c r="A1432" s="14" t="s">
        <v>391</v>
      </c>
      <c r="B1432" s="14" t="s">
        <v>377</v>
      </c>
      <c r="C1432" t="s">
        <v>392</v>
      </c>
      <c r="D1432" s="18">
        <v>44187</v>
      </c>
      <c r="E1432" s="34">
        <v>44183</v>
      </c>
      <c r="F1432" s="34">
        <v>44187</v>
      </c>
      <c r="H1432" s="28" t="s">
        <v>311</v>
      </c>
      <c r="M1432" s="52">
        <v>3.0189510163432369</v>
      </c>
    </row>
    <row r="1433" spans="1:13" x14ac:dyDescent="0.35">
      <c r="A1433" s="14" t="s">
        <v>391</v>
      </c>
      <c r="B1433" s="14" t="s">
        <v>377</v>
      </c>
      <c r="C1433" t="s">
        <v>392</v>
      </c>
      <c r="D1433" s="18">
        <v>44187</v>
      </c>
      <c r="E1433" s="34">
        <v>44183</v>
      </c>
      <c r="F1433" s="34">
        <v>44187</v>
      </c>
      <c r="H1433" s="28" t="s">
        <v>313</v>
      </c>
      <c r="K1433" t="s">
        <v>381</v>
      </c>
      <c r="L1433">
        <v>50</v>
      </c>
      <c r="M1433" s="52">
        <v>3.0189510163432369</v>
      </c>
    </row>
    <row r="1434" spans="1:13" x14ac:dyDescent="0.35">
      <c r="A1434" s="14" t="s">
        <v>391</v>
      </c>
      <c r="B1434" s="14" t="s">
        <v>377</v>
      </c>
      <c r="C1434" t="s">
        <v>392</v>
      </c>
      <c r="D1434" s="18">
        <v>44187</v>
      </c>
      <c r="E1434" s="34">
        <v>44183</v>
      </c>
      <c r="F1434" s="34">
        <v>44187</v>
      </c>
      <c r="H1434" s="28" t="s">
        <v>327</v>
      </c>
      <c r="K1434" t="s">
        <v>380</v>
      </c>
      <c r="L1434">
        <v>6</v>
      </c>
      <c r="M1434" s="52">
        <v>3.0189510163432369</v>
      </c>
    </row>
    <row r="1435" spans="1:13" x14ac:dyDescent="0.35">
      <c r="A1435" s="14" t="s">
        <v>391</v>
      </c>
      <c r="B1435" s="14" t="s">
        <v>377</v>
      </c>
      <c r="C1435" t="s">
        <v>392</v>
      </c>
      <c r="D1435" s="18">
        <v>44187</v>
      </c>
      <c r="E1435" s="34">
        <v>44183</v>
      </c>
      <c r="F1435" s="34">
        <v>44187</v>
      </c>
      <c r="H1435" s="28" t="s">
        <v>335</v>
      </c>
      <c r="M1435" s="52">
        <v>3.0189510163432369</v>
      </c>
    </row>
    <row r="1436" spans="1:13" x14ac:dyDescent="0.35">
      <c r="A1436" s="14" t="s">
        <v>391</v>
      </c>
      <c r="B1436" s="14" t="s">
        <v>377</v>
      </c>
      <c r="C1436" t="s">
        <v>392</v>
      </c>
      <c r="D1436" s="18">
        <v>44187</v>
      </c>
      <c r="E1436" s="34">
        <v>44183</v>
      </c>
      <c r="F1436" s="34">
        <v>44187</v>
      </c>
      <c r="H1436" s="28" t="s">
        <v>339</v>
      </c>
      <c r="M1436" s="52">
        <v>3.0189510163432369</v>
      </c>
    </row>
    <row r="1437" spans="1:13" x14ac:dyDescent="0.35">
      <c r="A1437" s="14" t="s">
        <v>391</v>
      </c>
      <c r="B1437" s="14" t="s">
        <v>377</v>
      </c>
      <c r="C1437" t="s">
        <v>392</v>
      </c>
      <c r="D1437" s="18">
        <v>44187</v>
      </c>
      <c r="E1437" s="34">
        <v>44183</v>
      </c>
      <c r="F1437" s="34">
        <v>44187</v>
      </c>
      <c r="H1437" s="28" t="s">
        <v>345</v>
      </c>
      <c r="K1437" t="s">
        <v>381</v>
      </c>
      <c r="L1437">
        <v>50</v>
      </c>
      <c r="M1437" s="52">
        <v>3.0189510163432369</v>
      </c>
    </row>
    <row r="1438" spans="1:13" x14ac:dyDescent="0.35">
      <c r="A1438" s="14" t="s">
        <v>391</v>
      </c>
      <c r="B1438" s="14" t="s">
        <v>377</v>
      </c>
      <c r="C1438" t="s">
        <v>392</v>
      </c>
      <c r="D1438" s="18">
        <v>44187</v>
      </c>
      <c r="E1438" s="34">
        <v>44183</v>
      </c>
      <c r="F1438" s="34">
        <v>44187</v>
      </c>
      <c r="H1438" s="28" t="s">
        <v>59</v>
      </c>
      <c r="M1438" s="52">
        <v>3.0189510163432369</v>
      </c>
    </row>
    <row r="1439" spans="1:13" x14ac:dyDescent="0.35">
      <c r="A1439" s="14" t="s">
        <v>391</v>
      </c>
      <c r="B1439" s="14" t="s">
        <v>377</v>
      </c>
      <c r="C1439" t="s">
        <v>392</v>
      </c>
      <c r="D1439" s="18">
        <v>44187</v>
      </c>
      <c r="E1439" s="34">
        <v>44183</v>
      </c>
      <c r="F1439" s="34">
        <v>44187</v>
      </c>
      <c r="H1439" s="28" t="s">
        <v>360</v>
      </c>
      <c r="M1439" s="52">
        <v>3.0189510163432369</v>
      </c>
    </row>
    <row r="1440" spans="1:13" x14ac:dyDescent="0.35">
      <c r="A1440" s="14" t="s">
        <v>391</v>
      </c>
      <c r="B1440" s="14" t="s">
        <v>377</v>
      </c>
      <c r="C1440" t="s">
        <v>394</v>
      </c>
      <c r="D1440" s="18">
        <v>44187</v>
      </c>
      <c r="E1440" s="34">
        <v>44183</v>
      </c>
      <c r="F1440" s="34">
        <v>44187</v>
      </c>
      <c r="H1440" s="28" t="s">
        <v>68</v>
      </c>
      <c r="M1440" s="52">
        <v>18.760000000000002</v>
      </c>
    </row>
    <row r="1441" spans="1:13" x14ac:dyDescent="0.35">
      <c r="A1441" s="14" t="s">
        <v>391</v>
      </c>
      <c r="B1441" s="14" t="s">
        <v>377</v>
      </c>
      <c r="C1441" t="s">
        <v>394</v>
      </c>
      <c r="D1441" s="18">
        <v>44187</v>
      </c>
      <c r="E1441" s="34">
        <v>44183</v>
      </c>
      <c r="F1441" s="34">
        <v>44187</v>
      </c>
      <c r="H1441" s="28" t="s">
        <v>96</v>
      </c>
      <c r="M1441" s="52">
        <v>18.760000000000002</v>
      </c>
    </row>
    <row r="1442" spans="1:13" x14ac:dyDescent="0.35">
      <c r="A1442" s="14" t="s">
        <v>391</v>
      </c>
      <c r="B1442" s="14" t="s">
        <v>377</v>
      </c>
      <c r="C1442" t="s">
        <v>394</v>
      </c>
      <c r="D1442" s="18">
        <v>44187</v>
      </c>
      <c r="E1442" s="34">
        <v>44183</v>
      </c>
      <c r="F1442" s="34">
        <v>44187</v>
      </c>
      <c r="H1442" s="28" t="s">
        <v>72</v>
      </c>
      <c r="M1442" s="52">
        <v>18.760000000000002</v>
      </c>
    </row>
    <row r="1443" spans="1:13" x14ac:dyDescent="0.35">
      <c r="A1443" s="14" t="s">
        <v>391</v>
      </c>
      <c r="B1443" s="14" t="s">
        <v>377</v>
      </c>
      <c r="C1443" t="s">
        <v>394</v>
      </c>
      <c r="D1443" s="18">
        <v>44187</v>
      </c>
      <c r="E1443" s="34">
        <v>44183</v>
      </c>
      <c r="F1443" s="34">
        <v>44187</v>
      </c>
      <c r="H1443" s="28" t="s">
        <v>47</v>
      </c>
      <c r="K1443" t="s">
        <v>381</v>
      </c>
      <c r="L1443">
        <v>20</v>
      </c>
      <c r="M1443" s="52">
        <v>18.760000000000002</v>
      </c>
    </row>
    <row r="1444" spans="1:13" x14ac:dyDescent="0.35">
      <c r="A1444" s="14" t="s">
        <v>391</v>
      </c>
      <c r="B1444" s="14" t="s">
        <v>377</v>
      </c>
      <c r="C1444" t="s">
        <v>394</v>
      </c>
      <c r="D1444" s="18">
        <v>44187</v>
      </c>
      <c r="E1444" s="34">
        <v>44183</v>
      </c>
      <c r="F1444" s="34">
        <v>44187</v>
      </c>
      <c r="H1444" s="28" t="s">
        <v>50</v>
      </c>
      <c r="K1444" t="s">
        <v>381</v>
      </c>
      <c r="L1444">
        <v>50</v>
      </c>
      <c r="M1444" s="52">
        <v>18.760000000000002</v>
      </c>
    </row>
    <row r="1445" spans="1:13" x14ac:dyDescent="0.35">
      <c r="A1445" s="14" t="s">
        <v>391</v>
      </c>
      <c r="B1445" s="14" t="s">
        <v>377</v>
      </c>
      <c r="C1445" t="s">
        <v>394</v>
      </c>
      <c r="D1445" s="18">
        <v>44187</v>
      </c>
      <c r="E1445" s="34">
        <v>44183</v>
      </c>
      <c r="F1445" s="34">
        <v>44187</v>
      </c>
      <c r="H1445" s="28" t="s">
        <v>408</v>
      </c>
      <c r="M1445" s="52">
        <v>18.760000000000002</v>
      </c>
    </row>
    <row r="1446" spans="1:13" x14ac:dyDescent="0.35">
      <c r="A1446" s="14" t="s">
        <v>391</v>
      </c>
      <c r="B1446" s="14" t="s">
        <v>377</v>
      </c>
      <c r="C1446" t="s">
        <v>394</v>
      </c>
      <c r="D1446" s="18">
        <v>44187</v>
      </c>
      <c r="E1446" s="34">
        <v>44183</v>
      </c>
      <c r="F1446" s="34">
        <v>44187</v>
      </c>
      <c r="H1446" s="28" t="s">
        <v>41</v>
      </c>
      <c r="K1446" t="s">
        <v>381</v>
      </c>
      <c r="L1446">
        <v>50</v>
      </c>
      <c r="M1446" s="52">
        <v>18.760000000000002</v>
      </c>
    </row>
    <row r="1447" spans="1:13" x14ac:dyDescent="0.35">
      <c r="A1447" s="14" t="s">
        <v>391</v>
      </c>
      <c r="B1447" s="14" t="s">
        <v>377</v>
      </c>
      <c r="C1447" t="s">
        <v>394</v>
      </c>
      <c r="D1447" s="18">
        <v>44187</v>
      </c>
      <c r="E1447" s="34">
        <v>44183</v>
      </c>
      <c r="F1447" s="34">
        <v>44187</v>
      </c>
      <c r="H1447" s="28" t="s">
        <v>39</v>
      </c>
      <c r="K1447" t="s">
        <v>381</v>
      </c>
      <c r="L1447">
        <v>25</v>
      </c>
      <c r="M1447" s="52">
        <v>18.760000000000002</v>
      </c>
    </row>
    <row r="1448" spans="1:13" x14ac:dyDescent="0.35">
      <c r="A1448" s="14" t="s">
        <v>391</v>
      </c>
      <c r="B1448" s="14" t="s">
        <v>377</v>
      </c>
      <c r="C1448" t="s">
        <v>394</v>
      </c>
      <c r="D1448" s="18">
        <v>44187</v>
      </c>
      <c r="E1448" s="34">
        <v>44183</v>
      </c>
      <c r="F1448" s="34">
        <v>44187</v>
      </c>
      <c r="H1448" s="28" t="s">
        <v>116</v>
      </c>
      <c r="K1448" t="s">
        <v>381</v>
      </c>
      <c r="L1448">
        <v>25</v>
      </c>
      <c r="M1448" s="52">
        <v>18.760000000000002</v>
      </c>
    </row>
    <row r="1449" spans="1:13" x14ac:dyDescent="0.35">
      <c r="A1449" s="14" t="s">
        <v>391</v>
      </c>
      <c r="B1449" s="14" t="s">
        <v>377</v>
      </c>
      <c r="C1449" t="s">
        <v>394</v>
      </c>
      <c r="D1449" s="18">
        <v>44187</v>
      </c>
      <c r="E1449" s="34">
        <v>44183</v>
      </c>
      <c r="F1449" s="34">
        <v>44187</v>
      </c>
      <c r="H1449" s="28" t="s">
        <v>123</v>
      </c>
      <c r="M1449" s="52">
        <v>18.760000000000002</v>
      </c>
    </row>
    <row r="1450" spans="1:13" x14ac:dyDescent="0.35">
      <c r="A1450" s="14" t="s">
        <v>391</v>
      </c>
      <c r="B1450" s="14" t="s">
        <v>377</v>
      </c>
      <c r="C1450" t="s">
        <v>394</v>
      </c>
      <c r="D1450" s="18">
        <v>44187</v>
      </c>
      <c r="E1450" s="34">
        <v>44183</v>
      </c>
      <c r="F1450" s="34">
        <v>44187</v>
      </c>
      <c r="H1450" s="28" t="s">
        <v>150</v>
      </c>
      <c r="M1450" s="52">
        <v>18.760000000000002</v>
      </c>
    </row>
    <row r="1451" spans="1:13" x14ac:dyDescent="0.35">
      <c r="A1451" s="14" t="s">
        <v>391</v>
      </c>
      <c r="B1451" s="14" t="s">
        <v>377</v>
      </c>
      <c r="C1451" t="s">
        <v>394</v>
      </c>
      <c r="D1451" s="18">
        <v>44187</v>
      </c>
      <c r="E1451" s="34">
        <v>44183</v>
      </c>
      <c r="F1451" s="34">
        <v>44187</v>
      </c>
      <c r="H1451" s="28" t="s">
        <v>125</v>
      </c>
      <c r="M1451" s="52">
        <v>18.760000000000002</v>
      </c>
    </row>
    <row r="1452" spans="1:13" x14ac:dyDescent="0.35">
      <c r="A1452" s="14" t="s">
        <v>391</v>
      </c>
      <c r="B1452" s="14" t="s">
        <v>377</v>
      </c>
      <c r="C1452" t="s">
        <v>394</v>
      </c>
      <c r="D1452" s="18">
        <v>44187</v>
      </c>
      <c r="E1452" s="34">
        <v>44183</v>
      </c>
      <c r="F1452" s="34">
        <v>44187</v>
      </c>
      <c r="H1452" s="28" t="s">
        <v>127</v>
      </c>
      <c r="M1452" s="52">
        <v>18.760000000000002</v>
      </c>
    </row>
    <row r="1453" spans="1:13" x14ac:dyDescent="0.35">
      <c r="A1453" s="14" t="s">
        <v>391</v>
      </c>
      <c r="B1453" s="14" t="s">
        <v>377</v>
      </c>
      <c r="C1453" t="s">
        <v>394</v>
      </c>
      <c r="D1453" s="18">
        <v>44187</v>
      </c>
      <c r="E1453" s="34">
        <v>44183</v>
      </c>
      <c r="F1453" s="34">
        <v>44187</v>
      </c>
      <c r="H1453" s="28" t="s">
        <v>42</v>
      </c>
      <c r="K1453" t="s">
        <v>380</v>
      </c>
      <c r="L1453">
        <v>6</v>
      </c>
      <c r="M1453" s="52">
        <v>18.760000000000002</v>
      </c>
    </row>
    <row r="1454" spans="1:13" x14ac:dyDescent="0.35">
      <c r="A1454" s="14" t="s">
        <v>391</v>
      </c>
      <c r="B1454" s="14" t="s">
        <v>377</v>
      </c>
      <c r="C1454" t="s">
        <v>394</v>
      </c>
      <c r="D1454" s="18">
        <v>44187</v>
      </c>
      <c r="E1454" s="34">
        <v>44183</v>
      </c>
      <c r="F1454" s="34">
        <v>44187</v>
      </c>
      <c r="H1454" s="28" t="s">
        <v>25</v>
      </c>
      <c r="K1454" t="s">
        <v>381</v>
      </c>
      <c r="L1454">
        <v>20</v>
      </c>
      <c r="M1454" s="52">
        <v>18.760000000000002</v>
      </c>
    </row>
    <row r="1455" spans="1:13" x14ac:dyDescent="0.35">
      <c r="A1455" s="14" t="s">
        <v>391</v>
      </c>
      <c r="B1455" s="14" t="s">
        <v>377</v>
      </c>
      <c r="C1455" t="s">
        <v>394</v>
      </c>
      <c r="D1455" s="18">
        <v>44187</v>
      </c>
      <c r="E1455" s="34">
        <v>44183</v>
      </c>
      <c r="F1455" s="34">
        <v>44187</v>
      </c>
      <c r="H1455" s="28" t="s">
        <v>25</v>
      </c>
      <c r="K1455" t="s">
        <v>381</v>
      </c>
      <c r="L1455">
        <v>40</v>
      </c>
      <c r="M1455" s="52">
        <v>18.760000000000002</v>
      </c>
    </row>
    <row r="1456" spans="1:13" x14ac:dyDescent="0.35">
      <c r="A1456" s="14" t="s">
        <v>391</v>
      </c>
      <c r="B1456" s="14" t="s">
        <v>377</v>
      </c>
      <c r="C1456" t="s">
        <v>394</v>
      </c>
      <c r="D1456" s="18">
        <v>44187</v>
      </c>
      <c r="E1456" s="34">
        <v>44183</v>
      </c>
      <c r="F1456" s="34">
        <v>44187</v>
      </c>
      <c r="H1456" s="28" t="s">
        <v>23</v>
      </c>
      <c r="K1456" t="s">
        <v>380</v>
      </c>
      <c r="L1456">
        <v>6</v>
      </c>
      <c r="M1456" s="52">
        <v>18.760000000000002</v>
      </c>
    </row>
    <row r="1457" spans="1:13" x14ac:dyDescent="0.35">
      <c r="A1457" s="14" t="s">
        <v>391</v>
      </c>
      <c r="B1457" s="14" t="s">
        <v>377</v>
      </c>
      <c r="C1457" t="s">
        <v>394</v>
      </c>
      <c r="D1457" s="18">
        <v>44187</v>
      </c>
      <c r="E1457" s="34">
        <v>44183</v>
      </c>
      <c r="F1457" s="34">
        <v>44187</v>
      </c>
      <c r="H1457" s="28" t="s">
        <v>24</v>
      </c>
      <c r="K1457" t="s">
        <v>380</v>
      </c>
      <c r="L1457">
        <v>6</v>
      </c>
      <c r="M1457" s="52">
        <v>18.760000000000002</v>
      </c>
    </row>
    <row r="1458" spans="1:13" x14ac:dyDescent="0.35">
      <c r="A1458" s="14" t="s">
        <v>391</v>
      </c>
      <c r="B1458" s="14" t="s">
        <v>377</v>
      </c>
      <c r="C1458" t="s">
        <v>394</v>
      </c>
      <c r="D1458" s="18">
        <v>44187</v>
      </c>
      <c r="E1458" s="34">
        <v>44183</v>
      </c>
      <c r="F1458" s="34">
        <v>44187</v>
      </c>
      <c r="H1458" s="28" t="s">
        <v>23</v>
      </c>
      <c r="K1458" t="s">
        <v>380</v>
      </c>
      <c r="L1458">
        <v>10</v>
      </c>
      <c r="M1458" s="52">
        <v>18.760000000000002</v>
      </c>
    </row>
    <row r="1459" spans="1:13" x14ac:dyDescent="0.35">
      <c r="A1459" s="14" t="s">
        <v>391</v>
      </c>
      <c r="B1459" s="14" t="s">
        <v>377</v>
      </c>
      <c r="C1459" t="s">
        <v>394</v>
      </c>
      <c r="D1459" s="18">
        <v>44187</v>
      </c>
      <c r="E1459" s="34">
        <v>44183</v>
      </c>
      <c r="F1459" s="34">
        <v>44187</v>
      </c>
      <c r="H1459" s="28" t="s">
        <v>24</v>
      </c>
      <c r="K1459" t="s">
        <v>380</v>
      </c>
      <c r="L1459">
        <v>15</v>
      </c>
      <c r="M1459" s="52">
        <v>18.760000000000002</v>
      </c>
    </row>
    <row r="1460" spans="1:13" x14ac:dyDescent="0.35">
      <c r="A1460" s="14" t="s">
        <v>391</v>
      </c>
      <c r="B1460" s="14" t="s">
        <v>377</v>
      </c>
      <c r="C1460" t="s">
        <v>394</v>
      </c>
      <c r="D1460" s="18">
        <v>44187</v>
      </c>
      <c r="E1460" s="34">
        <v>44183</v>
      </c>
      <c r="F1460" s="34">
        <v>44187</v>
      </c>
      <c r="H1460" s="28" t="s">
        <v>27</v>
      </c>
      <c r="K1460" t="s">
        <v>380</v>
      </c>
      <c r="L1460">
        <v>10</v>
      </c>
      <c r="M1460" s="52">
        <v>18.760000000000002</v>
      </c>
    </row>
    <row r="1461" spans="1:13" x14ac:dyDescent="0.35">
      <c r="A1461" s="14" t="s">
        <v>391</v>
      </c>
      <c r="B1461" s="14" t="s">
        <v>377</v>
      </c>
      <c r="C1461" t="s">
        <v>394</v>
      </c>
      <c r="D1461" s="18">
        <v>44187</v>
      </c>
      <c r="E1461" s="34">
        <v>44183</v>
      </c>
      <c r="F1461" s="34">
        <v>44187</v>
      </c>
      <c r="H1461" s="28" t="s">
        <v>28</v>
      </c>
      <c r="K1461" t="s">
        <v>380</v>
      </c>
      <c r="L1461">
        <v>15</v>
      </c>
      <c r="M1461" s="52">
        <v>18.760000000000002</v>
      </c>
    </row>
    <row r="1462" spans="1:13" x14ac:dyDescent="0.35">
      <c r="A1462" s="14" t="s">
        <v>391</v>
      </c>
      <c r="B1462" s="14" t="s">
        <v>377</v>
      </c>
      <c r="C1462" t="s">
        <v>394</v>
      </c>
      <c r="D1462" s="18">
        <v>44187</v>
      </c>
      <c r="E1462" s="34">
        <v>44183</v>
      </c>
      <c r="F1462" s="34">
        <v>44187</v>
      </c>
      <c r="H1462" s="28" t="s">
        <v>30</v>
      </c>
      <c r="K1462" t="s">
        <v>381</v>
      </c>
      <c r="L1462">
        <v>33</v>
      </c>
      <c r="M1462" s="52">
        <v>18.760000000000002</v>
      </c>
    </row>
    <row r="1463" spans="1:13" x14ac:dyDescent="0.35">
      <c r="A1463" s="14" t="s">
        <v>391</v>
      </c>
      <c r="B1463" s="14" t="s">
        <v>377</v>
      </c>
      <c r="C1463" t="s">
        <v>394</v>
      </c>
      <c r="D1463" s="18">
        <v>44187</v>
      </c>
      <c r="E1463" s="34">
        <v>44183</v>
      </c>
      <c r="F1463" s="34">
        <v>44187</v>
      </c>
      <c r="H1463" s="28" t="s">
        <v>29</v>
      </c>
      <c r="K1463" t="s">
        <v>381</v>
      </c>
      <c r="L1463">
        <v>33</v>
      </c>
      <c r="M1463" s="52">
        <v>18.760000000000002</v>
      </c>
    </row>
    <row r="1464" spans="1:13" x14ac:dyDescent="0.35">
      <c r="A1464" s="14" t="s">
        <v>391</v>
      </c>
      <c r="B1464" s="14" t="s">
        <v>377</v>
      </c>
      <c r="C1464" t="s">
        <v>394</v>
      </c>
      <c r="D1464" s="18">
        <v>44187</v>
      </c>
      <c r="E1464" s="34">
        <v>44183</v>
      </c>
      <c r="F1464" s="34">
        <v>44187</v>
      </c>
      <c r="H1464" s="28" t="s">
        <v>188</v>
      </c>
      <c r="M1464" s="52">
        <v>18.760000000000002</v>
      </c>
    </row>
    <row r="1465" spans="1:13" x14ac:dyDescent="0.35">
      <c r="A1465" s="14" t="s">
        <v>391</v>
      </c>
      <c r="B1465" s="14" t="s">
        <v>377</v>
      </c>
      <c r="C1465" t="s">
        <v>394</v>
      </c>
      <c r="D1465" s="18">
        <v>44187</v>
      </c>
      <c r="E1465" s="34">
        <v>44183</v>
      </c>
      <c r="F1465" s="34">
        <v>44187</v>
      </c>
      <c r="H1465" s="28" t="s">
        <v>190</v>
      </c>
      <c r="M1465" s="52">
        <v>18.760000000000002</v>
      </c>
    </row>
    <row r="1466" spans="1:13" x14ac:dyDescent="0.35">
      <c r="A1466" s="14" t="s">
        <v>391</v>
      </c>
      <c r="B1466" s="14" t="s">
        <v>377</v>
      </c>
      <c r="C1466" t="s">
        <v>394</v>
      </c>
      <c r="D1466" s="18">
        <v>44187</v>
      </c>
      <c r="E1466" s="34">
        <v>44183</v>
      </c>
      <c r="F1466" s="34">
        <v>44187</v>
      </c>
      <c r="H1466" s="28" t="s">
        <v>192</v>
      </c>
      <c r="M1466" s="52">
        <v>18.760000000000002</v>
      </c>
    </row>
    <row r="1467" spans="1:13" x14ac:dyDescent="0.35">
      <c r="A1467" s="14" t="s">
        <v>391</v>
      </c>
      <c r="B1467" s="14" t="s">
        <v>377</v>
      </c>
      <c r="C1467" t="s">
        <v>394</v>
      </c>
      <c r="D1467" s="18">
        <v>44187</v>
      </c>
      <c r="E1467" s="34">
        <v>44183</v>
      </c>
      <c r="F1467" s="34">
        <v>44187</v>
      </c>
      <c r="H1467" s="28" t="s">
        <v>198</v>
      </c>
      <c r="M1467" s="52">
        <v>18.760000000000002</v>
      </c>
    </row>
    <row r="1468" spans="1:13" x14ac:dyDescent="0.35">
      <c r="A1468" s="14" t="s">
        <v>391</v>
      </c>
      <c r="B1468" s="14" t="s">
        <v>377</v>
      </c>
      <c r="C1468" t="s">
        <v>394</v>
      </c>
      <c r="D1468" s="18">
        <v>44187</v>
      </c>
      <c r="E1468" s="34">
        <v>44183</v>
      </c>
      <c r="F1468" s="34">
        <v>44187</v>
      </c>
      <c r="H1468" s="28" t="s">
        <v>393</v>
      </c>
      <c r="M1468" s="52">
        <v>18.760000000000002</v>
      </c>
    </row>
    <row r="1469" spans="1:13" x14ac:dyDescent="0.35">
      <c r="A1469" s="14" t="s">
        <v>391</v>
      </c>
      <c r="B1469" s="14" t="s">
        <v>377</v>
      </c>
      <c r="C1469" t="s">
        <v>394</v>
      </c>
      <c r="D1469" s="18">
        <v>44187</v>
      </c>
      <c r="E1469" s="34">
        <v>44183</v>
      </c>
      <c r="F1469" s="34">
        <v>44187</v>
      </c>
      <c r="H1469" s="28" t="s">
        <v>204</v>
      </c>
      <c r="M1469" s="52">
        <v>18.760000000000002</v>
      </c>
    </row>
    <row r="1470" spans="1:13" x14ac:dyDescent="0.35">
      <c r="A1470" s="14" t="s">
        <v>391</v>
      </c>
      <c r="B1470" s="14" t="s">
        <v>377</v>
      </c>
      <c r="C1470" t="s">
        <v>394</v>
      </c>
      <c r="D1470" s="18">
        <v>44187</v>
      </c>
      <c r="E1470" s="34">
        <v>44183</v>
      </c>
      <c r="F1470" s="34">
        <v>44187</v>
      </c>
      <c r="H1470" s="28" t="s">
        <v>208</v>
      </c>
      <c r="M1470" s="52">
        <v>18.760000000000002</v>
      </c>
    </row>
    <row r="1471" spans="1:13" x14ac:dyDescent="0.35">
      <c r="A1471" s="14" t="s">
        <v>391</v>
      </c>
      <c r="B1471" s="14" t="s">
        <v>377</v>
      </c>
      <c r="C1471" t="s">
        <v>394</v>
      </c>
      <c r="D1471" s="18">
        <v>44187</v>
      </c>
      <c r="E1471" s="34">
        <v>44183</v>
      </c>
      <c r="F1471" s="34">
        <v>44187</v>
      </c>
      <c r="H1471" s="28" t="s">
        <v>210</v>
      </c>
      <c r="M1471" s="52">
        <v>18.760000000000002</v>
      </c>
    </row>
    <row r="1472" spans="1:13" x14ac:dyDescent="0.35">
      <c r="A1472" s="14" t="s">
        <v>391</v>
      </c>
      <c r="B1472" s="14" t="s">
        <v>377</v>
      </c>
      <c r="C1472" t="s">
        <v>394</v>
      </c>
      <c r="D1472" s="18">
        <v>44187</v>
      </c>
      <c r="E1472" s="34">
        <v>44183</v>
      </c>
      <c r="F1472" s="34">
        <v>44187</v>
      </c>
      <c r="H1472" s="28" t="s">
        <v>403</v>
      </c>
      <c r="M1472" s="52">
        <v>18.760000000000002</v>
      </c>
    </row>
    <row r="1473" spans="1:13" x14ac:dyDescent="0.35">
      <c r="A1473" s="14" t="s">
        <v>391</v>
      </c>
      <c r="B1473" s="14" t="s">
        <v>377</v>
      </c>
      <c r="C1473" t="s">
        <v>394</v>
      </c>
      <c r="D1473" s="18">
        <v>44187</v>
      </c>
      <c r="E1473" s="34">
        <v>44183</v>
      </c>
      <c r="F1473" s="34">
        <v>44187</v>
      </c>
      <c r="H1473" s="28" t="s">
        <v>223</v>
      </c>
      <c r="M1473" s="52">
        <v>18.760000000000002</v>
      </c>
    </row>
    <row r="1474" spans="1:13" x14ac:dyDescent="0.35">
      <c r="A1474" s="14" t="s">
        <v>391</v>
      </c>
      <c r="B1474" s="14" t="s">
        <v>377</v>
      </c>
      <c r="C1474" t="s">
        <v>394</v>
      </c>
      <c r="D1474" s="18">
        <v>44187</v>
      </c>
      <c r="E1474" s="34">
        <v>44183</v>
      </c>
      <c r="F1474" s="34">
        <v>44187</v>
      </c>
      <c r="H1474" s="28" t="s">
        <v>31</v>
      </c>
      <c r="K1474" t="s">
        <v>381</v>
      </c>
      <c r="L1474">
        <v>30</v>
      </c>
      <c r="M1474" s="52">
        <v>18.760000000000002</v>
      </c>
    </row>
    <row r="1475" spans="1:13" x14ac:dyDescent="0.35">
      <c r="A1475" s="14" t="s">
        <v>391</v>
      </c>
      <c r="B1475" s="14" t="s">
        <v>377</v>
      </c>
      <c r="C1475" t="s">
        <v>394</v>
      </c>
      <c r="D1475" s="18">
        <v>44187</v>
      </c>
      <c r="E1475" s="34">
        <v>44183</v>
      </c>
      <c r="F1475" s="34">
        <v>44187</v>
      </c>
      <c r="H1475" s="28" t="s">
        <v>56</v>
      </c>
      <c r="K1475" t="s">
        <v>381</v>
      </c>
      <c r="L1475">
        <v>50</v>
      </c>
      <c r="M1475" s="52">
        <v>18.760000000000002</v>
      </c>
    </row>
    <row r="1476" spans="1:13" x14ac:dyDescent="0.35">
      <c r="A1476" s="14" t="s">
        <v>391</v>
      </c>
      <c r="B1476" s="14" t="s">
        <v>377</v>
      </c>
      <c r="C1476" t="s">
        <v>394</v>
      </c>
      <c r="D1476" s="18">
        <v>44187</v>
      </c>
      <c r="E1476" s="34">
        <v>44183</v>
      </c>
      <c r="F1476" s="34">
        <v>44187</v>
      </c>
      <c r="H1476" s="28" t="s">
        <v>263</v>
      </c>
      <c r="M1476" s="52">
        <v>18.760000000000002</v>
      </c>
    </row>
    <row r="1477" spans="1:13" x14ac:dyDescent="0.35">
      <c r="A1477" s="14" t="s">
        <v>391</v>
      </c>
      <c r="B1477" s="14" t="s">
        <v>377</v>
      </c>
      <c r="C1477" t="s">
        <v>394</v>
      </c>
      <c r="D1477" s="18">
        <v>44187</v>
      </c>
      <c r="E1477" s="34">
        <v>44183</v>
      </c>
      <c r="F1477" s="34">
        <v>44187</v>
      </c>
      <c r="H1477" s="28" t="s">
        <v>287</v>
      </c>
      <c r="M1477" s="52">
        <v>18.760000000000002</v>
      </c>
    </row>
    <row r="1478" spans="1:13" x14ac:dyDescent="0.35">
      <c r="A1478" s="14" t="s">
        <v>391</v>
      </c>
      <c r="B1478" s="14" t="s">
        <v>377</v>
      </c>
      <c r="C1478" t="s">
        <v>394</v>
      </c>
      <c r="D1478" s="18">
        <v>44187</v>
      </c>
      <c r="E1478" s="34">
        <v>44183</v>
      </c>
      <c r="F1478" s="34">
        <v>44187</v>
      </c>
      <c r="H1478" s="28" t="s">
        <v>287</v>
      </c>
      <c r="M1478" s="52">
        <v>18.760000000000002</v>
      </c>
    </row>
    <row r="1479" spans="1:13" x14ac:dyDescent="0.35">
      <c r="A1479" s="14" t="s">
        <v>391</v>
      </c>
      <c r="B1479" s="14" t="s">
        <v>377</v>
      </c>
      <c r="C1479" t="s">
        <v>394</v>
      </c>
      <c r="D1479" s="18">
        <v>44187</v>
      </c>
      <c r="E1479" s="34">
        <v>44183</v>
      </c>
      <c r="F1479" s="34">
        <v>44187</v>
      </c>
      <c r="H1479" s="28" t="s">
        <v>307</v>
      </c>
      <c r="M1479" s="52">
        <v>18.760000000000002</v>
      </c>
    </row>
    <row r="1480" spans="1:13" x14ac:dyDescent="0.35">
      <c r="A1480" s="14" t="s">
        <v>391</v>
      </c>
      <c r="B1480" s="14" t="s">
        <v>377</v>
      </c>
      <c r="C1480" t="s">
        <v>394</v>
      </c>
      <c r="D1480" s="18">
        <v>44187</v>
      </c>
      <c r="E1480" s="34">
        <v>44183</v>
      </c>
      <c r="F1480" s="34">
        <v>44187</v>
      </c>
      <c r="H1480" s="28" t="s">
        <v>309</v>
      </c>
      <c r="M1480" s="52">
        <v>18.760000000000002</v>
      </c>
    </row>
    <row r="1481" spans="1:13" x14ac:dyDescent="0.35">
      <c r="A1481" s="14" t="s">
        <v>391</v>
      </c>
      <c r="B1481" s="14" t="s">
        <v>377</v>
      </c>
      <c r="C1481" t="s">
        <v>394</v>
      </c>
      <c r="D1481" s="18">
        <v>44187</v>
      </c>
      <c r="E1481" s="34">
        <v>44183</v>
      </c>
      <c r="F1481" s="34">
        <v>44187</v>
      </c>
      <c r="H1481" s="28" t="s">
        <v>311</v>
      </c>
      <c r="M1481" s="52">
        <v>18.760000000000002</v>
      </c>
    </row>
    <row r="1482" spans="1:13" x14ac:dyDescent="0.35">
      <c r="A1482" s="14" t="s">
        <v>391</v>
      </c>
      <c r="B1482" s="14" t="s">
        <v>377</v>
      </c>
      <c r="C1482" t="s">
        <v>394</v>
      </c>
      <c r="D1482" s="18">
        <v>44187</v>
      </c>
      <c r="E1482" s="34">
        <v>44183</v>
      </c>
      <c r="F1482" s="34">
        <v>44187</v>
      </c>
      <c r="H1482" s="28" t="s">
        <v>313</v>
      </c>
      <c r="K1482" t="s">
        <v>381</v>
      </c>
      <c r="L1482">
        <v>50</v>
      </c>
      <c r="M1482" s="52">
        <v>18.760000000000002</v>
      </c>
    </row>
    <row r="1483" spans="1:13" x14ac:dyDescent="0.35">
      <c r="A1483" s="14" t="s">
        <v>391</v>
      </c>
      <c r="B1483" s="14" t="s">
        <v>377</v>
      </c>
      <c r="C1483" t="s">
        <v>394</v>
      </c>
      <c r="D1483" s="18">
        <v>44187</v>
      </c>
      <c r="E1483" s="34">
        <v>44183</v>
      </c>
      <c r="F1483" s="34">
        <v>44187</v>
      </c>
      <c r="H1483" s="28" t="s">
        <v>315</v>
      </c>
      <c r="K1483" t="s">
        <v>381</v>
      </c>
      <c r="L1483">
        <v>30</v>
      </c>
      <c r="M1483" s="52">
        <v>18.760000000000002</v>
      </c>
    </row>
    <row r="1484" spans="1:13" x14ac:dyDescent="0.35">
      <c r="A1484" s="14" t="s">
        <v>391</v>
      </c>
      <c r="B1484" s="14" t="s">
        <v>377</v>
      </c>
      <c r="C1484" t="s">
        <v>394</v>
      </c>
      <c r="D1484" s="18">
        <v>44187</v>
      </c>
      <c r="E1484" s="34">
        <v>44183</v>
      </c>
      <c r="F1484" s="34">
        <v>44187</v>
      </c>
      <c r="H1484" s="28" t="s">
        <v>32</v>
      </c>
      <c r="K1484" t="s">
        <v>380</v>
      </c>
      <c r="L1484">
        <v>6</v>
      </c>
      <c r="M1484" s="52">
        <v>18.760000000000002</v>
      </c>
    </row>
    <row r="1485" spans="1:13" x14ac:dyDescent="0.35">
      <c r="A1485" s="14" t="s">
        <v>391</v>
      </c>
      <c r="B1485" s="14" t="s">
        <v>377</v>
      </c>
      <c r="C1485" t="s">
        <v>394</v>
      </c>
      <c r="D1485" s="18">
        <v>44187</v>
      </c>
      <c r="E1485" s="34">
        <v>44183</v>
      </c>
      <c r="F1485" s="34">
        <v>44187</v>
      </c>
      <c r="H1485" s="28" t="s">
        <v>60</v>
      </c>
      <c r="K1485" t="s">
        <v>380</v>
      </c>
      <c r="L1485">
        <v>6</v>
      </c>
      <c r="M1485" s="52">
        <v>18.760000000000002</v>
      </c>
    </row>
    <row r="1486" spans="1:13" x14ac:dyDescent="0.35">
      <c r="A1486" s="14" t="s">
        <v>391</v>
      </c>
      <c r="B1486" s="14" t="s">
        <v>377</v>
      </c>
      <c r="C1486" t="s">
        <v>394</v>
      </c>
      <c r="D1486" s="18">
        <v>44187</v>
      </c>
      <c r="E1486" s="34">
        <v>44183</v>
      </c>
      <c r="F1486" s="34">
        <v>44187</v>
      </c>
      <c r="H1486" s="28" t="s">
        <v>327</v>
      </c>
      <c r="K1486" t="s">
        <v>380</v>
      </c>
      <c r="L1486">
        <v>6</v>
      </c>
      <c r="M1486" s="52">
        <v>18.760000000000002</v>
      </c>
    </row>
    <row r="1487" spans="1:13" x14ac:dyDescent="0.35">
      <c r="A1487" s="14" t="s">
        <v>391</v>
      </c>
      <c r="B1487" s="14" t="s">
        <v>377</v>
      </c>
      <c r="C1487" t="s">
        <v>394</v>
      </c>
      <c r="D1487" s="18">
        <v>44187</v>
      </c>
      <c r="E1487" s="34">
        <v>44183</v>
      </c>
      <c r="F1487" s="34">
        <v>44187</v>
      </c>
      <c r="H1487" s="28" t="s">
        <v>335</v>
      </c>
      <c r="M1487" s="52">
        <v>18.760000000000002</v>
      </c>
    </row>
    <row r="1488" spans="1:13" x14ac:dyDescent="0.35">
      <c r="A1488" s="14" t="s">
        <v>391</v>
      </c>
      <c r="B1488" s="14" t="s">
        <v>377</v>
      </c>
      <c r="C1488" t="s">
        <v>394</v>
      </c>
      <c r="D1488" s="18">
        <v>44187</v>
      </c>
      <c r="E1488" s="34">
        <v>44183</v>
      </c>
      <c r="F1488" s="34">
        <v>44187</v>
      </c>
      <c r="H1488" s="28" t="s">
        <v>339</v>
      </c>
      <c r="M1488" s="52">
        <v>18.760000000000002</v>
      </c>
    </row>
    <row r="1489" spans="1:13" x14ac:dyDescent="0.35">
      <c r="A1489" s="14" t="s">
        <v>391</v>
      </c>
      <c r="B1489" s="14" t="s">
        <v>377</v>
      </c>
      <c r="C1489" t="s">
        <v>394</v>
      </c>
      <c r="D1489" s="18">
        <v>44187</v>
      </c>
      <c r="E1489" s="34">
        <v>44183</v>
      </c>
      <c r="F1489" s="34">
        <v>44187</v>
      </c>
      <c r="H1489" s="28" t="s">
        <v>341</v>
      </c>
      <c r="M1489" s="52">
        <v>18.760000000000002</v>
      </c>
    </row>
    <row r="1490" spans="1:13" x14ac:dyDescent="0.35">
      <c r="A1490" s="14" t="s">
        <v>391</v>
      </c>
      <c r="B1490" s="14" t="s">
        <v>377</v>
      </c>
      <c r="C1490" t="s">
        <v>394</v>
      </c>
      <c r="D1490" s="18">
        <v>44187</v>
      </c>
      <c r="E1490" s="34">
        <v>44183</v>
      </c>
      <c r="F1490" s="34">
        <v>44187</v>
      </c>
      <c r="H1490" s="28" t="s">
        <v>345</v>
      </c>
      <c r="K1490" t="s">
        <v>381</v>
      </c>
      <c r="L1490">
        <v>50</v>
      </c>
      <c r="M1490" s="52">
        <v>18.760000000000002</v>
      </c>
    </row>
    <row r="1491" spans="1:13" x14ac:dyDescent="0.35">
      <c r="A1491" s="14" t="s">
        <v>391</v>
      </c>
      <c r="B1491" s="14" t="s">
        <v>377</v>
      </c>
      <c r="C1491" t="s">
        <v>394</v>
      </c>
      <c r="D1491" s="18">
        <v>44187</v>
      </c>
      <c r="E1491" s="34">
        <v>44183</v>
      </c>
      <c r="F1491" s="34">
        <v>44187</v>
      </c>
      <c r="H1491" s="28" t="s">
        <v>59</v>
      </c>
      <c r="M1491" s="52">
        <v>18.760000000000002</v>
      </c>
    </row>
    <row r="1492" spans="1:13" x14ac:dyDescent="0.35">
      <c r="A1492" s="14" t="s">
        <v>391</v>
      </c>
      <c r="B1492" s="14" t="s">
        <v>377</v>
      </c>
      <c r="C1492" t="s">
        <v>394</v>
      </c>
      <c r="D1492" s="18">
        <v>44187</v>
      </c>
      <c r="E1492" s="34">
        <v>44183</v>
      </c>
      <c r="F1492" s="34">
        <v>44187</v>
      </c>
      <c r="H1492" s="28" t="s">
        <v>360</v>
      </c>
      <c r="M1492" s="52">
        <v>18.760000000000002</v>
      </c>
    </row>
    <row r="1493" spans="1:13" x14ac:dyDescent="0.35">
      <c r="A1493" s="14" t="s">
        <v>391</v>
      </c>
      <c r="B1493" s="14" t="s">
        <v>377</v>
      </c>
      <c r="C1493" t="s">
        <v>397</v>
      </c>
      <c r="D1493" s="18">
        <v>44189</v>
      </c>
      <c r="E1493" s="34">
        <v>44186</v>
      </c>
      <c r="F1493" s="34">
        <v>44196</v>
      </c>
      <c r="H1493" s="28" t="s">
        <v>68</v>
      </c>
      <c r="M1493" s="52">
        <v>38.665199741250653</v>
      </c>
    </row>
    <row r="1494" spans="1:13" x14ac:dyDescent="0.35">
      <c r="A1494" s="14" t="s">
        <v>391</v>
      </c>
      <c r="B1494" s="14" t="s">
        <v>377</v>
      </c>
      <c r="C1494" t="s">
        <v>397</v>
      </c>
      <c r="D1494" s="18">
        <v>44189</v>
      </c>
      <c r="E1494" s="34">
        <v>44186</v>
      </c>
      <c r="F1494" s="34">
        <v>44196</v>
      </c>
      <c r="H1494" s="28" t="s">
        <v>72</v>
      </c>
      <c r="M1494" s="52">
        <v>38.665199741250653</v>
      </c>
    </row>
    <row r="1495" spans="1:13" x14ac:dyDescent="0.35">
      <c r="A1495" s="14" t="s">
        <v>391</v>
      </c>
      <c r="B1495" s="14" t="s">
        <v>377</v>
      </c>
      <c r="C1495" t="s">
        <v>397</v>
      </c>
      <c r="D1495" s="18">
        <v>44189</v>
      </c>
      <c r="E1495" s="34">
        <v>44186</v>
      </c>
      <c r="F1495" s="34">
        <v>44196</v>
      </c>
      <c r="H1495" s="28" t="s">
        <v>41</v>
      </c>
      <c r="K1495" t="s">
        <v>381</v>
      </c>
      <c r="L1495">
        <v>50</v>
      </c>
      <c r="M1495" s="52">
        <v>38.665199741250653</v>
      </c>
    </row>
    <row r="1496" spans="1:13" x14ac:dyDescent="0.35">
      <c r="A1496" s="14" t="s">
        <v>391</v>
      </c>
      <c r="B1496" s="14" t="s">
        <v>377</v>
      </c>
      <c r="C1496" t="s">
        <v>397</v>
      </c>
      <c r="D1496" s="18">
        <v>44189</v>
      </c>
      <c r="E1496" s="34">
        <v>44186</v>
      </c>
      <c r="F1496" s="34">
        <v>44196</v>
      </c>
      <c r="H1496" s="28" t="s">
        <v>39</v>
      </c>
      <c r="K1496" t="s">
        <v>381</v>
      </c>
      <c r="L1496">
        <v>25</v>
      </c>
      <c r="M1496" s="52">
        <v>38.665199741250653</v>
      </c>
    </row>
    <row r="1497" spans="1:13" x14ac:dyDescent="0.35">
      <c r="A1497" s="14" t="s">
        <v>391</v>
      </c>
      <c r="B1497" s="14" t="s">
        <v>377</v>
      </c>
      <c r="C1497" t="s">
        <v>397</v>
      </c>
      <c r="D1497" s="18">
        <v>44189</v>
      </c>
      <c r="E1497" s="34">
        <v>44186</v>
      </c>
      <c r="F1497" s="34">
        <v>44196</v>
      </c>
      <c r="H1497" s="28" t="s">
        <v>123</v>
      </c>
      <c r="M1497" s="52">
        <v>38.665199741250653</v>
      </c>
    </row>
    <row r="1498" spans="1:13" x14ac:dyDescent="0.35">
      <c r="A1498" s="14" t="s">
        <v>391</v>
      </c>
      <c r="B1498" s="14" t="s">
        <v>377</v>
      </c>
      <c r="C1498" t="s">
        <v>397</v>
      </c>
      <c r="D1498" s="18">
        <v>44189</v>
      </c>
      <c r="E1498" s="34">
        <v>44186</v>
      </c>
      <c r="F1498" s="34">
        <v>44196</v>
      </c>
      <c r="H1498" s="28" t="s">
        <v>150</v>
      </c>
      <c r="M1498" s="52">
        <v>38.665199741250653</v>
      </c>
    </row>
    <row r="1499" spans="1:13" x14ac:dyDescent="0.35">
      <c r="A1499" s="14" t="s">
        <v>391</v>
      </c>
      <c r="B1499" s="14" t="s">
        <v>377</v>
      </c>
      <c r="C1499" t="s">
        <v>397</v>
      </c>
      <c r="D1499" s="18">
        <v>44189</v>
      </c>
      <c r="E1499" s="34">
        <v>44186</v>
      </c>
      <c r="F1499" s="34">
        <v>44196</v>
      </c>
      <c r="H1499" s="28" t="s">
        <v>127</v>
      </c>
      <c r="M1499" s="52">
        <v>38.665199741250653</v>
      </c>
    </row>
    <row r="1500" spans="1:13" x14ac:dyDescent="0.35">
      <c r="A1500" s="14" t="s">
        <v>391</v>
      </c>
      <c r="B1500" s="14" t="s">
        <v>377</v>
      </c>
      <c r="C1500" t="s">
        <v>397</v>
      </c>
      <c r="D1500" s="18">
        <v>44189</v>
      </c>
      <c r="E1500" s="34">
        <v>44186</v>
      </c>
      <c r="F1500" s="34">
        <v>44196</v>
      </c>
      <c r="H1500" s="28" t="s">
        <v>25</v>
      </c>
      <c r="K1500" t="s">
        <v>381</v>
      </c>
      <c r="L1500">
        <v>20</v>
      </c>
      <c r="M1500" s="52">
        <v>38.665199741250653</v>
      </c>
    </row>
    <row r="1501" spans="1:13" x14ac:dyDescent="0.35">
      <c r="A1501" s="14" t="s">
        <v>391</v>
      </c>
      <c r="B1501" s="14" t="s">
        <v>377</v>
      </c>
      <c r="C1501" t="s">
        <v>397</v>
      </c>
      <c r="D1501" s="18">
        <v>44189</v>
      </c>
      <c r="E1501" s="34">
        <v>44186</v>
      </c>
      <c r="F1501" s="34">
        <v>44196</v>
      </c>
      <c r="H1501" s="28" t="s">
        <v>23</v>
      </c>
      <c r="K1501" t="s">
        <v>380</v>
      </c>
      <c r="L1501">
        <v>10</v>
      </c>
      <c r="M1501" s="52">
        <v>38.665199741250653</v>
      </c>
    </row>
    <row r="1502" spans="1:13" x14ac:dyDescent="0.35">
      <c r="A1502" s="14" t="s">
        <v>391</v>
      </c>
      <c r="B1502" s="14" t="s">
        <v>377</v>
      </c>
      <c r="C1502" t="s">
        <v>397</v>
      </c>
      <c r="D1502" s="18">
        <v>44189</v>
      </c>
      <c r="E1502" s="34">
        <v>44186</v>
      </c>
      <c r="F1502" s="34">
        <v>44196</v>
      </c>
      <c r="H1502" s="28" t="s">
        <v>24</v>
      </c>
      <c r="K1502" t="s">
        <v>380</v>
      </c>
      <c r="L1502">
        <v>15</v>
      </c>
      <c r="M1502" s="52">
        <v>38.665199741250653</v>
      </c>
    </row>
    <row r="1503" spans="1:13" x14ac:dyDescent="0.35">
      <c r="A1503" s="14" t="s">
        <v>391</v>
      </c>
      <c r="B1503" s="14" t="s">
        <v>377</v>
      </c>
      <c r="C1503" t="s">
        <v>397</v>
      </c>
      <c r="D1503" s="18">
        <v>44189</v>
      </c>
      <c r="E1503" s="34">
        <v>44186</v>
      </c>
      <c r="F1503" s="34">
        <v>44196</v>
      </c>
      <c r="H1503" s="28" t="s">
        <v>27</v>
      </c>
      <c r="K1503" t="s">
        <v>380</v>
      </c>
      <c r="L1503">
        <v>10</v>
      </c>
      <c r="M1503" s="52">
        <v>38.665199741250653</v>
      </c>
    </row>
    <row r="1504" spans="1:13" x14ac:dyDescent="0.35">
      <c r="A1504" s="14" t="s">
        <v>391</v>
      </c>
      <c r="B1504" s="14" t="s">
        <v>377</v>
      </c>
      <c r="C1504" t="s">
        <v>397</v>
      </c>
      <c r="D1504" s="18">
        <v>44189</v>
      </c>
      <c r="E1504" s="34">
        <v>44186</v>
      </c>
      <c r="F1504" s="34">
        <v>44196</v>
      </c>
      <c r="H1504" s="28" t="s">
        <v>28</v>
      </c>
      <c r="K1504" t="s">
        <v>380</v>
      </c>
      <c r="L1504">
        <v>15</v>
      </c>
      <c r="M1504" s="52">
        <v>38.665199741250653</v>
      </c>
    </row>
    <row r="1505" spans="1:13" x14ac:dyDescent="0.35">
      <c r="A1505" s="14" t="s">
        <v>391</v>
      </c>
      <c r="B1505" s="14" t="s">
        <v>377</v>
      </c>
      <c r="C1505" t="s">
        <v>397</v>
      </c>
      <c r="D1505" s="18">
        <v>44189</v>
      </c>
      <c r="E1505" s="34">
        <v>44186</v>
      </c>
      <c r="F1505" s="34">
        <v>44196</v>
      </c>
      <c r="H1505" s="28" t="s">
        <v>30</v>
      </c>
      <c r="M1505" s="52">
        <v>38.665199741250653</v>
      </c>
    </row>
    <row r="1506" spans="1:13" x14ac:dyDescent="0.35">
      <c r="A1506" s="14" t="s">
        <v>391</v>
      </c>
      <c r="B1506" s="14" t="s">
        <v>377</v>
      </c>
      <c r="C1506" t="s">
        <v>397</v>
      </c>
      <c r="D1506" s="18">
        <v>44189</v>
      </c>
      <c r="E1506" s="34">
        <v>44186</v>
      </c>
      <c r="F1506" s="34">
        <v>44196</v>
      </c>
      <c r="H1506" s="28" t="s">
        <v>29</v>
      </c>
      <c r="K1506" t="s">
        <v>381</v>
      </c>
      <c r="L1506">
        <v>33</v>
      </c>
      <c r="M1506" s="52">
        <v>38.665199741250653</v>
      </c>
    </row>
    <row r="1507" spans="1:13" x14ac:dyDescent="0.35">
      <c r="A1507" s="14" t="s">
        <v>391</v>
      </c>
      <c r="B1507" s="14" t="s">
        <v>377</v>
      </c>
      <c r="C1507" t="s">
        <v>397</v>
      </c>
      <c r="D1507" s="18">
        <v>44189</v>
      </c>
      <c r="E1507" s="34">
        <v>44186</v>
      </c>
      <c r="F1507" s="34">
        <v>44196</v>
      </c>
      <c r="H1507" s="28" t="s">
        <v>190</v>
      </c>
      <c r="M1507" s="52">
        <v>38.665199741250653</v>
      </c>
    </row>
    <row r="1508" spans="1:13" x14ac:dyDescent="0.35">
      <c r="A1508" s="14" t="s">
        <v>391</v>
      </c>
      <c r="B1508" s="14" t="s">
        <v>377</v>
      </c>
      <c r="C1508" t="s">
        <v>397</v>
      </c>
      <c r="D1508" s="18">
        <v>44189</v>
      </c>
      <c r="E1508" s="34">
        <v>44186</v>
      </c>
      <c r="F1508" s="34">
        <v>44196</v>
      </c>
      <c r="H1508" s="28" t="s">
        <v>198</v>
      </c>
      <c r="M1508" s="52">
        <v>38.665199741250653</v>
      </c>
    </row>
    <row r="1509" spans="1:13" x14ac:dyDescent="0.35">
      <c r="A1509" s="14" t="s">
        <v>391</v>
      </c>
      <c r="B1509" s="14" t="s">
        <v>377</v>
      </c>
      <c r="C1509" t="s">
        <v>397</v>
      </c>
      <c r="D1509" s="18">
        <v>44189</v>
      </c>
      <c r="E1509" s="34">
        <v>44186</v>
      </c>
      <c r="F1509" s="34">
        <v>44196</v>
      </c>
      <c r="H1509" s="28" t="s">
        <v>393</v>
      </c>
      <c r="M1509" s="52">
        <v>38.665199741250653</v>
      </c>
    </row>
    <row r="1510" spans="1:13" x14ac:dyDescent="0.35">
      <c r="A1510" s="14" t="s">
        <v>391</v>
      </c>
      <c r="B1510" s="14" t="s">
        <v>377</v>
      </c>
      <c r="C1510" t="s">
        <v>397</v>
      </c>
      <c r="D1510" s="18">
        <v>44189</v>
      </c>
      <c r="E1510" s="34">
        <v>44186</v>
      </c>
      <c r="F1510" s="34">
        <v>44196</v>
      </c>
      <c r="H1510" s="28" t="s">
        <v>204</v>
      </c>
      <c r="M1510" s="52">
        <v>38.665199741250653</v>
      </c>
    </row>
    <row r="1511" spans="1:13" x14ac:dyDescent="0.35">
      <c r="A1511" s="14" t="s">
        <v>391</v>
      </c>
      <c r="B1511" s="14" t="s">
        <v>377</v>
      </c>
      <c r="C1511" t="s">
        <v>397</v>
      </c>
      <c r="D1511" s="18">
        <v>44189</v>
      </c>
      <c r="E1511" s="34">
        <v>44186</v>
      </c>
      <c r="F1511" s="34">
        <v>44196</v>
      </c>
      <c r="H1511" s="28" t="s">
        <v>208</v>
      </c>
      <c r="M1511" s="52">
        <v>38.665199741250653</v>
      </c>
    </row>
    <row r="1512" spans="1:13" x14ac:dyDescent="0.35">
      <c r="A1512" s="14" t="s">
        <v>391</v>
      </c>
      <c r="B1512" s="14" t="s">
        <v>377</v>
      </c>
      <c r="C1512" t="s">
        <v>397</v>
      </c>
      <c r="D1512" s="18">
        <v>44189</v>
      </c>
      <c r="E1512" s="34">
        <v>44186</v>
      </c>
      <c r="F1512" s="34">
        <v>44196</v>
      </c>
      <c r="H1512" s="28" t="s">
        <v>210</v>
      </c>
      <c r="M1512" s="52">
        <v>38.665199741250653</v>
      </c>
    </row>
    <row r="1513" spans="1:13" x14ac:dyDescent="0.35">
      <c r="A1513" s="14" t="s">
        <v>391</v>
      </c>
      <c r="B1513" s="14" t="s">
        <v>377</v>
      </c>
      <c r="C1513" t="s">
        <v>397</v>
      </c>
      <c r="D1513" s="18">
        <v>44189</v>
      </c>
      <c r="E1513" s="34">
        <v>44186</v>
      </c>
      <c r="F1513" s="34">
        <v>44196</v>
      </c>
      <c r="H1513" s="28" t="s">
        <v>223</v>
      </c>
      <c r="M1513" s="52">
        <v>38.665199741250653</v>
      </c>
    </row>
    <row r="1514" spans="1:13" x14ac:dyDescent="0.35">
      <c r="A1514" s="14" t="s">
        <v>391</v>
      </c>
      <c r="B1514" s="14" t="s">
        <v>377</v>
      </c>
      <c r="C1514" t="s">
        <v>397</v>
      </c>
      <c r="D1514" s="18">
        <v>44189</v>
      </c>
      <c r="E1514" s="34">
        <v>44186</v>
      </c>
      <c r="F1514" s="34">
        <v>44196</v>
      </c>
      <c r="H1514" s="28" t="s">
        <v>56</v>
      </c>
      <c r="K1514" t="s">
        <v>381</v>
      </c>
      <c r="L1514">
        <v>30</v>
      </c>
      <c r="M1514" s="52">
        <v>38.665199741250653</v>
      </c>
    </row>
    <row r="1515" spans="1:13" x14ac:dyDescent="0.35">
      <c r="A1515" s="14" t="s">
        <v>391</v>
      </c>
      <c r="B1515" s="14" t="s">
        <v>377</v>
      </c>
      <c r="C1515" t="s">
        <v>397</v>
      </c>
      <c r="D1515" s="18">
        <v>44189</v>
      </c>
      <c r="E1515" s="34">
        <v>44186</v>
      </c>
      <c r="F1515" s="34">
        <v>44196</v>
      </c>
      <c r="H1515" s="28" t="s">
        <v>263</v>
      </c>
      <c r="M1515" s="52">
        <v>38.665199741250653</v>
      </c>
    </row>
    <row r="1516" spans="1:13" x14ac:dyDescent="0.35">
      <c r="A1516" s="14" t="s">
        <v>391</v>
      </c>
      <c r="B1516" s="14" t="s">
        <v>377</v>
      </c>
      <c r="C1516" t="s">
        <v>397</v>
      </c>
      <c r="D1516" s="18">
        <v>44189</v>
      </c>
      <c r="E1516" s="34">
        <v>44186</v>
      </c>
      <c r="F1516" s="34">
        <v>44196</v>
      </c>
      <c r="H1516" s="28" t="s">
        <v>287</v>
      </c>
      <c r="M1516" s="52">
        <v>38.665199741250653</v>
      </c>
    </row>
    <row r="1517" spans="1:13" x14ac:dyDescent="0.35">
      <c r="A1517" s="14" t="s">
        <v>391</v>
      </c>
      <c r="B1517" s="14" t="s">
        <v>377</v>
      </c>
      <c r="C1517" t="s">
        <v>397</v>
      </c>
      <c r="D1517" s="18">
        <v>44189</v>
      </c>
      <c r="E1517" s="34">
        <v>44186</v>
      </c>
      <c r="F1517" s="34">
        <v>44196</v>
      </c>
      <c r="H1517" s="28" t="s">
        <v>309</v>
      </c>
      <c r="M1517" s="52">
        <v>38.665199741250653</v>
      </c>
    </row>
    <row r="1518" spans="1:13" x14ac:dyDescent="0.35">
      <c r="A1518" s="14" t="s">
        <v>391</v>
      </c>
      <c r="B1518" s="14" t="s">
        <v>377</v>
      </c>
      <c r="C1518" t="s">
        <v>397</v>
      </c>
      <c r="D1518" s="18">
        <v>44189</v>
      </c>
      <c r="E1518" s="34">
        <v>44186</v>
      </c>
      <c r="F1518" s="34">
        <v>44196</v>
      </c>
      <c r="H1518" s="28" t="s">
        <v>311</v>
      </c>
      <c r="M1518" s="52">
        <v>38.665199741250653</v>
      </c>
    </row>
    <row r="1519" spans="1:13" x14ac:dyDescent="0.35">
      <c r="A1519" s="14" t="s">
        <v>391</v>
      </c>
      <c r="B1519" s="14" t="s">
        <v>377</v>
      </c>
      <c r="C1519" t="s">
        <v>397</v>
      </c>
      <c r="D1519" s="18">
        <v>44189</v>
      </c>
      <c r="E1519" s="34">
        <v>44186</v>
      </c>
      <c r="F1519" s="34">
        <v>44196</v>
      </c>
      <c r="H1519" s="28" t="s">
        <v>315</v>
      </c>
      <c r="K1519" t="s">
        <v>381</v>
      </c>
      <c r="L1519">
        <v>30</v>
      </c>
      <c r="M1519" s="52">
        <v>38.665199741250653</v>
      </c>
    </row>
    <row r="1520" spans="1:13" x14ac:dyDescent="0.35">
      <c r="A1520" s="14" t="s">
        <v>391</v>
      </c>
      <c r="B1520" s="14" t="s">
        <v>377</v>
      </c>
      <c r="C1520" t="s">
        <v>397</v>
      </c>
      <c r="D1520" s="18">
        <v>44189</v>
      </c>
      <c r="E1520" s="34">
        <v>44186</v>
      </c>
      <c r="F1520" s="34">
        <v>44196</v>
      </c>
      <c r="H1520" s="28" t="s">
        <v>313</v>
      </c>
      <c r="K1520" t="s">
        <v>381</v>
      </c>
      <c r="L1520">
        <v>50</v>
      </c>
      <c r="M1520" s="52">
        <v>38.665199741250653</v>
      </c>
    </row>
    <row r="1521" spans="1:13" x14ac:dyDescent="0.35">
      <c r="A1521" s="14" t="s">
        <v>391</v>
      </c>
      <c r="B1521" s="14" t="s">
        <v>377</v>
      </c>
      <c r="C1521" t="s">
        <v>397</v>
      </c>
      <c r="D1521" s="18">
        <v>44189</v>
      </c>
      <c r="E1521" s="34">
        <v>44186</v>
      </c>
      <c r="F1521" s="34">
        <v>44196</v>
      </c>
      <c r="H1521" s="28" t="s">
        <v>32</v>
      </c>
      <c r="K1521" t="s">
        <v>380</v>
      </c>
      <c r="L1521">
        <v>6</v>
      </c>
      <c r="M1521" s="52">
        <v>38.665199741250653</v>
      </c>
    </row>
    <row r="1522" spans="1:13" x14ac:dyDescent="0.35">
      <c r="A1522" s="14" t="s">
        <v>391</v>
      </c>
      <c r="B1522" s="14" t="s">
        <v>377</v>
      </c>
      <c r="C1522" t="s">
        <v>397</v>
      </c>
      <c r="D1522" s="18">
        <v>44189</v>
      </c>
      <c r="E1522" s="34">
        <v>44186</v>
      </c>
      <c r="F1522" s="34">
        <v>44196</v>
      </c>
      <c r="H1522" s="28" t="s">
        <v>60</v>
      </c>
      <c r="K1522" t="s">
        <v>380</v>
      </c>
      <c r="L1522">
        <v>6</v>
      </c>
      <c r="M1522" s="52">
        <v>38.665199741250653</v>
      </c>
    </row>
    <row r="1523" spans="1:13" x14ac:dyDescent="0.35">
      <c r="A1523" s="14" t="s">
        <v>391</v>
      </c>
      <c r="B1523" s="14" t="s">
        <v>377</v>
      </c>
      <c r="C1523" t="s">
        <v>397</v>
      </c>
      <c r="D1523" s="18">
        <v>44189</v>
      </c>
      <c r="E1523" s="34">
        <v>44186</v>
      </c>
      <c r="F1523" s="34">
        <v>44196</v>
      </c>
      <c r="H1523" s="28" t="s">
        <v>335</v>
      </c>
      <c r="M1523" s="52">
        <v>38.665199741250653</v>
      </c>
    </row>
    <row r="1524" spans="1:13" x14ac:dyDescent="0.35">
      <c r="A1524" s="14" t="s">
        <v>391</v>
      </c>
      <c r="B1524" s="14" t="s">
        <v>377</v>
      </c>
      <c r="C1524" t="s">
        <v>397</v>
      </c>
      <c r="D1524" s="18">
        <v>44189</v>
      </c>
      <c r="E1524" s="34">
        <v>44186</v>
      </c>
      <c r="F1524" s="34">
        <v>44196</v>
      </c>
      <c r="H1524" s="28" t="s">
        <v>339</v>
      </c>
      <c r="M1524" s="52">
        <v>38.665199741250653</v>
      </c>
    </row>
    <row r="1525" spans="1:13" x14ac:dyDescent="0.35">
      <c r="A1525" s="14" t="s">
        <v>391</v>
      </c>
      <c r="B1525" s="14" t="s">
        <v>377</v>
      </c>
      <c r="C1525" t="s">
        <v>397</v>
      </c>
      <c r="D1525" s="18">
        <v>44189</v>
      </c>
      <c r="E1525" s="34">
        <v>44186</v>
      </c>
      <c r="F1525" s="34">
        <v>44196</v>
      </c>
      <c r="H1525" s="28" t="s">
        <v>341</v>
      </c>
      <c r="M1525" s="52">
        <v>38.665199741250653</v>
      </c>
    </row>
    <row r="1526" spans="1:13" x14ac:dyDescent="0.35">
      <c r="A1526" s="14" t="s">
        <v>391</v>
      </c>
      <c r="B1526" s="14" t="s">
        <v>377</v>
      </c>
      <c r="C1526" t="s">
        <v>397</v>
      </c>
      <c r="D1526" s="18">
        <v>44189</v>
      </c>
      <c r="E1526" s="34">
        <v>44186</v>
      </c>
      <c r="F1526" s="34">
        <v>44196</v>
      </c>
      <c r="H1526" s="28" t="s">
        <v>345</v>
      </c>
      <c r="K1526" t="s">
        <v>381</v>
      </c>
      <c r="L1526">
        <v>50</v>
      </c>
      <c r="M1526" s="52">
        <v>38.665199741250653</v>
      </c>
    </row>
    <row r="1527" spans="1:13" x14ac:dyDescent="0.35">
      <c r="A1527" s="14" t="s">
        <v>391</v>
      </c>
      <c r="B1527" s="14" t="s">
        <v>377</v>
      </c>
      <c r="C1527" t="s">
        <v>397</v>
      </c>
      <c r="D1527" s="18">
        <v>44189</v>
      </c>
      <c r="E1527" s="34">
        <v>44186</v>
      </c>
      <c r="F1527" s="34">
        <v>44196</v>
      </c>
      <c r="H1527" s="28" t="s">
        <v>59</v>
      </c>
      <c r="M1527" s="52">
        <v>38.665199741250653</v>
      </c>
    </row>
    <row r="1528" spans="1:13" x14ac:dyDescent="0.35">
      <c r="A1528" s="14" t="s">
        <v>391</v>
      </c>
      <c r="B1528" s="14" t="s">
        <v>377</v>
      </c>
      <c r="C1528" t="s">
        <v>397</v>
      </c>
      <c r="D1528" s="18">
        <v>44189</v>
      </c>
      <c r="E1528" s="34">
        <v>44186</v>
      </c>
      <c r="F1528" s="34">
        <v>44196</v>
      </c>
      <c r="H1528" s="28" t="s">
        <v>360</v>
      </c>
      <c r="M1528" s="52">
        <v>38.665199741250653</v>
      </c>
    </row>
    <row r="1529" spans="1:13" x14ac:dyDescent="0.35">
      <c r="A1529" s="14" t="s">
        <v>391</v>
      </c>
      <c r="B1529" s="14" t="s">
        <v>377</v>
      </c>
      <c r="C1529" t="s">
        <v>400</v>
      </c>
      <c r="D1529" s="18">
        <v>44189</v>
      </c>
      <c r="E1529" s="18">
        <v>44187</v>
      </c>
      <c r="F1529" s="34">
        <v>44194</v>
      </c>
      <c r="H1529" s="28" t="s">
        <v>68</v>
      </c>
      <c r="M1529" s="52">
        <v>52.414295908719701</v>
      </c>
    </row>
    <row r="1530" spans="1:13" x14ac:dyDescent="0.35">
      <c r="A1530" s="14" t="s">
        <v>391</v>
      </c>
      <c r="B1530" s="14" t="s">
        <v>377</v>
      </c>
      <c r="C1530" t="s">
        <v>400</v>
      </c>
      <c r="D1530" s="18">
        <v>44189</v>
      </c>
      <c r="E1530" s="18">
        <v>44187</v>
      </c>
      <c r="F1530" s="34">
        <v>44194</v>
      </c>
      <c r="H1530" s="28" t="s">
        <v>408</v>
      </c>
      <c r="M1530" s="52">
        <v>52.414295908719701</v>
      </c>
    </row>
    <row r="1531" spans="1:13" x14ac:dyDescent="0.35">
      <c r="A1531" s="14" t="s">
        <v>391</v>
      </c>
      <c r="B1531" s="14" t="s">
        <v>377</v>
      </c>
      <c r="C1531" t="s">
        <v>400</v>
      </c>
      <c r="D1531" s="18">
        <v>44189</v>
      </c>
      <c r="E1531" s="18">
        <v>44187</v>
      </c>
      <c r="F1531" s="34">
        <v>44194</v>
      </c>
      <c r="H1531" s="28" t="s">
        <v>41</v>
      </c>
      <c r="K1531" t="s">
        <v>381</v>
      </c>
      <c r="L1531">
        <v>50</v>
      </c>
      <c r="M1531" s="52">
        <v>52.414295908719701</v>
      </c>
    </row>
    <row r="1532" spans="1:13" x14ac:dyDescent="0.35">
      <c r="A1532" s="14" t="s">
        <v>391</v>
      </c>
      <c r="B1532" s="14" t="s">
        <v>377</v>
      </c>
      <c r="C1532" t="s">
        <v>400</v>
      </c>
      <c r="D1532" s="18">
        <v>44189</v>
      </c>
      <c r="E1532" s="18">
        <v>44187</v>
      </c>
      <c r="F1532" s="34">
        <v>44194</v>
      </c>
      <c r="H1532" s="28" t="s">
        <v>39</v>
      </c>
      <c r="K1532" t="s">
        <v>381</v>
      </c>
      <c r="L1532">
        <v>25</v>
      </c>
      <c r="M1532" s="52">
        <v>52.414295908719701</v>
      </c>
    </row>
    <row r="1533" spans="1:13" x14ac:dyDescent="0.35">
      <c r="A1533" s="14" t="s">
        <v>391</v>
      </c>
      <c r="B1533" s="14" t="s">
        <v>377</v>
      </c>
      <c r="C1533" t="s">
        <v>400</v>
      </c>
      <c r="D1533" s="18">
        <v>44189</v>
      </c>
      <c r="E1533" s="18">
        <v>44187</v>
      </c>
      <c r="F1533" s="34">
        <v>44194</v>
      </c>
      <c r="H1533" s="28" t="s">
        <v>123</v>
      </c>
      <c r="M1533" s="52">
        <v>52.414295908719701</v>
      </c>
    </row>
    <row r="1534" spans="1:13" x14ac:dyDescent="0.35">
      <c r="A1534" s="14" t="s">
        <v>391</v>
      </c>
      <c r="B1534" s="14" t="s">
        <v>377</v>
      </c>
      <c r="C1534" t="s">
        <v>400</v>
      </c>
      <c r="D1534" s="18">
        <v>44189</v>
      </c>
      <c r="E1534" s="18">
        <v>44187</v>
      </c>
      <c r="F1534" s="34">
        <v>44194</v>
      </c>
      <c r="H1534" s="28" t="s">
        <v>150</v>
      </c>
      <c r="M1534" s="52">
        <v>52.414295908719701</v>
      </c>
    </row>
    <row r="1535" spans="1:13" x14ac:dyDescent="0.35">
      <c r="A1535" s="14" t="s">
        <v>391</v>
      </c>
      <c r="B1535" s="14" t="s">
        <v>377</v>
      </c>
      <c r="C1535" t="s">
        <v>400</v>
      </c>
      <c r="D1535" s="18">
        <v>44189</v>
      </c>
      <c r="E1535" s="18">
        <v>44187</v>
      </c>
      <c r="F1535" s="34">
        <v>44194</v>
      </c>
      <c r="H1535" s="28" t="s">
        <v>127</v>
      </c>
      <c r="M1535" s="52">
        <v>52.414295908719701</v>
      </c>
    </row>
    <row r="1536" spans="1:13" x14ac:dyDescent="0.35">
      <c r="A1536" s="14" t="s">
        <v>391</v>
      </c>
      <c r="B1536" s="14" t="s">
        <v>377</v>
      </c>
      <c r="C1536" t="s">
        <v>400</v>
      </c>
      <c r="D1536" s="18">
        <v>44189</v>
      </c>
      <c r="E1536" s="18">
        <v>44187</v>
      </c>
      <c r="F1536" s="34">
        <v>44194</v>
      </c>
      <c r="H1536" s="28" t="s">
        <v>25</v>
      </c>
      <c r="K1536" t="s">
        <v>381</v>
      </c>
      <c r="L1536">
        <v>20</v>
      </c>
      <c r="M1536" s="52">
        <v>52.414295908719701</v>
      </c>
    </row>
    <row r="1537" spans="1:13" x14ac:dyDescent="0.35">
      <c r="A1537" s="14" t="s">
        <v>391</v>
      </c>
      <c r="B1537" s="14" t="s">
        <v>377</v>
      </c>
      <c r="C1537" t="s">
        <v>400</v>
      </c>
      <c r="D1537" s="18">
        <v>44189</v>
      </c>
      <c r="E1537" s="18">
        <v>44187</v>
      </c>
      <c r="F1537" s="34">
        <v>44194</v>
      </c>
      <c r="H1537" s="28" t="s">
        <v>23</v>
      </c>
      <c r="K1537" t="s">
        <v>380</v>
      </c>
      <c r="L1537">
        <v>10</v>
      </c>
      <c r="M1537" s="52">
        <v>52.414295908719701</v>
      </c>
    </row>
    <row r="1538" spans="1:13" x14ac:dyDescent="0.35">
      <c r="A1538" s="14" t="s">
        <v>391</v>
      </c>
      <c r="B1538" s="14" t="s">
        <v>377</v>
      </c>
      <c r="C1538" t="s">
        <v>400</v>
      </c>
      <c r="D1538" s="18">
        <v>44189</v>
      </c>
      <c r="E1538" s="18">
        <v>44187</v>
      </c>
      <c r="F1538" s="34">
        <v>44194</v>
      </c>
      <c r="H1538" s="28" t="s">
        <v>24</v>
      </c>
      <c r="K1538" t="s">
        <v>380</v>
      </c>
      <c r="L1538">
        <v>15</v>
      </c>
      <c r="M1538" s="52">
        <v>52.414295908719701</v>
      </c>
    </row>
    <row r="1539" spans="1:13" x14ac:dyDescent="0.35">
      <c r="A1539" s="14" t="s">
        <v>391</v>
      </c>
      <c r="B1539" s="14" t="s">
        <v>377</v>
      </c>
      <c r="C1539" t="s">
        <v>400</v>
      </c>
      <c r="D1539" s="18">
        <v>44189</v>
      </c>
      <c r="E1539" s="18">
        <v>44187</v>
      </c>
      <c r="F1539" s="34">
        <v>44194</v>
      </c>
      <c r="H1539" s="28" t="s">
        <v>27</v>
      </c>
      <c r="K1539" t="s">
        <v>380</v>
      </c>
      <c r="L1539">
        <v>10</v>
      </c>
      <c r="M1539" s="52">
        <v>52.414295908719701</v>
      </c>
    </row>
    <row r="1540" spans="1:13" x14ac:dyDescent="0.35">
      <c r="A1540" s="14" t="s">
        <v>391</v>
      </c>
      <c r="B1540" s="14" t="s">
        <v>377</v>
      </c>
      <c r="C1540" t="s">
        <v>400</v>
      </c>
      <c r="D1540" s="18">
        <v>44189</v>
      </c>
      <c r="E1540" s="18">
        <v>44187</v>
      </c>
      <c r="F1540" s="34">
        <v>44194</v>
      </c>
      <c r="H1540" s="28" t="s">
        <v>28</v>
      </c>
      <c r="K1540" t="s">
        <v>380</v>
      </c>
      <c r="L1540">
        <v>15</v>
      </c>
      <c r="M1540" s="52">
        <v>52.414295908719701</v>
      </c>
    </row>
    <row r="1541" spans="1:13" x14ac:dyDescent="0.35">
      <c r="A1541" s="14" t="s">
        <v>391</v>
      </c>
      <c r="B1541" s="14" t="s">
        <v>377</v>
      </c>
      <c r="C1541" t="s">
        <v>400</v>
      </c>
      <c r="D1541" s="18">
        <v>44189</v>
      </c>
      <c r="E1541" s="18">
        <v>44187</v>
      </c>
      <c r="F1541" s="34">
        <v>44194</v>
      </c>
      <c r="H1541" s="28" t="s">
        <v>30</v>
      </c>
      <c r="M1541" s="52">
        <v>52.414295908719701</v>
      </c>
    </row>
    <row r="1542" spans="1:13" x14ac:dyDescent="0.35">
      <c r="A1542" s="14" t="s">
        <v>391</v>
      </c>
      <c r="B1542" s="14" t="s">
        <v>377</v>
      </c>
      <c r="C1542" t="s">
        <v>400</v>
      </c>
      <c r="D1542" s="18">
        <v>44189</v>
      </c>
      <c r="E1542" s="18">
        <v>44187</v>
      </c>
      <c r="F1542" s="34">
        <v>44194</v>
      </c>
      <c r="H1542" s="28" t="s">
        <v>29</v>
      </c>
      <c r="K1542" t="s">
        <v>381</v>
      </c>
      <c r="L1542">
        <v>33</v>
      </c>
      <c r="M1542" s="52">
        <v>52.414295908719701</v>
      </c>
    </row>
    <row r="1543" spans="1:13" x14ac:dyDescent="0.35">
      <c r="A1543" s="14" t="s">
        <v>391</v>
      </c>
      <c r="B1543" s="14" t="s">
        <v>377</v>
      </c>
      <c r="C1543" t="s">
        <v>400</v>
      </c>
      <c r="D1543" s="18">
        <v>44189</v>
      </c>
      <c r="E1543" s="18">
        <v>44187</v>
      </c>
      <c r="F1543" s="34">
        <v>44194</v>
      </c>
      <c r="H1543" s="28" t="s">
        <v>190</v>
      </c>
      <c r="M1543" s="52">
        <v>52.414295908719701</v>
      </c>
    </row>
    <row r="1544" spans="1:13" x14ac:dyDescent="0.35">
      <c r="A1544" s="14" t="s">
        <v>391</v>
      </c>
      <c r="B1544" s="14" t="s">
        <v>377</v>
      </c>
      <c r="C1544" t="s">
        <v>400</v>
      </c>
      <c r="D1544" s="18">
        <v>44189</v>
      </c>
      <c r="E1544" s="18">
        <v>44187</v>
      </c>
      <c r="F1544" s="34">
        <v>44194</v>
      </c>
      <c r="H1544" s="28" t="s">
        <v>198</v>
      </c>
      <c r="M1544" s="52">
        <v>52.414295908719701</v>
      </c>
    </row>
    <row r="1545" spans="1:13" x14ac:dyDescent="0.35">
      <c r="A1545" s="14" t="s">
        <v>391</v>
      </c>
      <c r="B1545" s="14" t="s">
        <v>377</v>
      </c>
      <c r="C1545" t="s">
        <v>400</v>
      </c>
      <c r="D1545" s="18">
        <v>44189</v>
      </c>
      <c r="E1545" s="18">
        <v>44187</v>
      </c>
      <c r="F1545" s="34">
        <v>44194</v>
      </c>
      <c r="H1545" s="28" t="s">
        <v>393</v>
      </c>
      <c r="M1545" s="52">
        <v>52.414295908719701</v>
      </c>
    </row>
    <row r="1546" spans="1:13" x14ac:dyDescent="0.35">
      <c r="A1546" s="14" t="s">
        <v>391</v>
      </c>
      <c r="B1546" s="14" t="s">
        <v>377</v>
      </c>
      <c r="C1546" t="s">
        <v>400</v>
      </c>
      <c r="D1546" s="18">
        <v>44189</v>
      </c>
      <c r="E1546" s="18">
        <v>44187</v>
      </c>
      <c r="F1546" s="34">
        <v>44194</v>
      </c>
      <c r="H1546" s="28" t="s">
        <v>204</v>
      </c>
      <c r="M1546" s="52">
        <v>52.414295908719701</v>
      </c>
    </row>
    <row r="1547" spans="1:13" x14ac:dyDescent="0.35">
      <c r="A1547" s="14" t="s">
        <v>391</v>
      </c>
      <c r="B1547" s="14" t="s">
        <v>377</v>
      </c>
      <c r="C1547" t="s">
        <v>400</v>
      </c>
      <c r="D1547" s="18">
        <v>44189</v>
      </c>
      <c r="E1547" s="18">
        <v>44187</v>
      </c>
      <c r="F1547" s="34">
        <v>44194</v>
      </c>
      <c r="H1547" s="28" t="s">
        <v>208</v>
      </c>
      <c r="M1547" s="52">
        <v>52.414295908719701</v>
      </c>
    </row>
    <row r="1548" spans="1:13" x14ac:dyDescent="0.35">
      <c r="A1548" s="14" t="s">
        <v>391</v>
      </c>
      <c r="B1548" s="14" t="s">
        <v>377</v>
      </c>
      <c r="C1548" t="s">
        <v>400</v>
      </c>
      <c r="D1548" s="18">
        <v>44189</v>
      </c>
      <c r="E1548" s="18">
        <v>44187</v>
      </c>
      <c r="F1548" s="34">
        <v>44194</v>
      </c>
      <c r="H1548" s="28" t="s">
        <v>403</v>
      </c>
      <c r="M1548" s="52">
        <v>52.414295908719701</v>
      </c>
    </row>
    <row r="1549" spans="1:13" x14ac:dyDescent="0.35">
      <c r="A1549" s="14" t="s">
        <v>391</v>
      </c>
      <c r="B1549" s="14" t="s">
        <v>377</v>
      </c>
      <c r="C1549" t="s">
        <v>400</v>
      </c>
      <c r="D1549" s="18">
        <v>44189</v>
      </c>
      <c r="E1549" s="18">
        <v>44187</v>
      </c>
      <c r="F1549" s="34">
        <v>44194</v>
      </c>
      <c r="H1549" s="28" t="s">
        <v>223</v>
      </c>
      <c r="M1549" s="52">
        <v>52.414295908719701</v>
      </c>
    </row>
    <row r="1550" spans="1:13" x14ac:dyDescent="0.35">
      <c r="A1550" s="14" t="s">
        <v>391</v>
      </c>
      <c r="B1550" s="14" t="s">
        <v>377</v>
      </c>
      <c r="C1550" t="s">
        <v>400</v>
      </c>
      <c r="D1550" s="18">
        <v>44189</v>
      </c>
      <c r="E1550" s="18">
        <v>44187</v>
      </c>
      <c r="F1550" s="34">
        <v>44194</v>
      </c>
      <c r="H1550" s="28" t="s">
        <v>56</v>
      </c>
      <c r="K1550" t="s">
        <v>381</v>
      </c>
      <c r="L1550">
        <v>30</v>
      </c>
      <c r="M1550" s="52">
        <v>52.414295908719701</v>
      </c>
    </row>
    <row r="1551" spans="1:13" x14ac:dyDescent="0.35">
      <c r="A1551" s="14" t="s">
        <v>391</v>
      </c>
      <c r="B1551" s="14" t="s">
        <v>377</v>
      </c>
      <c r="C1551" t="s">
        <v>400</v>
      </c>
      <c r="D1551" s="18">
        <v>44189</v>
      </c>
      <c r="E1551" s="18">
        <v>44187</v>
      </c>
      <c r="F1551" s="34">
        <v>44194</v>
      </c>
      <c r="H1551" s="28" t="s">
        <v>263</v>
      </c>
      <c r="M1551" s="52">
        <v>52.414295908719701</v>
      </c>
    </row>
    <row r="1552" spans="1:13" x14ac:dyDescent="0.35">
      <c r="A1552" s="14" t="s">
        <v>391</v>
      </c>
      <c r="B1552" s="14" t="s">
        <v>377</v>
      </c>
      <c r="C1552" t="s">
        <v>400</v>
      </c>
      <c r="D1552" s="18">
        <v>44189</v>
      </c>
      <c r="E1552" s="18">
        <v>44187</v>
      </c>
      <c r="F1552" s="34">
        <v>44194</v>
      </c>
      <c r="H1552" s="28" t="s">
        <v>287</v>
      </c>
      <c r="M1552" s="52">
        <v>52.414295908719701</v>
      </c>
    </row>
    <row r="1553" spans="1:13" x14ac:dyDescent="0.35">
      <c r="A1553" s="14" t="s">
        <v>391</v>
      </c>
      <c r="B1553" s="14" t="s">
        <v>377</v>
      </c>
      <c r="C1553" t="s">
        <v>400</v>
      </c>
      <c r="D1553" s="18">
        <v>44189</v>
      </c>
      <c r="E1553" s="18">
        <v>44187</v>
      </c>
      <c r="F1553" s="34">
        <v>44194</v>
      </c>
      <c r="H1553" s="28" t="s">
        <v>309</v>
      </c>
      <c r="M1553" s="52">
        <v>52.414295908719701</v>
      </c>
    </row>
    <row r="1554" spans="1:13" x14ac:dyDescent="0.35">
      <c r="A1554" s="14" t="s">
        <v>391</v>
      </c>
      <c r="B1554" s="14" t="s">
        <v>377</v>
      </c>
      <c r="C1554" t="s">
        <v>400</v>
      </c>
      <c r="D1554" s="18">
        <v>44189</v>
      </c>
      <c r="E1554" s="18">
        <v>44187</v>
      </c>
      <c r="F1554" s="34">
        <v>44194</v>
      </c>
      <c r="H1554" s="28" t="s">
        <v>311</v>
      </c>
      <c r="M1554" s="52">
        <v>52.414295908719701</v>
      </c>
    </row>
    <row r="1555" spans="1:13" x14ac:dyDescent="0.35">
      <c r="A1555" s="14" t="s">
        <v>391</v>
      </c>
      <c r="B1555" s="14" t="s">
        <v>377</v>
      </c>
      <c r="C1555" t="s">
        <v>400</v>
      </c>
      <c r="D1555" s="18">
        <v>44189</v>
      </c>
      <c r="E1555" s="18">
        <v>44187</v>
      </c>
      <c r="F1555" s="34">
        <v>44194</v>
      </c>
      <c r="H1555" s="28" t="s">
        <v>315</v>
      </c>
      <c r="K1555" t="s">
        <v>381</v>
      </c>
      <c r="L1555">
        <v>30</v>
      </c>
      <c r="M1555" s="52">
        <v>52.414295908719701</v>
      </c>
    </row>
    <row r="1556" spans="1:13" x14ac:dyDescent="0.35">
      <c r="A1556" s="14" t="s">
        <v>391</v>
      </c>
      <c r="B1556" s="14" t="s">
        <v>377</v>
      </c>
      <c r="C1556" t="s">
        <v>400</v>
      </c>
      <c r="D1556" s="18">
        <v>44189</v>
      </c>
      <c r="E1556" s="18">
        <v>44187</v>
      </c>
      <c r="F1556" s="34">
        <v>44194</v>
      </c>
      <c r="H1556" s="28" t="s">
        <v>401</v>
      </c>
      <c r="K1556" t="s">
        <v>381</v>
      </c>
      <c r="L1556">
        <v>50</v>
      </c>
      <c r="M1556" s="52">
        <v>52.414295908719701</v>
      </c>
    </row>
    <row r="1557" spans="1:13" x14ac:dyDescent="0.35">
      <c r="A1557" s="14" t="s">
        <v>391</v>
      </c>
      <c r="B1557" s="14" t="s">
        <v>377</v>
      </c>
      <c r="C1557" t="s">
        <v>400</v>
      </c>
      <c r="D1557" s="18">
        <v>44189</v>
      </c>
      <c r="E1557" s="18">
        <v>44187</v>
      </c>
      <c r="F1557" s="34">
        <v>44194</v>
      </c>
      <c r="H1557" s="28" t="s">
        <v>402</v>
      </c>
      <c r="K1557" t="s">
        <v>380</v>
      </c>
      <c r="L1557">
        <v>6</v>
      </c>
      <c r="M1557" s="52">
        <v>52.414295908719701</v>
      </c>
    </row>
    <row r="1558" spans="1:13" x14ac:dyDescent="0.35">
      <c r="A1558" s="14" t="s">
        <v>391</v>
      </c>
      <c r="B1558" s="14" t="s">
        <v>377</v>
      </c>
      <c r="C1558" t="s">
        <v>400</v>
      </c>
      <c r="D1558" s="18">
        <v>44189</v>
      </c>
      <c r="E1558" s="18">
        <v>44187</v>
      </c>
      <c r="F1558" s="34">
        <v>44194</v>
      </c>
      <c r="H1558" s="28" t="s">
        <v>60</v>
      </c>
      <c r="K1558" t="s">
        <v>380</v>
      </c>
      <c r="L1558">
        <v>6</v>
      </c>
      <c r="M1558" s="52">
        <v>52.414295908719701</v>
      </c>
    </row>
    <row r="1559" spans="1:13" x14ac:dyDescent="0.35">
      <c r="A1559" s="14" t="s">
        <v>391</v>
      </c>
      <c r="B1559" s="14" t="s">
        <v>377</v>
      </c>
      <c r="C1559" t="s">
        <v>400</v>
      </c>
      <c r="D1559" s="18">
        <v>44189</v>
      </c>
      <c r="E1559" s="18">
        <v>44187</v>
      </c>
      <c r="F1559" s="34">
        <v>44194</v>
      </c>
      <c r="H1559" s="28" t="s">
        <v>60</v>
      </c>
      <c r="K1559" t="s">
        <v>380</v>
      </c>
      <c r="L1559">
        <v>6</v>
      </c>
      <c r="M1559" s="52">
        <v>52.414295908719701</v>
      </c>
    </row>
    <row r="1560" spans="1:13" x14ac:dyDescent="0.35">
      <c r="A1560" s="14" t="s">
        <v>391</v>
      </c>
      <c r="B1560" s="14" t="s">
        <v>377</v>
      </c>
      <c r="C1560" t="s">
        <v>400</v>
      </c>
      <c r="D1560" s="18">
        <v>44189</v>
      </c>
      <c r="E1560" s="18">
        <v>44187</v>
      </c>
      <c r="F1560" s="34">
        <v>44194</v>
      </c>
      <c r="H1560" s="28" t="s">
        <v>335</v>
      </c>
      <c r="M1560" s="52">
        <v>52.414295908719701</v>
      </c>
    </row>
    <row r="1561" spans="1:13" x14ac:dyDescent="0.35">
      <c r="A1561" s="14" t="s">
        <v>391</v>
      </c>
      <c r="B1561" s="14" t="s">
        <v>377</v>
      </c>
      <c r="C1561" t="s">
        <v>400</v>
      </c>
      <c r="D1561" s="18">
        <v>44189</v>
      </c>
      <c r="E1561" s="18">
        <v>44187</v>
      </c>
      <c r="F1561" s="34">
        <v>44194</v>
      </c>
      <c r="H1561" s="28" t="s">
        <v>339</v>
      </c>
      <c r="M1561" s="52">
        <v>52.414295908719701</v>
      </c>
    </row>
    <row r="1562" spans="1:13" x14ac:dyDescent="0.35">
      <c r="A1562" s="14" t="s">
        <v>391</v>
      </c>
      <c r="B1562" s="14" t="s">
        <v>377</v>
      </c>
      <c r="C1562" t="s">
        <v>400</v>
      </c>
      <c r="D1562" s="18">
        <v>44189</v>
      </c>
      <c r="E1562" s="18">
        <v>44187</v>
      </c>
      <c r="F1562" s="34">
        <v>44194</v>
      </c>
      <c r="H1562" s="28" t="s">
        <v>341</v>
      </c>
      <c r="M1562" s="52">
        <v>52.414295908719701</v>
      </c>
    </row>
    <row r="1563" spans="1:13" x14ac:dyDescent="0.35">
      <c r="A1563" s="14" t="s">
        <v>391</v>
      </c>
      <c r="B1563" s="14" t="s">
        <v>377</v>
      </c>
      <c r="C1563" t="s">
        <v>400</v>
      </c>
      <c r="D1563" s="18">
        <v>44189</v>
      </c>
      <c r="E1563" s="18">
        <v>44187</v>
      </c>
      <c r="F1563" s="34">
        <v>44194</v>
      </c>
      <c r="H1563" s="28" t="s">
        <v>345</v>
      </c>
      <c r="K1563" t="s">
        <v>381</v>
      </c>
      <c r="L1563">
        <v>50</v>
      </c>
      <c r="M1563" s="52">
        <v>52.414295908719701</v>
      </c>
    </row>
    <row r="1564" spans="1:13" x14ac:dyDescent="0.35">
      <c r="A1564" s="14" t="s">
        <v>391</v>
      </c>
      <c r="B1564" s="14" t="s">
        <v>377</v>
      </c>
      <c r="C1564" t="s">
        <v>400</v>
      </c>
      <c r="D1564" s="18">
        <v>44189</v>
      </c>
      <c r="E1564" s="18">
        <v>44187</v>
      </c>
      <c r="F1564" s="34">
        <v>44194</v>
      </c>
      <c r="H1564" s="28" t="s">
        <v>59</v>
      </c>
      <c r="M1564" s="52">
        <v>52.414295908719701</v>
      </c>
    </row>
    <row r="1565" spans="1:13" x14ac:dyDescent="0.35">
      <c r="A1565" s="14" t="s">
        <v>391</v>
      </c>
      <c r="B1565" s="14" t="s">
        <v>377</v>
      </c>
      <c r="C1565" t="s">
        <v>400</v>
      </c>
      <c r="D1565" s="18">
        <v>44189</v>
      </c>
      <c r="E1565" s="18">
        <v>44187</v>
      </c>
      <c r="F1565" s="34">
        <v>44194</v>
      </c>
      <c r="H1565" s="28" t="s">
        <v>360</v>
      </c>
      <c r="M1565" s="52">
        <v>52.414295908719701</v>
      </c>
    </row>
    <row r="1566" spans="1:13" x14ac:dyDescent="0.35">
      <c r="A1566" s="14" t="s">
        <v>391</v>
      </c>
      <c r="B1566" s="14" t="s">
        <v>377</v>
      </c>
      <c r="C1566" t="s">
        <v>394</v>
      </c>
      <c r="D1566" s="18">
        <v>44189</v>
      </c>
      <c r="E1566" s="34">
        <v>44187</v>
      </c>
      <c r="F1566" s="34">
        <v>44191</v>
      </c>
      <c r="H1566" s="28" t="s">
        <v>68</v>
      </c>
      <c r="M1566" s="52">
        <v>37.47148323486519</v>
      </c>
    </row>
    <row r="1567" spans="1:13" x14ac:dyDescent="0.35">
      <c r="A1567" s="14" t="s">
        <v>391</v>
      </c>
      <c r="B1567" s="14" t="s">
        <v>377</v>
      </c>
      <c r="C1567" t="s">
        <v>394</v>
      </c>
      <c r="D1567" s="18">
        <v>44189</v>
      </c>
      <c r="E1567" s="34">
        <v>44187</v>
      </c>
      <c r="F1567" s="34">
        <v>44191</v>
      </c>
      <c r="H1567" s="28" t="s">
        <v>96</v>
      </c>
      <c r="M1567" s="52">
        <v>37.47148323486519</v>
      </c>
    </row>
    <row r="1568" spans="1:13" x14ac:dyDescent="0.35">
      <c r="A1568" s="14" t="s">
        <v>391</v>
      </c>
      <c r="B1568" s="14" t="s">
        <v>377</v>
      </c>
      <c r="C1568" t="s">
        <v>394</v>
      </c>
      <c r="D1568" s="18">
        <v>44189</v>
      </c>
      <c r="E1568" s="34">
        <v>44187</v>
      </c>
      <c r="F1568" s="34">
        <v>44191</v>
      </c>
      <c r="H1568" s="28" t="s">
        <v>72</v>
      </c>
      <c r="M1568" s="52">
        <v>37.47148323486519</v>
      </c>
    </row>
    <row r="1569" spans="1:13" x14ac:dyDescent="0.35">
      <c r="A1569" s="14" t="s">
        <v>391</v>
      </c>
      <c r="B1569" s="14" t="s">
        <v>377</v>
      </c>
      <c r="C1569" t="s">
        <v>394</v>
      </c>
      <c r="D1569" s="18">
        <v>44189</v>
      </c>
      <c r="E1569" s="34">
        <v>44187</v>
      </c>
      <c r="F1569" s="34">
        <v>44191</v>
      </c>
      <c r="H1569" s="28" t="s">
        <v>47</v>
      </c>
      <c r="K1569" t="s">
        <v>381</v>
      </c>
      <c r="L1569">
        <v>20</v>
      </c>
      <c r="M1569" s="52">
        <v>37.47148323486519</v>
      </c>
    </row>
    <row r="1570" spans="1:13" x14ac:dyDescent="0.35">
      <c r="A1570" s="14" t="s">
        <v>391</v>
      </c>
      <c r="B1570" s="14" t="s">
        <v>377</v>
      </c>
      <c r="C1570" t="s">
        <v>394</v>
      </c>
      <c r="D1570" s="18">
        <v>44189</v>
      </c>
      <c r="E1570" s="34">
        <v>44187</v>
      </c>
      <c r="F1570" s="34">
        <v>44191</v>
      </c>
      <c r="H1570" s="28" t="s">
        <v>50</v>
      </c>
      <c r="K1570" t="s">
        <v>381</v>
      </c>
      <c r="L1570">
        <v>50</v>
      </c>
      <c r="M1570" s="52">
        <v>37.47148323486519</v>
      </c>
    </row>
    <row r="1571" spans="1:13" x14ac:dyDescent="0.35">
      <c r="A1571" s="14" t="s">
        <v>391</v>
      </c>
      <c r="B1571" s="14" t="s">
        <v>377</v>
      </c>
      <c r="C1571" t="s">
        <v>394</v>
      </c>
      <c r="D1571" s="18">
        <v>44189</v>
      </c>
      <c r="E1571" s="34">
        <v>44187</v>
      </c>
      <c r="F1571" s="34">
        <v>44191</v>
      </c>
      <c r="H1571" s="28" t="s">
        <v>408</v>
      </c>
      <c r="M1571" s="52">
        <v>37.47148323486519</v>
      </c>
    </row>
    <row r="1572" spans="1:13" x14ac:dyDescent="0.35">
      <c r="A1572" s="14" t="s">
        <v>391</v>
      </c>
      <c r="B1572" s="14" t="s">
        <v>377</v>
      </c>
      <c r="C1572" t="s">
        <v>394</v>
      </c>
      <c r="D1572" s="18">
        <v>44189</v>
      </c>
      <c r="E1572" s="34">
        <v>44187</v>
      </c>
      <c r="F1572" s="34">
        <v>44191</v>
      </c>
      <c r="H1572" s="28" t="s">
        <v>41</v>
      </c>
      <c r="K1572" t="s">
        <v>381</v>
      </c>
      <c r="L1572">
        <v>50</v>
      </c>
      <c r="M1572" s="52">
        <v>37.47148323486519</v>
      </c>
    </row>
    <row r="1573" spans="1:13" x14ac:dyDescent="0.35">
      <c r="A1573" s="14" t="s">
        <v>391</v>
      </c>
      <c r="B1573" s="14" t="s">
        <v>377</v>
      </c>
      <c r="C1573" t="s">
        <v>394</v>
      </c>
      <c r="D1573" s="18">
        <v>44189</v>
      </c>
      <c r="E1573" s="34">
        <v>44187</v>
      </c>
      <c r="F1573" s="34">
        <v>44191</v>
      </c>
      <c r="H1573" s="28" t="s">
        <v>39</v>
      </c>
      <c r="K1573" t="s">
        <v>381</v>
      </c>
      <c r="L1573">
        <v>25</v>
      </c>
      <c r="M1573" s="52">
        <v>37.47148323486519</v>
      </c>
    </row>
    <row r="1574" spans="1:13" x14ac:dyDescent="0.35">
      <c r="A1574" s="14" t="s">
        <v>391</v>
      </c>
      <c r="B1574" s="14" t="s">
        <v>377</v>
      </c>
      <c r="C1574" t="s">
        <v>394</v>
      </c>
      <c r="D1574" s="18">
        <v>44189</v>
      </c>
      <c r="E1574" s="34">
        <v>44187</v>
      </c>
      <c r="F1574" s="34">
        <v>44191</v>
      </c>
      <c r="H1574" s="28" t="s">
        <v>116</v>
      </c>
      <c r="K1574" t="s">
        <v>381</v>
      </c>
      <c r="L1574">
        <v>25</v>
      </c>
      <c r="M1574" s="52">
        <v>37.47148323486519</v>
      </c>
    </row>
    <row r="1575" spans="1:13" x14ac:dyDescent="0.35">
      <c r="A1575" s="14" t="s">
        <v>391</v>
      </c>
      <c r="B1575" s="14" t="s">
        <v>377</v>
      </c>
      <c r="C1575" t="s">
        <v>394</v>
      </c>
      <c r="D1575" s="18">
        <v>44189</v>
      </c>
      <c r="E1575" s="34">
        <v>44187</v>
      </c>
      <c r="F1575" s="34">
        <v>44191</v>
      </c>
      <c r="H1575" s="28" t="s">
        <v>123</v>
      </c>
      <c r="M1575" s="52">
        <v>37.47148323486519</v>
      </c>
    </row>
    <row r="1576" spans="1:13" x14ac:dyDescent="0.35">
      <c r="A1576" s="14" t="s">
        <v>391</v>
      </c>
      <c r="B1576" s="14" t="s">
        <v>377</v>
      </c>
      <c r="C1576" t="s">
        <v>394</v>
      </c>
      <c r="D1576" s="18">
        <v>44189</v>
      </c>
      <c r="E1576" s="34">
        <v>44187</v>
      </c>
      <c r="F1576" s="34">
        <v>44191</v>
      </c>
      <c r="H1576" s="28" t="s">
        <v>150</v>
      </c>
      <c r="M1576" s="52">
        <v>37.47148323486519</v>
      </c>
    </row>
    <row r="1577" spans="1:13" x14ac:dyDescent="0.35">
      <c r="A1577" s="14" t="s">
        <v>391</v>
      </c>
      <c r="B1577" s="14" t="s">
        <v>377</v>
      </c>
      <c r="C1577" t="s">
        <v>394</v>
      </c>
      <c r="D1577" s="18">
        <v>44189</v>
      </c>
      <c r="E1577" s="34">
        <v>44187</v>
      </c>
      <c r="F1577" s="34">
        <v>44191</v>
      </c>
      <c r="H1577" s="28" t="s">
        <v>125</v>
      </c>
      <c r="M1577" s="52">
        <v>37.47148323486519</v>
      </c>
    </row>
    <row r="1578" spans="1:13" x14ac:dyDescent="0.35">
      <c r="A1578" s="14" t="s">
        <v>391</v>
      </c>
      <c r="B1578" s="14" t="s">
        <v>377</v>
      </c>
      <c r="C1578" t="s">
        <v>394</v>
      </c>
      <c r="D1578" s="18">
        <v>44189</v>
      </c>
      <c r="E1578" s="34">
        <v>44187</v>
      </c>
      <c r="F1578" s="34">
        <v>44191</v>
      </c>
      <c r="H1578" s="28" t="s">
        <v>127</v>
      </c>
      <c r="M1578" s="52">
        <v>37.47148323486519</v>
      </c>
    </row>
    <row r="1579" spans="1:13" x14ac:dyDescent="0.35">
      <c r="A1579" s="14" t="s">
        <v>391</v>
      </c>
      <c r="B1579" s="14" t="s">
        <v>377</v>
      </c>
      <c r="C1579" t="s">
        <v>394</v>
      </c>
      <c r="D1579" s="18">
        <v>44189</v>
      </c>
      <c r="E1579" s="34">
        <v>44187</v>
      </c>
      <c r="F1579" s="34">
        <v>44191</v>
      </c>
      <c r="H1579" s="28" t="s">
        <v>42</v>
      </c>
      <c r="K1579" t="s">
        <v>380</v>
      </c>
      <c r="L1579">
        <v>6</v>
      </c>
      <c r="M1579" s="52">
        <v>37.47148323486519</v>
      </c>
    </row>
    <row r="1580" spans="1:13" x14ac:dyDescent="0.35">
      <c r="A1580" s="14" t="s">
        <v>391</v>
      </c>
      <c r="B1580" s="14" t="s">
        <v>377</v>
      </c>
      <c r="C1580" t="s">
        <v>394</v>
      </c>
      <c r="D1580" s="18">
        <v>44189</v>
      </c>
      <c r="E1580" s="34">
        <v>44187</v>
      </c>
      <c r="F1580" s="34">
        <v>44191</v>
      </c>
      <c r="H1580" s="28" t="s">
        <v>25</v>
      </c>
      <c r="K1580" t="s">
        <v>381</v>
      </c>
      <c r="L1580">
        <v>20</v>
      </c>
      <c r="M1580" s="52">
        <v>37.47148323486519</v>
      </c>
    </row>
    <row r="1581" spans="1:13" x14ac:dyDescent="0.35">
      <c r="A1581" s="14" t="s">
        <v>391</v>
      </c>
      <c r="B1581" s="14" t="s">
        <v>377</v>
      </c>
      <c r="C1581" t="s">
        <v>394</v>
      </c>
      <c r="D1581" s="18">
        <v>44189</v>
      </c>
      <c r="E1581" s="34">
        <v>44187</v>
      </c>
      <c r="F1581" s="34">
        <v>44191</v>
      </c>
      <c r="H1581" s="28" t="s">
        <v>25</v>
      </c>
      <c r="K1581" t="s">
        <v>381</v>
      </c>
      <c r="L1581">
        <v>40</v>
      </c>
      <c r="M1581" s="52">
        <v>37.47148323486519</v>
      </c>
    </row>
    <row r="1582" spans="1:13" x14ac:dyDescent="0.35">
      <c r="A1582" s="14" t="s">
        <v>391</v>
      </c>
      <c r="B1582" s="14" t="s">
        <v>377</v>
      </c>
      <c r="C1582" t="s">
        <v>394</v>
      </c>
      <c r="D1582" s="18">
        <v>44189</v>
      </c>
      <c r="E1582" s="34">
        <v>44187</v>
      </c>
      <c r="F1582" s="34">
        <v>44191</v>
      </c>
      <c r="H1582" s="28" t="s">
        <v>23</v>
      </c>
      <c r="K1582" t="s">
        <v>380</v>
      </c>
      <c r="L1582">
        <v>6</v>
      </c>
      <c r="M1582" s="52">
        <v>37.47148323486519</v>
      </c>
    </row>
    <row r="1583" spans="1:13" x14ac:dyDescent="0.35">
      <c r="A1583" s="14" t="s">
        <v>391</v>
      </c>
      <c r="B1583" s="14" t="s">
        <v>377</v>
      </c>
      <c r="C1583" t="s">
        <v>394</v>
      </c>
      <c r="D1583" s="18">
        <v>44189</v>
      </c>
      <c r="E1583" s="34">
        <v>44187</v>
      </c>
      <c r="F1583" s="34">
        <v>44191</v>
      </c>
      <c r="H1583" s="28" t="s">
        <v>24</v>
      </c>
      <c r="K1583" t="s">
        <v>380</v>
      </c>
      <c r="L1583">
        <v>6</v>
      </c>
      <c r="M1583" s="52">
        <v>37.47148323486519</v>
      </c>
    </row>
    <row r="1584" spans="1:13" x14ac:dyDescent="0.35">
      <c r="A1584" s="14" t="s">
        <v>391</v>
      </c>
      <c r="B1584" s="14" t="s">
        <v>377</v>
      </c>
      <c r="C1584" t="s">
        <v>394</v>
      </c>
      <c r="D1584" s="18">
        <v>44189</v>
      </c>
      <c r="E1584" s="34">
        <v>44187</v>
      </c>
      <c r="F1584" s="34">
        <v>44191</v>
      </c>
      <c r="H1584" s="28" t="s">
        <v>23</v>
      </c>
      <c r="K1584" t="s">
        <v>380</v>
      </c>
      <c r="L1584">
        <v>10</v>
      </c>
      <c r="M1584" s="52">
        <v>37.47148323486519</v>
      </c>
    </row>
    <row r="1585" spans="1:13" x14ac:dyDescent="0.35">
      <c r="A1585" s="14" t="s">
        <v>391</v>
      </c>
      <c r="B1585" s="14" t="s">
        <v>377</v>
      </c>
      <c r="C1585" t="s">
        <v>394</v>
      </c>
      <c r="D1585" s="18">
        <v>44189</v>
      </c>
      <c r="E1585" s="34">
        <v>44187</v>
      </c>
      <c r="F1585" s="34">
        <v>44191</v>
      </c>
      <c r="H1585" s="28" t="s">
        <v>24</v>
      </c>
      <c r="K1585" t="s">
        <v>380</v>
      </c>
      <c r="L1585">
        <v>15</v>
      </c>
      <c r="M1585" s="52">
        <v>37.47148323486519</v>
      </c>
    </row>
    <row r="1586" spans="1:13" x14ac:dyDescent="0.35">
      <c r="A1586" s="14" t="s">
        <v>391</v>
      </c>
      <c r="B1586" s="14" t="s">
        <v>377</v>
      </c>
      <c r="C1586" t="s">
        <v>394</v>
      </c>
      <c r="D1586" s="18">
        <v>44189</v>
      </c>
      <c r="E1586" s="34">
        <v>44187</v>
      </c>
      <c r="F1586" s="34">
        <v>44191</v>
      </c>
      <c r="H1586" s="28" t="s">
        <v>27</v>
      </c>
      <c r="K1586" t="s">
        <v>380</v>
      </c>
      <c r="L1586">
        <v>10</v>
      </c>
      <c r="M1586" s="52">
        <v>37.47148323486519</v>
      </c>
    </row>
    <row r="1587" spans="1:13" x14ac:dyDescent="0.35">
      <c r="A1587" s="14" t="s">
        <v>391</v>
      </c>
      <c r="B1587" s="14" t="s">
        <v>377</v>
      </c>
      <c r="C1587" t="s">
        <v>394</v>
      </c>
      <c r="D1587" s="18">
        <v>44189</v>
      </c>
      <c r="E1587" s="34">
        <v>44187</v>
      </c>
      <c r="F1587" s="34">
        <v>44191</v>
      </c>
      <c r="H1587" s="28" t="s">
        <v>28</v>
      </c>
      <c r="K1587" t="s">
        <v>380</v>
      </c>
      <c r="L1587">
        <v>15</v>
      </c>
      <c r="M1587" s="52">
        <v>37.47148323486519</v>
      </c>
    </row>
    <row r="1588" spans="1:13" x14ac:dyDescent="0.35">
      <c r="A1588" s="14" t="s">
        <v>391</v>
      </c>
      <c r="B1588" s="14" t="s">
        <v>377</v>
      </c>
      <c r="C1588" t="s">
        <v>394</v>
      </c>
      <c r="D1588" s="18">
        <v>44189</v>
      </c>
      <c r="E1588" s="34">
        <v>44187</v>
      </c>
      <c r="F1588" s="34">
        <v>44191</v>
      </c>
      <c r="H1588" s="28" t="s">
        <v>30</v>
      </c>
      <c r="K1588" t="s">
        <v>381</v>
      </c>
      <c r="L1588">
        <v>33</v>
      </c>
      <c r="M1588" s="52">
        <v>37.47148323486519</v>
      </c>
    </row>
    <row r="1589" spans="1:13" x14ac:dyDescent="0.35">
      <c r="A1589" s="14" t="s">
        <v>391</v>
      </c>
      <c r="B1589" s="14" t="s">
        <v>377</v>
      </c>
      <c r="C1589" t="s">
        <v>394</v>
      </c>
      <c r="D1589" s="18">
        <v>44189</v>
      </c>
      <c r="E1589" s="34">
        <v>44187</v>
      </c>
      <c r="F1589" s="34">
        <v>44191</v>
      </c>
      <c r="H1589" s="28" t="s">
        <v>29</v>
      </c>
      <c r="K1589" t="s">
        <v>381</v>
      </c>
      <c r="L1589">
        <v>33</v>
      </c>
      <c r="M1589" s="52">
        <v>37.47148323486519</v>
      </c>
    </row>
    <row r="1590" spans="1:13" x14ac:dyDescent="0.35">
      <c r="A1590" s="14" t="s">
        <v>391</v>
      </c>
      <c r="B1590" s="14" t="s">
        <v>377</v>
      </c>
      <c r="C1590" t="s">
        <v>394</v>
      </c>
      <c r="D1590" s="18">
        <v>44189</v>
      </c>
      <c r="E1590" s="34">
        <v>44187</v>
      </c>
      <c r="F1590" s="34">
        <v>44191</v>
      </c>
      <c r="H1590" s="28" t="s">
        <v>188</v>
      </c>
      <c r="M1590" s="52">
        <v>37.47148323486519</v>
      </c>
    </row>
    <row r="1591" spans="1:13" x14ac:dyDescent="0.35">
      <c r="A1591" s="14" t="s">
        <v>391</v>
      </c>
      <c r="B1591" s="14" t="s">
        <v>377</v>
      </c>
      <c r="C1591" t="s">
        <v>394</v>
      </c>
      <c r="D1591" s="18">
        <v>44189</v>
      </c>
      <c r="E1591" s="34">
        <v>44187</v>
      </c>
      <c r="F1591" s="34">
        <v>44191</v>
      </c>
      <c r="H1591" s="28" t="s">
        <v>190</v>
      </c>
      <c r="M1591" s="52">
        <v>37.47148323486519</v>
      </c>
    </row>
    <row r="1592" spans="1:13" x14ac:dyDescent="0.35">
      <c r="A1592" s="14" t="s">
        <v>391</v>
      </c>
      <c r="B1592" s="14" t="s">
        <v>377</v>
      </c>
      <c r="C1592" t="s">
        <v>394</v>
      </c>
      <c r="D1592" s="18">
        <v>44189</v>
      </c>
      <c r="E1592" s="34">
        <v>44187</v>
      </c>
      <c r="F1592" s="34">
        <v>44191</v>
      </c>
      <c r="H1592" s="28" t="s">
        <v>192</v>
      </c>
      <c r="M1592" s="52">
        <v>37.47148323486519</v>
      </c>
    </row>
    <row r="1593" spans="1:13" x14ac:dyDescent="0.35">
      <c r="A1593" s="14" t="s">
        <v>391</v>
      </c>
      <c r="B1593" s="14" t="s">
        <v>377</v>
      </c>
      <c r="C1593" t="s">
        <v>394</v>
      </c>
      <c r="D1593" s="18">
        <v>44189</v>
      </c>
      <c r="E1593" s="34">
        <v>44187</v>
      </c>
      <c r="F1593" s="34">
        <v>44191</v>
      </c>
      <c r="H1593" s="28" t="s">
        <v>198</v>
      </c>
      <c r="M1593" s="52">
        <v>37.47148323486519</v>
      </c>
    </row>
    <row r="1594" spans="1:13" x14ac:dyDescent="0.35">
      <c r="A1594" s="14" t="s">
        <v>391</v>
      </c>
      <c r="B1594" s="14" t="s">
        <v>377</v>
      </c>
      <c r="C1594" t="s">
        <v>394</v>
      </c>
      <c r="D1594" s="18">
        <v>44189</v>
      </c>
      <c r="E1594" s="34">
        <v>44187</v>
      </c>
      <c r="F1594" s="34">
        <v>44191</v>
      </c>
      <c r="H1594" s="28" t="s">
        <v>393</v>
      </c>
      <c r="M1594" s="52">
        <v>37.47148323486519</v>
      </c>
    </row>
    <row r="1595" spans="1:13" x14ac:dyDescent="0.35">
      <c r="A1595" s="14" t="s">
        <v>391</v>
      </c>
      <c r="B1595" s="14" t="s">
        <v>377</v>
      </c>
      <c r="C1595" t="s">
        <v>394</v>
      </c>
      <c r="D1595" s="18">
        <v>44189</v>
      </c>
      <c r="E1595" s="34">
        <v>44187</v>
      </c>
      <c r="F1595" s="34">
        <v>44191</v>
      </c>
      <c r="H1595" s="28" t="s">
        <v>204</v>
      </c>
      <c r="M1595" s="52">
        <v>37.47148323486519</v>
      </c>
    </row>
    <row r="1596" spans="1:13" x14ac:dyDescent="0.35">
      <c r="A1596" s="14" t="s">
        <v>391</v>
      </c>
      <c r="B1596" s="14" t="s">
        <v>377</v>
      </c>
      <c r="C1596" t="s">
        <v>394</v>
      </c>
      <c r="D1596" s="18">
        <v>44189</v>
      </c>
      <c r="E1596" s="34">
        <v>44187</v>
      </c>
      <c r="F1596" s="34">
        <v>44191</v>
      </c>
      <c r="H1596" s="28" t="s">
        <v>208</v>
      </c>
      <c r="M1596" s="52">
        <v>37.47148323486519</v>
      </c>
    </row>
    <row r="1597" spans="1:13" x14ac:dyDescent="0.35">
      <c r="A1597" s="14" t="s">
        <v>391</v>
      </c>
      <c r="B1597" s="14" t="s">
        <v>377</v>
      </c>
      <c r="C1597" t="s">
        <v>394</v>
      </c>
      <c r="D1597" s="18">
        <v>44189</v>
      </c>
      <c r="E1597" s="34">
        <v>44187</v>
      </c>
      <c r="F1597" s="34">
        <v>44191</v>
      </c>
      <c r="H1597" s="28" t="s">
        <v>210</v>
      </c>
      <c r="M1597" s="52">
        <v>37.47148323486519</v>
      </c>
    </row>
    <row r="1598" spans="1:13" x14ac:dyDescent="0.35">
      <c r="A1598" s="14" t="s">
        <v>391</v>
      </c>
      <c r="B1598" s="14" t="s">
        <v>377</v>
      </c>
      <c r="C1598" t="s">
        <v>394</v>
      </c>
      <c r="D1598" s="18">
        <v>44189</v>
      </c>
      <c r="E1598" s="34">
        <v>44187</v>
      </c>
      <c r="F1598" s="34">
        <v>44191</v>
      </c>
      <c r="H1598" s="28" t="s">
        <v>403</v>
      </c>
      <c r="M1598" s="52">
        <v>37.47148323486519</v>
      </c>
    </row>
    <row r="1599" spans="1:13" x14ac:dyDescent="0.35">
      <c r="A1599" s="14" t="s">
        <v>391</v>
      </c>
      <c r="B1599" s="14" t="s">
        <v>377</v>
      </c>
      <c r="C1599" t="s">
        <v>394</v>
      </c>
      <c r="D1599" s="18">
        <v>44189</v>
      </c>
      <c r="E1599" s="34">
        <v>44187</v>
      </c>
      <c r="F1599" s="34">
        <v>44191</v>
      </c>
      <c r="H1599" s="28" t="s">
        <v>223</v>
      </c>
      <c r="M1599" s="52">
        <v>37.47148323486519</v>
      </c>
    </row>
    <row r="1600" spans="1:13" x14ac:dyDescent="0.35">
      <c r="A1600" s="14" t="s">
        <v>391</v>
      </c>
      <c r="B1600" s="14" t="s">
        <v>377</v>
      </c>
      <c r="C1600" t="s">
        <v>394</v>
      </c>
      <c r="D1600" s="18">
        <v>44189</v>
      </c>
      <c r="E1600" s="34">
        <v>44187</v>
      </c>
      <c r="F1600" s="34">
        <v>44191</v>
      </c>
      <c r="H1600" s="28" t="s">
        <v>31</v>
      </c>
      <c r="K1600" t="s">
        <v>381</v>
      </c>
      <c r="L1600">
        <v>30</v>
      </c>
      <c r="M1600" s="52">
        <v>37.47148323486519</v>
      </c>
    </row>
    <row r="1601" spans="1:13" x14ac:dyDescent="0.35">
      <c r="A1601" s="14" t="s">
        <v>391</v>
      </c>
      <c r="B1601" s="14" t="s">
        <v>377</v>
      </c>
      <c r="C1601" t="s">
        <v>394</v>
      </c>
      <c r="D1601" s="18">
        <v>44189</v>
      </c>
      <c r="E1601" s="34">
        <v>44187</v>
      </c>
      <c r="F1601" s="34">
        <v>44191</v>
      </c>
      <c r="H1601" s="28" t="s">
        <v>56</v>
      </c>
      <c r="K1601" t="s">
        <v>381</v>
      </c>
      <c r="L1601">
        <v>50</v>
      </c>
      <c r="M1601" s="52">
        <v>37.47148323486519</v>
      </c>
    </row>
    <row r="1602" spans="1:13" x14ac:dyDescent="0.35">
      <c r="A1602" s="14" t="s">
        <v>391</v>
      </c>
      <c r="B1602" s="14" t="s">
        <v>377</v>
      </c>
      <c r="C1602" t="s">
        <v>394</v>
      </c>
      <c r="D1602" s="18">
        <v>44189</v>
      </c>
      <c r="E1602" s="34">
        <v>44187</v>
      </c>
      <c r="F1602" s="34">
        <v>44191</v>
      </c>
      <c r="H1602" s="28" t="s">
        <v>263</v>
      </c>
      <c r="M1602" s="52">
        <v>37.47148323486519</v>
      </c>
    </row>
    <row r="1603" spans="1:13" x14ac:dyDescent="0.35">
      <c r="A1603" s="14" t="s">
        <v>391</v>
      </c>
      <c r="B1603" s="14" t="s">
        <v>377</v>
      </c>
      <c r="C1603" t="s">
        <v>394</v>
      </c>
      <c r="D1603" s="18">
        <v>44189</v>
      </c>
      <c r="E1603" s="34">
        <v>44187</v>
      </c>
      <c r="F1603" s="34">
        <v>44191</v>
      </c>
      <c r="H1603" s="28" t="s">
        <v>287</v>
      </c>
      <c r="M1603" s="52">
        <v>37.47148323486519</v>
      </c>
    </row>
    <row r="1604" spans="1:13" x14ac:dyDescent="0.35">
      <c r="A1604" s="14" t="s">
        <v>391</v>
      </c>
      <c r="B1604" s="14" t="s">
        <v>377</v>
      </c>
      <c r="C1604" t="s">
        <v>394</v>
      </c>
      <c r="D1604" s="18">
        <v>44189</v>
      </c>
      <c r="E1604" s="34">
        <v>44187</v>
      </c>
      <c r="F1604" s="34">
        <v>44191</v>
      </c>
      <c r="H1604" s="28" t="s">
        <v>287</v>
      </c>
      <c r="M1604" s="52">
        <v>37.47148323486519</v>
      </c>
    </row>
    <row r="1605" spans="1:13" x14ac:dyDescent="0.35">
      <c r="A1605" s="14" t="s">
        <v>391</v>
      </c>
      <c r="B1605" s="14" t="s">
        <v>377</v>
      </c>
      <c r="C1605" t="s">
        <v>394</v>
      </c>
      <c r="D1605" s="18">
        <v>44189</v>
      </c>
      <c r="E1605" s="34">
        <v>44187</v>
      </c>
      <c r="F1605" s="34">
        <v>44191</v>
      </c>
      <c r="H1605" s="28" t="s">
        <v>307</v>
      </c>
      <c r="M1605" s="52">
        <v>37.47148323486519</v>
      </c>
    </row>
    <row r="1606" spans="1:13" x14ac:dyDescent="0.35">
      <c r="A1606" s="14" t="s">
        <v>391</v>
      </c>
      <c r="B1606" s="14" t="s">
        <v>377</v>
      </c>
      <c r="C1606" t="s">
        <v>394</v>
      </c>
      <c r="D1606" s="18">
        <v>44189</v>
      </c>
      <c r="E1606" s="34">
        <v>44187</v>
      </c>
      <c r="F1606" s="34">
        <v>44191</v>
      </c>
      <c r="H1606" s="28" t="s">
        <v>309</v>
      </c>
      <c r="M1606" s="52">
        <v>37.47148323486519</v>
      </c>
    </row>
    <row r="1607" spans="1:13" x14ac:dyDescent="0.35">
      <c r="A1607" s="14" t="s">
        <v>391</v>
      </c>
      <c r="B1607" s="14" t="s">
        <v>377</v>
      </c>
      <c r="C1607" t="s">
        <v>394</v>
      </c>
      <c r="D1607" s="18">
        <v>44189</v>
      </c>
      <c r="E1607" s="34">
        <v>44187</v>
      </c>
      <c r="F1607" s="34">
        <v>44191</v>
      </c>
      <c r="H1607" s="28" t="s">
        <v>311</v>
      </c>
      <c r="M1607" s="52">
        <v>37.47148323486519</v>
      </c>
    </row>
    <row r="1608" spans="1:13" x14ac:dyDescent="0.35">
      <c r="A1608" s="14" t="s">
        <v>391</v>
      </c>
      <c r="B1608" s="14" t="s">
        <v>377</v>
      </c>
      <c r="C1608" t="s">
        <v>394</v>
      </c>
      <c r="D1608" s="18">
        <v>44189</v>
      </c>
      <c r="E1608" s="34">
        <v>44187</v>
      </c>
      <c r="F1608" s="34">
        <v>44191</v>
      </c>
      <c r="H1608" s="28" t="s">
        <v>313</v>
      </c>
      <c r="K1608" t="s">
        <v>381</v>
      </c>
      <c r="L1608">
        <v>50</v>
      </c>
      <c r="M1608" s="52">
        <v>37.47148323486519</v>
      </c>
    </row>
    <row r="1609" spans="1:13" x14ac:dyDescent="0.35">
      <c r="A1609" s="14" t="s">
        <v>391</v>
      </c>
      <c r="B1609" s="14" t="s">
        <v>377</v>
      </c>
      <c r="C1609" t="s">
        <v>394</v>
      </c>
      <c r="D1609" s="18">
        <v>44189</v>
      </c>
      <c r="E1609" s="34">
        <v>44187</v>
      </c>
      <c r="F1609" s="34">
        <v>44191</v>
      </c>
      <c r="H1609" s="28" t="s">
        <v>315</v>
      </c>
      <c r="K1609" t="s">
        <v>381</v>
      </c>
      <c r="L1609">
        <v>30</v>
      </c>
      <c r="M1609" s="52">
        <v>37.47148323486519</v>
      </c>
    </row>
    <row r="1610" spans="1:13" x14ac:dyDescent="0.35">
      <c r="A1610" s="14" t="s">
        <v>391</v>
      </c>
      <c r="B1610" s="14" t="s">
        <v>377</v>
      </c>
      <c r="C1610" t="s">
        <v>394</v>
      </c>
      <c r="D1610" s="18">
        <v>44189</v>
      </c>
      <c r="E1610" s="34">
        <v>44187</v>
      </c>
      <c r="F1610" s="34">
        <v>44191</v>
      </c>
      <c r="H1610" s="28" t="s">
        <v>32</v>
      </c>
      <c r="K1610" t="s">
        <v>380</v>
      </c>
      <c r="L1610">
        <v>6</v>
      </c>
      <c r="M1610" s="52">
        <v>37.47148323486519</v>
      </c>
    </row>
    <row r="1611" spans="1:13" x14ac:dyDescent="0.35">
      <c r="A1611" s="14" t="s">
        <v>391</v>
      </c>
      <c r="B1611" s="14" t="s">
        <v>377</v>
      </c>
      <c r="C1611" t="s">
        <v>394</v>
      </c>
      <c r="D1611" s="18">
        <v>44189</v>
      </c>
      <c r="E1611" s="34">
        <v>44187</v>
      </c>
      <c r="F1611" s="34">
        <v>44191</v>
      </c>
      <c r="H1611" s="28" t="s">
        <v>60</v>
      </c>
      <c r="K1611" t="s">
        <v>380</v>
      </c>
      <c r="L1611">
        <v>6</v>
      </c>
      <c r="M1611" s="52">
        <v>37.47148323486519</v>
      </c>
    </row>
    <row r="1612" spans="1:13" x14ac:dyDescent="0.35">
      <c r="A1612" s="14" t="s">
        <v>391</v>
      </c>
      <c r="B1612" s="14" t="s">
        <v>377</v>
      </c>
      <c r="C1612" t="s">
        <v>394</v>
      </c>
      <c r="D1612" s="18">
        <v>44189</v>
      </c>
      <c r="E1612" s="34">
        <v>44187</v>
      </c>
      <c r="F1612" s="34">
        <v>44191</v>
      </c>
      <c r="H1612" s="28" t="s">
        <v>327</v>
      </c>
      <c r="K1612" t="s">
        <v>380</v>
      </c>
      <c r="L1612">
        <v>6</v>
      </c>
      <c r="M1612" s="52">
        <v>37.47148323486519</v>
      </c>
    </row>
    <row r="1613" spans="1:13" x14ac:dyDescent="0.35">
      <c r="A1613" s="14" t="s">
        <v>391</v>
      </c>
      <c r="B1613" s="14" t="s">
        <v>377</v>
      </c>
      <c r="C1613" t="s">
        <v>394</v>
      </c>
      <c r="D1613" s="18">
        <v>44189</v>
      </c>
      <c r="E1613" s="34">
        <v>44187</v>
      </c>
      <c r="F1613" s="34">
        <v>44191</v>
      </c>
      <c r="H1613" s="28" t="s">
        <v>335</v>
      </c>
      <c r="M1613" s="52">
        <v>37.47148323486519</v>
      </c>
    </row>
    <row r="1614" spans="1:13" x14ac:dyDescent="0.35">
      <c r="A1614" s="14" t="s">
        <v>391</v>
      </c>
      <c r="B1614" s="14" t="s">
        <v>377</v>
      </c>
      <c r="C1614" t="s">
        <v>394</v>
      </c>
      <c r="D1614" s="18">
        <v>44189</v>
      </c>
      <c r="E1614" s="34">
        <v>44187</v>
      </c>
      <c r="F1614" s="34">
        <v>44191</v>
      </c>
      <c r="H1614" s="28" t="s">
        <v>339</v>
      </c>
      <c r="M1614" s="52">
        <v>37.47148323486519</v>
      </c>
    </row>
    <row r="1615" spans="1:13" x14ac:dyDescent="0.35">
      <c r="A1615" s="14" t="s">
        <v>391</v>
      </c>
      <c r="B1615" s="14" t="s">
        <v>377</v>
      </c>
      <c r="C1615" t="s">
        <v>394</v>
      </c>
      <c r="D1615" s="18">
        <v>44189</v>
      </c>
      <c r="E1615" s="34">
        <v>44187</v>
      </c>
      <c r="F1615" s="34">
        <v>44191</v>
      </c>
      <c r="H1615" s="28" t="s">
        <v>341</v>
      </c>
      <c r="M1615" s="52">
        <v>37.47148323486519</v>
      </c>
    </row>
    <row r="1616" spans="1:13" x14ac:dyDescent="0.35">
      <c r="A1616" s="14" t="s">
        <v>391</v>
      </c>
      <c r="B1616" s="14" t="s">
        <v>377</v>
      </c>
      <c r="C1616" t="s">
        <v>394</v>
      </c>
      <c r="D1616" s="18">
        <v>44189</v>
      </c>
      <c r="E1616" s="34">
        <v>44187</v>
      </c>
      <c r="F1616" s="34">
        <v>44191</v>
      </c>
      <c r="H1616" s="28" t="s">
        <v>345</v>
      </c>
      <c r="K1616" t="s">
        <v>381</v>
      </c>
      <c r="L1616">
        <v>50</v>
      </c>
      <c r="M1616" s="52">
        <v>37.47148323486519</v>
      </c>
    </row>
    <row r="1617" spans="1:13" x14ac:dyDescent="0.35">
      <c r="A1617" s="14" t="s">
        <v>391</v>
      </c>
      <c r="B1617" s="14" t="s">
        <v>377</v>
      </c>
      <c r="C1617" t="s">
        <v>394</v>
      </c>
      <c r="D1617" s="18">
        <v>44189</v>
      </c>
      <c r="E1617" s="34">
        <v>44187</v>
      </c>
      <c r="F1617" s="34">
        <v>44191</v>
      </c>
      <c r="H1617" s="28" t="s">
        <v>59</v>
      </c>
      <c r="M1617" s="52">
        <v>37.47148323486519</v>
      </c>
    </row>
    <row r="1618" spans="1:13" x14ac:dyDescent="0.35">
      <c r="A1618" s="14" t="s">
        <v>391</v>
      </c>
      <c r="B1618" s="14" t="s">
        <v>377</v>
      </c>
      <c r="C1618" t="s">
        <v>394</v>
      </c>
      <c r="D1618" s="18">
        <v>44189</v>
      </c>
      <c r="E1618" s="34">
        <v>44187</v>
      </c>
      <c r="F1618" s="34">
        <v>44191</v>
      </c>
      <c r="H1618" s="28" t="s">
        <v>360</v>
      </c>
      <c r="M1618" s="52">
        <v>37.47148323486519</v>
      </c>
    </row>
    <row r="1619" spans="1:13" x14ac:dyDescent="0.35">
      <c r="A1619" s="14" t="s">
        <v>391</v>
      </c>
      <c r="B1619" s="14" t="s">
        <v>377</v>
      </c>
      <c r="C1619" t="s">
        <v>392</v>
      </c>
      <c r="D1619" s="18">
        <v>44196</v>
      </c>
      <c r="E1619" s="18">
        <v>44187</v>
      </c>
      <c r="F1619" s="34">
        <v>44195</v>
      </c>
      <c r="H1619" s="28" t="s">
        <v>96</v>
      </c>
      <c r="M1619" s="52">
        <v>5.1152488903984201</v>
      </c>
    </row>
    <row r="1620" spans="1:13" x14ac:dyDescent="0.35">
      <c r="A1620" s="14" t="s">
        <v>391</v>
      </c>
      <c r="B1620" s="14" t="s">
        <v>377</v>
      </c>
      <c r="C1620" t="s">
        <v>392</v>
      </c>
      <c r="D1620" s="18">
        <v>44196</v>
      </c>
      <c r="E1620" s="18">
        <v>44187</v>
      </c>
      <c r="F1620" s="34">
        <v>44195</v>
      </c>
      <c r="H1620" s="28" t="s">
        <v>72</v>
      </c>
      <c r="M1620" s="52">
        <v>5.1152488903984201</v>
      </c>
    </row>
    <row r="1621" spans="1:13" x14ac:dyDescent="0.35">
      <c r="A1621" s="14" t="s">
        <v>391</v>
      </c>
      <c r="B1621" s="14" t="s">
        <v>377</v>
      </c>
      <c r="C1621" t="s">
        <v>392</v>
      </c>
      <c r="D1621" s="18">
        <v>44196</v>
      </c>
      <c r="E1621" s="18">
        <v>44187</v>
      </c>
      <c r="F1621" s="34">
        <v>44195</v>
      </c>
      <c r="H1621" s="28" t="s">
        <v>47</v>
      </c>
      <c r="K1621" t="s">
        <v>381</v>
      </c>
      <c r="L1621">
        <v>20</v>
      </c>
      <c r="M1621" s="52">
        <v>5.1152488903984201</v>
      </c>
    </row>
    <row r="1622" spans="1:13" x14ac:dyDescent="0.35">
      <c r="A1622" s="14" t="s">
        <v>391</v>
      </c>
      <c r="B1622" s="14" t="s">
        <v>377</v>
      </c>
      <c r="C1622" t="s">
        <v>392</v>
      </c>
      <c r="D1622" s="18">
        <v>44196</v>
      </c>
      <c r="E1622" s="18">
        <v>44187</v>
      </c>
      <c r="F1622" s="34">
        <v>44195</v>
      </c>
      <c r="H1622" s="28" t="s">
        <v>50</v>
      </c>
      <c r="K1622" t="s">
        <v>381</v>
      </c>
      <c r="L1622">
        <v>50</v>
      </c>
      <c r="M1622" s="52">
        <v>5.1152488903984201</v>
      </c>
    </row>
    <row r="1623" spans="1:13" x14ac:dyDescent="0.35">
      <c r="A1623" s="14" t="s">
        <v>391</v>
      </c>
      <c r="B1623" s="14" t="s">
        <v>377</v>
      </c>
      <c r="C1623" t="s">
        <v>392</v>
      </c>
      <c r="D1623" s="18">
        <v>44196</v>
      </c>
      <c r="E1623" s="18">
        <v>44187</v>
      </c>
      <c r="F1623" s="34">
        <v>44195</v>
      </c>
      <c r="H1623" s="28" t="s">
        <v>41</v>
      </c>
      <c r="K1623" t="s">
        <v>381</v>
      </c>
      <c r="L1623">
        <v>50</v>
      </c>
      <c r="M1623" s="52">
        <v>5.1152488903984201</v>
      </c>
    </row>
    <row r="1624" spans="1:13" x14ac:dyDescent="0.35">
      <c r="A1624" s="14" t="s">
        <v>391</v>
      </c>
      <c r="B1624" s="14" t="s">
        <v>377</v>
      </c>
      <c r="C1624" t="s">
        <v>392</v>
      </c>
      <c r="D1624" s="18">
        <v>44196</v>
      </c>
      <c r="E1624" s="18">
        <v>44187</v>
      </c>
      <c r="F1624" s="34">
        <v>44195</v>
      </c>
      <c r="H1624" s="28" t="s">
        <v>116</v>
      </c>
      <c r="K1624" t="s">
        <v>381</v>
      </c>
      <c r="L1624">
        <v>25</v>
      </c>
      <c r="M1624" s="52">
        <v>5.1152488903984201</v>
      </c>
    </row>
    <row r="1625" spans="1:13" x14ac:dyDescent="0.35">
      <c r="A1625" s="14" t="s">
        <v>391</v>
      </c>
      <c r="B1625" s="14" t="s">
        <v>377</v>
      </c>
      <c r="C1625" t="s">
        <v>392</v>
      </c>
      <c r="D1625" s="18">
        <v>44196</v>
      </c>
      <c r="E1625" s="18">
        <v>44187</v>
      </c>
      <c r="F1625" s="34">
        <v>44195</v>
      </c>
      <c r="H1625" s="28" t="s">
        <v>42</v>
      </c>
      <c r="K1625" t="s">
        <v>380</v>
      </c>
      <c r="L1625">
        <v>6</v>
      </c>
      <c r="M1625" s="52">
        <v>5.1152488903984201</v>
      </c>
    </row>
    <row r="1626" spans="1:13" x14ac:dyDescent="0.35">
      <c r="A1626" s="14" t="s">
        <v>391</v>
      </c>
      <c r="B1626" s="14" t="s">
        <v>377</v>
      </c>
      <c r="C1626" t="s">
        <v>392</v>
      </c>
      <c r="D1626" s="18">
        <v>44196</v>
      </c>
      <c r="E1626" s="18">
        <v>44187</v>
      </c>
      <c r="F1626" s="34">
        <v>44195</v>
      </c>
      <c r="H1626" s="28" t="s">
        <v>25</v>
      </c>
      <c r="K1626" t="s">
        <v>381</v>
      </c>
      <c r="L1626">
        <v>40</v>
      </c>
      <c r="M1626" s="52">
        <v>5.1152488903984201</v>
      </c>
    </row>
    <row r="1627" spans="1:13" x14ac:dyDescent="0.35">
      <c r="A1627" s="14" t="s">
        <v>391</v>
      </c>
      <c r="B1627" s="14" t="s">
        <v>377</v>
      </c>
      <c r="C1627" t="s">
        <v>392</v>
      </c>
      <c r="D1627" s="18">
        <v>44196</v>
      </c>
      <c r="E1627" s="18">
        <v>44187</v>
      </c>
      <c r="F1627" s="34">
        <v>44195</v>
      </c>
      <c r="H1627" s="28" t="s">
        <v>23</v>
      </c>
      <c r="K1627" t="s">
        <v>380</v>
      </c>
      <c r="L1627">
        <v>6</v>
      </c>
      <c r="M1627" s="52">
        <v>5.1152488903984201</v>
      </c>
    </row>
    <row r="1628" spans="1:13" x14ac:dyDescent="0.35">
      <c r="A1628" s="14" t="s">
        <v>391</v>
      </c>
      <c r="B1628" s="14" t="s">
        <v>377</v>
      </c>
      <c r="C1628" t="s">
        <v>392</v>
      </c>
      <c r="D1628" s="18">
        <v>44196</v>
      </c>
      <c r="E1628" s="18">
        <v>44187</v>
      </c>
      <c r="F1628" s="34">
        <v>44195</v>
      </c>
      <c r="H1628" s="28" t="s">
        <v>24</v>
      </c>
      <c r="K1628" t="s">
        <v>380</v>
      </c>
      <c r="L1628">
        <v>6</v>
      </c>
      <c r="M1628" s="52">
        <v>5.1152488903984201</v>
      </c>
    </row>
    <row r="1629" spans="1:13" x14ac:dyDescent="0.35">
      <c r="A1629" s="14" t="s">
        <v>391</v>
      </c>
      <c r="B1629" s="14" t="s">
        <v>377</v>
      </c>
      <c r="C1629" t="s">
        <v>392</v>
      </c>
      <c r="D1629" s="18">
        <v>44196</v>
      </c>
      <c r="E1629" s="18">
        <v>44187</v>
      </c>
      <c r="F1629" s="34">
        <v>44195</v>
      </c>
      <c r="H1629" s="28" t="s">
        <v>30</v>
      </c>
      <c r="K1629" t="s">
        <v>381</v>
      </c>
      <c r="L1629">
        <v>33</v>
      </c>
      <c r="M1629" s="52">
        <v>5.1152488903984201</v>
      </c>
    </row>
    <row r="1630" spans="1:13" x14ac:dyDescent="0.35">
      <c r="A1630" s="14" t="s">
        <v>391</v>
      </c>
      <c r="B1630" s="14" t="s">
        <v>377</v>
      </c>
      <c r="C1630" t="s">
        <v>392</v>
      </c>
      <c r="D1630" s="18">
        <v>44196</v>
      </c>
      <c r="E1630" s="18">
        <v>44187</v>
      </c>
      <c r="F1630" s="34">
        <v>44195</v>
      </c>
      <c r="H1630" s="28" t="s">
        <v>29</v>
      </c>
      <c r="K1630" t="s">
        <v>381</v>
      </c>
      <c r="L1630">
        <v>33</v>
      </c>
      <c r="M1630" s="52">
        <v>5.1152488903984201</v>
      </c>
    </row>
    <row r="1631" spans="1:13" x14ac:dyDescent="0.35">
      <c r="A1631" s="14" t="s">
        <v>391</v>
      </c>
      <c r="B1631" s="14" t="s">
        <v>377</v>
      </c>
      <c r="C1631" t="s">
        <v>392</v>
      </c>
      <c r="D1631" s="18">
        <v>44196</v>
      </c>
      <c r="E1631" s="18">
        <v>44187</v>
      </c>
      <c r="F1631" s="34">
        <v>44195</v>
      </c>
      <c r="H1631" s="28" t="s">
        <v>188</v>
      </c>
      <c r="M1631" s="52">
        <v>5.1152488903984201</v>
      </c>
    </row>
    <row r="1632" spans="1:13" x14ac:dyDescent="0.35">
      <c r="A1632" s="14" t="s">
        <v>391</v>
      </c>
      <c r="B1632" s="14" t="s">
        <v>377</v>
      </c>
      <c r="C1632" t="s">
        <v>392</v>
      </c>
      <c r="D1632" s="18">
        <v>44196</v>
      </c>
      <c r="E1632" s="18">
        <v>44187</v>
      </c>
      <c r="F1632" s="34">
        <v>44195</v>
      </c>
      <c r="H1632" s="28" t="s">
        <v>192</v>
      </c>
      <c r="M1632" s="52">
        <v>5.1152488903984201</v>
      </c>
    </row>
    <row r="1633" spans="1:13" x14ac:dyDescent="0.35">
      <c r="A1633" s="14" t="s">
        <v>391</v>
      </c>
      <c r="B1633" s="14" t="s">
        <v>377</v>
      </c>
      <c r="C1633" t="s">
        <v>392</v>
      </c>
      <c r="D1633" s="18">
        <v>44196</v>
      </c>
      <c r="E1633" s="18">
        <v>44187</v>
      </c>
      <c r="F1633" s="34">
        <v>44195</v>
      </c>
      <c r="H1633" s="28" t="s">
        <v>198</v>
      </c>
      <c r="M1633" s="52">
        <v>5.1152488903984201</v>
      </c>
    </row>
    <row r="1634" spans="1:13" x14ac:dyDescent="0.35">
      <c r="A1634" s="14" t="s">
        <v>391</v>
      </c>
      <c r="B1634" s="14" t="s">
        <v>377</v>
      </c>
      <c r="C1634" t="s">
        <v>392</v>
      </c>
      <c r="D1634" s="18">
        <v>44196</v>
      </c>
      <c r="E1634" s="18">
        <v>44187</v>
      </c>
      <c r="F1634" s="34">
        <v>44195</v>
      </c>
      <c r="H1634" s="28" t="s">
        <v>393</v>
      </c>
      <c r="M1634" s="52">
        <v>5.1152488903984201</v>
      </c>
    </row>
    <row r="1635" spans="1:13" x14ac:dyDescent="0.35">
      <c r="A1635" s="14" t="s">
        <v>391</v>
      </c>
      <c r="B1635" s="14" t="s">
        <v>377</v>
      </c>
      <c r="C1635" t="s">
        <v>392</v>
      </c>
      <c r="D1635" s="18">
        <v>44196</v>
      </c>
      <c r="E1635" s="18">
        <v>44187</v>
      </c>
      <c r="F1635" s="34">
        <v>44195</v>
      </c>
      <c r="H1635" s="28" t="s">
        <v>204</v>
      </c>
      <c r="M1635" s="52">
        <v>5.1152488903984201</v>
      </c>
    </row>
    <row r="1636" spans="1:13" x14ac:dyDescent="0.35">
      <c r="A1636" s="14" t="s">
        <v>391</v>
      </c>
      <c r="B1636" s="14" t="s">
        <v>377</v>
      </c>
      <c r="C1636" t="s">
        <v>392</v>
      </c>
      <c r="D1636" s="18">
        <v>44196</v>
      </c>
      <c r="E1636" s="18">
        <v>44187</v>
      </c>
      <c r="F1636" s="34">
        <v>44195</v>
      </c>
      <c r="H1636" s="28" t="s">
        <v>208</v>
      </c>
      <c r="M1636" s="52">
        <v>5.1152488903984201</v>
      </c>
    </row>
    <row r="1637" spans="1:13" x14ac:dyDescent="0.35">
      <c r="A1637" s="14" t="s">
        <v>391</v>
      </c>
      <c r="B1637" s="14" t="s">
        <v>377</v>
      </c>
      <c r="C1637" t="s">
        <v>392</v>
      </c>
      <c r="D1637" s="18">
        <v>44196</v>
      </c>
      <c r="E1637" s="18">
        <v>44187</v>
      </c>
      <c r="F1637" s="34">
        <v>44195</v>
      </c>
      <c r="H1637" s="28" t="s">
        <v>210</v>
      </c>
      <c r="M1637" s="52">
        <v>5.1152488903984201</v>
      </c>
    </row>
    <row r="1638" spans="1:13" x14ac:dyDescent="0.35">
      <c r="A1638" s="14" t="s">
        <v>391</v>
      </c>
      <c r="B1638" s="14" t="s">
        <v>377</v>
      </c>
      <c r="C1638" t="s">
        <v>392</v>
      </c>
      <c r="D1638" s="18">
        <v>44196</v>
      </c>
      <c r="E1638" s="18">
        <v>44187</v>
      </c>
      <c r="F1638" s="34">
        <v>44195</v>
      </c>
      <c r="H1638" s="28" t="s">
        <v>31</v>
      </c>
      <c r="K1638" t="s">
        <v>381</v>
      </c>
      <c r="L1638">
        <v>30</v>
      </c>
      <c r="M1638" s="52">
        <v>5.1152488903984201</v>
      </c>
    </row>
    <row r="1639" spans="1:13" x14ac:dyDescent="0.35">
      <c r="A1639" s="14" t="s">
        <v>391</v>
      </c>
      <c r="B1639" s="14" t="s">
        <v>377</v>
      </c>
      <c r="C1639" t="s">
        <v>392</v>
      </c>
      <c r="D1639" s="18">
        <v>44196</v>
      </c>
      <c r="E1639" s="18">
        <v>44187</v>
      </c>
      <c r="F1639" s="34">
        <v>44195</v>
      </c>
      <c r="H1639" s="28" t="s">
        <v>56</v>
      </c>
      <c r="K1639" t="s">
        <v>381</v>
      </c>
      <c r="L1639">
        <v>50</v>
      </c>
      <c r="M1639" s="52">
        <v>5.1152488903984201</v>
      </c>
    </row>
    <row r="1640" spans="1:13" x14ac:dyDescent="0.35">
      <c r="A1640" s="14" t="s">
        <v>391</v>
      </c>
      <c r="B1640" s="14" t="s">
        <v>377</v>
      </c>
      <c r="C1640" t="s">
        <v>392</v>
      </c>
      <c r="D1640" s="18">
        <v>44196</v>
      </c>
      <c r="E1640" s="18">
        <v>44187</v>
      </c>
      <c r="F1640" s="34">
        <v>44195</v>
      </c>
      <c r="H1640" s="28" t="s">
        <v>263</v>
      </c>
      <c r="M1640" s="52">
        <v>5.1152488903984201</v>
      </c>
    </row>
    <row r="1641" spans="1:13" x14ac:dyDescent="0.35">
      <c r="A1641" s="14" t="s">
        <v>391</v>
      </c>
      <c r="B1641" s="14" t="s">
        <v>377</v>
      </c>
      <c r="C1641" t="s">
        <v>392</v>
      </c>
      <c r="D1641" s="18">
        <v>44196</v>
      </c>
      <c r="E1641" s="18">
        <v>44187</v>
      </c>
      <c r="F1641" s="34">
        <v>44195</v>
      </c>
      <c r="H1641" s="28" t="s">
        <v>287</v>
      </c>
      <c r="M1641" s="52">
        <v>5.1152488903984201</v>
      </c>
    </row>
    <row r="1642" spans="1:13" x14ac:dyDescent="0.35">
      <c r="A1642" s="14" t="s">
        <v>391</v>
      </c>
      <c r="B1642" s="14" t="s">
        <v>377</v>
      </c>
      <c r="C1642" t="s">
        <v>392</v>
      </c>
      <c r="D1642" s="18">
        <v>44196</v>
      </c>
      <c r="E1642" s="18">
        <v>44187</v>
      </c>
      <c r="F1642" s="34">
        <v>44195</v>
      </c>
      <c r="H1642" s="28" t="s">
        <v>307</v>
      </c>
      <c r="M1642" s="52">
        <v>5.1152488903984201</v>
      </c>
    </row>
    <row r="1643" spans="1:13" x14ac:dyDescent="0.35">
      <c r="A1643" s="14" t="s">
        <v>391</v>
      </c>
      <c r="B1643" s="14" t="s">
        <v>377</v>
      </c>
      <c r="C1643" t="s">
        <v>392</v>
      </c>
      <c r="D1643" s="18">
        <v>44196</v>
      </c>
      <c r="E1643" s="18">
        <v>44187</v>
      </c>
      <c r="F1643" s="34">
        <v>44195</v>
      </c>
      <c r="H1643" s="28" t="s">
        <v>311</v>
      </c>
      <c r="M1643" s="52">
        <v>5.1152488903984201</v>
      </c>
    </row>
    <row r="1644" spans="1:13" x14ac:dyDescent="0.35">
      <c r="A1644" s="14" t="s">
        <v>391</v>
      </c>
      <c r="B1644" s="14" t="s">
        <v>377</v>
      </c>
      <c r="C1644" t="s">
        <v>392</v>
      </c>
      <c r="D1644" s="18">
        <v>44196</v>
      </c>
      <c r="E1644" s="18">
        <v>44187</v>
      </c>
      <c r="F1644" s="34">
        <v>44195</v>
      </c>
      <c r="H1644" s="28" t="s">
        <v>313</v>
      </c>
      <c r="K1644" t="s">
        <v>381</v>
      </c>
      <c r="L1644">
        <v>50</v>
      </c>
      <c r="M1644" s="52">
        <v>5.1152488903984201</v>
      </c>
    </row>
    <row r="1645" spans="1:13" x14ac:dyDescent="0.35">
      <c r="A1645" s="14" t="s">
        <v>391</v>
      </c>
      <c r="B1645" s="14" t="s">
        <v>377</v>
      </c>
      <c r="C1645" t="s">
        <v>392</v>
      </c>
      <c r="D1645" s="18">
        <v>44196</v>
      </c>
      <c r="E1645" s="18">
        <v>44187</v>
      </c>
      <c r="F1645" s="34">
        <v>44195</v>
      </c>
      <c r="H1645" s="28" t="s">
        <v>327</v>
      </c>
      <c r="K1645" t="s">
        <v>380</v>
      </c>
      <c r="L1645">
        <v>6</v>
      </c>
      <c r="M1645" s="52">
        <v>5.1152488903984201</v>
      </c>
    </row>
    <row r="1646" spans="1:13" x14ac:dyDescent="0.35">
      <c r="A1646" s="14" t="s">
        <v>391</v>
      </c>
      <c r="B1646" s="14" t="s">
        <v>377</v>
      </c>
      <c r="C1646" t="s">
        <v>392</v>
      </c>
      <c r="D1646" s="18">
        <v>44196</v>
      </c>
      <c r="E1646" s="18">
        <v>44187</v>
      </c>
      <c r="F1646" s="34">
        <v>44195</v>
      </c>
      <c r="H1646" s="28" t="s">
        <v>335</v>
      </c>
      <c r="M1646" s="52">
        <v>5.1152488903984201</v>
      </c>
    </row>
    <row r="1647" spans="1:13" x14ac:dyDescent="0.35">
      <c r="A1647" s="14" t="s">
        <v>391</v>
      </c>
      <c r="B1647" s="14" t="s">
        <v>377</v>
      </c>
      <c r="C1647" t="s">
        <v>392</v>
      </c>
      <c r="D1647" s="18">
        <v>44196</v>
      </c>
      <c r="E1647" s="18">
        <v>44187</v>
      </c>
      <c r="F1647" s="34">
        <v>44195</v>
      </c>
      <c r="H1647" s="28" t="s">
        <v>339</v>
      </c>
      <c r="M1647" s="52">
        <v>5.1152488903984201</v>
      </c>
    </row>
    <row r="1648" spans="1:13" x14ac:dyDescent="0.35">
      <c r="A1648" s="14" t="s">
        <v>391</v>
      </c>
      <c r="B1648" s="14" t="s">
        <v>377</v>
      </c>
      <c r="C1648" t="s">
        <v>392</v>
      </c>
      <c r="D1648" s="18">
        <v>44196</v>
      </c>
      <c r="E1648" s="18">
        <v>44187</v>
      </c>
      <c r="F1648" s="34">
        <v>44195</v>
      </c>
      <c r="H1648" s="28" t="s">
        <v>345</v>
      </c>
      <c r="K1648" t="s">
        <v>381</v>
      </c>
      <c r="L1648">
        <v>50</v>
      </c>
      <c r="M1648" s="52">
        <v>5.1152488903984201</v>
      </c>
    </row>
    <row r="1649" spans="1:13" x14ac:dyDescent="0.35">
      <c r="A1649" s="14" t="s">
        <v>391</v>
      </c>
      <c r="B1649" s="14" t="s">
        <v>377</v>
      </c>
      <c r="C1649" t="s">
        <v>392</v>
      </c>
      <c r="D1649" s="18">
        <v>44196</v>
      </c>
      <c r="E1649" s="18">
        <v>44187</v>
      </c>
      <c r="F1649" s="34">
        <v>44195</v>
      </c>
      <c r="H1649" s="28" t="s">
        <v>59</v>
      </c>
      <c r="M1649" s="52">
        <v>5.1152488903984201</v>
      </c>
    </row>
    <row r="1650" spans="1:13" x14ac:dyDescent="0.35">
      <c r="A1650" s="14" t="s">
        <v>391</v>
      </c>
      <c r="B1650" s="14" t="s">
        <v>377</v>
      </c>
      <c r="C1650" t="s">
        <v>394</v>
      </c>
      <c r="D1650" s="18">
        <v>44194</v>
      </c>
      <c r="E1650" s="34">
        <v>44191</v>
      </c>
      <c r="F1650" s="34">
        <v>44196</v>
      </c>
      <c r="H1650" s="28" t="s">
        <v>68</v>
      </c>
      <c r="M1650" s="52">
        <v>52.462981154225517</v>
      </c>
    </row>
    <row r="1651" spans="1:13" x14ac:dyDescent="0.35">
      <c r="A1651" s="14" t="s">
        <v>391</v>
      </c>
      <c r="B1651" s="14" t="s">
        <v>377</v>
      </c>
      <c r="C1651" t="s">
        <v>394</v>
      </c>
      <c r="D1651" s="18">
        <v>44194</v>
      </c>
      <c r="E1651" s="34">
        <v>44191</v>
      </c>
      <c r="F1651" s="34">
        <v>44196</v>
      </c>
      <c r="H1651" s="28" t="s">
        <v>96</v>
      </c>
      <c r="M1651" s="52">
        <v>52.462981154225517</v>
      </c>
    </row>
    <row r="1652" spans="1:13" x14ac:dyDescent="0.35">
      <c r="A1652" s="14" t="s">
        <v>391</v>
      </c>
      <c r="B1652" s="14" t="s">
        <v>377</v>
      </c>
      <c r="C1652" t="s">
        <v>394</v>
      </c>
      <c r="D1652" s="18">
        <v>44194</v>
      </c>
      <c r="E1652" s="34">
        <v>44191</v>
      </c>
      <c r="F1652" s="34">
        <v>44196</v>
      </c>
      <c r="H1652" s="28" t="s">
        <v>72</v>
      </c>
      <c r="M1652" s="52">
        <v>52.462981154225517</v>
      </c>
    </row>
    <row r="1653" spans="1:13" x14ac:dyDescent="0.35">
      <c r="A1653" s="14" t="s">
        <v>391</v>
      </c>
      <c r="B1653" s="14" t="s">
        <v>377</v>
      </c>
      <c r="C1653" t="s">
        <v>394</v>
      </c>
      <c r="D1653" s="18">
        <v>44194</v>
      </c>
      <c r="E1653" s="34">
        <v>44191</v>
      </c>
      <c r="F1653" s="34">
        <v>44196</v>
      </c>
      <c r="H1653" s="28" t="s">
        <v>47</v>
      </c>
      <c r="K1653" t="s">
        <v>381</v>
      </c>
      <c r="L1653">
        <v>20</v>
      </c>
      <c r="M1653" s="52">
        <v>52.462981154225517</v>
      </c>
    </row>
    <row r="1654" spans="1:13" x14ac:dyDescent="0.35">
      <c r="A1654" s="14" t="s">
        <v>391</v>
      </c>
      <c r="B1654" s="14" t="s">
        <v>377</v>
      </c>
      <c r="C1654" t="s">
        <v>394</v>
      </c>
      <c r="D1654" s="18">
        <v>44194</v>
      </c>
      <c r="E1654" s="34">
        <v>44191</v>
      </c>
      <c r="F1654" s="34">
        <v>44196</v>
      </c>
      <c r="H1654" s="28" t="s">
        <v>50</v>
      </c>
      <c r="K1654" t="s">
        <v>381</v>
      </c>
      <c r="L1654">
        <v>50</v>
      </c>
      <c r="M1654" s="52">
        <v>52.462981154225517</v>
      </c>
    </row>
    <row r="1655" spans="1:13" x14ac:dyDescent="0.35">
      <c r="A1655" s="14" t="s">
        <v>391</v>
      </c>
      <c r="B1655" s="14" t="s">
        <v>377</v>
      </c>
      <c r="C1655" t="s">
        <v>394</v>
      </c>
      <c r="D1655" s="18">
        <v>44194</v>
      </c>
      <c r="E1655" s="34">
        <v>44191</v>
      </c>
      <c r="F1655" s="34">
        <v>44196</v>
      </c>
      <c r="H1655" s="28" t="s">
        <v>41</v>
      </c>
      <c r="K1655" t="s">
        <v>381</v>
      </c>
      <c r="L1655">
        <v>50</v>
      </c>
      <c r="M1655" s="52">
        <v>52.462981154225517</v>
      </c>
    </row>
    <row r="1656" spans="1:13" x14ac:dyDescent="0.35">
      <c r="A1656" s="14" t="s">
        <v>391</v>
      </c>
      <c r="B1656" s="14" t="s">
        <v>377</v>
      </c>
      <c r="C1656" t="s">
        <v>394</v>
      </c>
      <c r="D1656" s="18">
        <v>44194</v>
      </c>
      <c r="E1656" s="34">
        <v>44191</v>
      </c>
      <c r="F1656" s="34">
        <v>44196</v>
      </c>
      <c r="H1656" s="28" t="s">
        <v>39</v>
      </c>
      <c r="K1656" t="s">
        <v>381</v>
      </c>
      <c r="L1656">
        <v>25</v>
      </c>
      <c r="M1656" s="52">
        <v>52.462981154225517</v>
      </c>
    </row>
    <row r="1657" spans="1:13" x14ac:dyDescent="0.35">
      <c r="A1657" s="14" t="s">
        <v>391</v>
      </c>
      <c r="B1657" s="14" t="s">
        <v>377</v>
      </c>
      <c r="C1657" t="s">
        <v>394</v>
      </c>
      <c r="D1657" s="18">
        <v>44194</v>
      </c>
      <c r="E1657" s="34">
        <v>44191</v>
      </c>
      <c r="F1657" s="34">
        <v>44196</v>
      </c>
      <c r="H1657" s="28" t="s">
        <v>116</v>
      </c>
      <c r="K1657" t="s">
        <v>381</v>
      </c>
      <c r="L1657">
        <v>25</v>
      </c>
      <c r="M1657" s="52">
        <v>52.462981154225517</v>
      </c>
    </row>
    <row r="1658" spans="1:13" x14ac:dyDescent="0.35">
      <c r="A1658" s="14" t="s">
        <v>391</v>
      </c>
      <c r="B1658" s="14" t="s">
        <v>377</v>
      </c>
      <c r="C1658" t="s">
        <v>394</v>
      </c>
      <c r="D1658" s="18">
        <v>44194</v>
      </c>
      <c r="E1658" s="34">
        <v>44191</v>
      </c>
      <c r="F1658" s="34">
        <v>44196</v>
      </c>
      <c r="H1658" s="28" t="s">
        <v>123</v>
      </c>
      <c r="M1658" s="52">
        <v>52.462981154225517</v>
      </c>
    </row>
    <row r="1659" spans="1:13" x14ac:dyDescent="0.35">
      <c r="A1659" s="14" t="s">
        <v>391</v>
      </c>
      <c r="B1659" s="14" t="s">
        <v>377</v>
      </c>
      <c r="C1659" t="s">
        <v>394</v>
      </c>
      <c r="D1659" s="18">
        <v>44194</v>
      </c>
      <c r="E1659" s="34">
        <v>44191</v>
      </c>
      <c r="F1659" s="34">
        <v>44196</v>
      </c>
      <c r="H1659" s="28" t="s">
        <v>150</v>
      </c>
      <c r="M1659" s="52">
        <v>52.462981154225517</v>
      </c>
    </row>
    <row r="1660" spans="1:13" x14ac:dyDescent="0.35">
      <c r="A1660" s="14" t="s">
        <v>391</v>
      </c>
      <c r="B1660" s="14" t="s">
        <v>377</v>
      </c>
      <c r="C1660" t="s">
        <v>394</v>
      </c>
      <c r="D1660" s="18">
        <v>44194</v>
      </c>
      <c r="E1660" s="34">
        <v>44191</v>
      </c>
      <c r="F1660" s="34">
        <v>44196</v>
      </c>
      <c r="H1660" s="28" t="s">
        <v>125</v>
      </c>
      <c r="M1660" s="52">
        <v>52.462981154225517</v>
      </c>
    </row>
    <row r="1661" spans="1:13" x14ac:dyDescent="0.35">
      <c r="A1661" s="14" t="s">
        <v>391</v>
      </c>
      <c r="B1661" s="14" t="s">
        <v>377</v>
      </c>
      <c r="C1661" t="s">
        <v>394</v>
      </c>
      <c r="D1661" s="18">
        <v>44194</v>
      </c>
      <c r="E1661" s="34">
        <v>44191</v>
      </c>
      <c r="F1661" s="34">
        <v>44196</v>
      </c>
      <c r="H1661" s="28" t="s">
        <v>127</v>
      </c>
      <c r="M1661" s="52">
        <v>52.462981154225517</v>
      </c>
    </row>
    <row r="1662" spans="1:13" x14ac:dyDescent="0.35">
      <c r="A1662" s="14" t="s">
        <v>391</v>
      </c>
      <c r="B1662" s="14" t="s">
        <v>377</v>
      </c>
      <c r="C1662" t="s">
        <v>394</v>
      </c>
      <c r="D1662" s="18">
        <v>44194</v>
      </c>
      <c r="E1662" s="34">
        <v>44191</v>
      </c>
      <c r="F1662" s="34">
        <v>44196</v>
      </c>
      <c r="H1662" s="28" t="s">
        <v>42</v>
      </c>
      <c r="K1662" t="s">
        <v>380</v>
      </c>
      <c r="L1662">
        <v>6</v>
      </c>
      <c r="M1662" s="52">
        <v>52.462981154225517</v>
      </c>
    </row>
    <row r="1663" spans="1:13" x14ac:dyDescent="0.35">
      <c r="A1663" s="14" t="s">
        <v>391</v>
      </c>
      <c r="B1663" s="14" t="s">
        <v>377</v>
      </c>
      <c r="C1663" t="s">
        <v>394</v>
      </c>
      <c r="D1663" s="18">
        <v>44194</v>
      </c>
      <c r="E1663" s="34">
        <v>44191</v>
      </c>
      <c r="F1663" s="34">
        <v>44196</v>
      </c>
      <c r="H1663" s="28" t="s">
        <v>25</v>
      </c>
      <c r="K1663" t="s">
        <v>381</v>
      </c>
      <c r="L1663">
        <v>20</v>
      </c>
      <c r="M1663" s="52">
        <v>52.462981154225517</v>
      </c>
    </row>
    <row r="1664" spans="1:13" x14ac:dyDescent="0.35">
      <c r="A1664" s="14" t="s">
        <v>391</v>
      </c>
      <c r="B1664" s="14" t="s">
        <v>377</v>
      </c>
      <c r="C1664" t="s">
        <v>394</v>
      </c>
      <c r="D1664" s="18">
        <v>44194</v>
      </c>
      <c r="E1664" s="34">
        <v>44191</v>
      </c>
      <c r="F1664" s="34">
        <v>44196</v>
      </c>
      <c r="H1664" s="28" t="s">
        <v>23</v>
      </c>
      <c r="K1664" t="s">
        <v>380</v>
      </c>
      <c r="L1664">
        <v>6</v>
      </c>
      <c r="M1664" s="52">
        <v>52.462981154225517</v>
      </c>
    </row>
    <row r="1665" spans="1:13" x14ac:dyDescent="0.35">
      <c r="A1665" s="14" t="s">
        <v>391</v>
      </c>
      <c r="B1665" s="14" t="s">
        <v>377</v>
      </c>
      <c r="C1665" t="s">
        <v>394</v>
      </c>
      <c r="D1665" s="18">
        <v>44194</v>
      </c>
      <c r="E1665" s="34">
        <v>44191</v>
      </c>
      <c r="F1665" s="34">
        <v>44196</v>
      </c>
      <c r="H1665" s="28" t="s">
        <v>24</v>
      </c>
      <c r="K1665" t="s">
        <v>380</v>
      </c>
      <c r="L1665">
        <v>6</v>
      </c>
      <c r="M1665" s="52">
        <v>52.462981154225517</v>
      </c>
    </row>
    <row r="1666" spans="1:13" x14ac:dyDescent="0.35">
      <c r="A1666" s="14" t="s">
        <v>391</v>
      </c>
      <c r="B1666" s="14" t="s">
        <v>377</v>
      </c>
      <c r="C1666" t="s">
        <v>394</v>
      </c>
      <c r="D1666" s="18">
        <v>44194</v>
      </c>
      <c r="E1666" s="34">
        <v>44191</v>
      </c>
      <c r="F1666" s="34">
        <v>44196</v>
      </c>
      <c r="H1666" s="28" t="s">
        <v>23</v>
      </c>
      <c r="K1666" t="s">
        <v>380</v>
      </c>
      <c r="L1666">
        <v>10</v>
      </c>
      <c r="M1666" s="52">
        <v>52.462981154225517</v>
      </c>
    </row>
    <row r="1667" spans="1:13" x14ac:dyDescent="0.35">
      <c r="A1667" s="14" t="s">
        <v>391</v>
      </c>
      <c r="B1667" s="14" t="s">
        <v>377</v>
      </c>
      <c r="C1667" t="s">
        <v>394</v>
      </c>
      <c r="D1667" s="18">
        <v>44194</v>
      </c>
      <c r="E1667" s="34">
        <v>44191</v>
      </c>
      <c r="F1667" s="34">
        <v>44196</v>
      </c>
      <c r="H1667" s="28" t="s">
        <v>24</v>
      </c>
      <c r="K1667" t="s">
        <v>380</v>
      </c>
      <c r="L1667">
        <v>15</v>
      </c>
      <c r="M1667" s="52">
        <v>52.462981154225517</v>
      </c>
    </row>
    <row r="1668" spans="1:13" x14ac:dyDescent="0.35">
      <c r="A1668" s="14" t="s">
        <v>391</v>
      </c>
      <c r="B1668" s="14" t="s">
        <v>377</v>
      </c>
      <c r="C1668" t="s">
        <v>394</v>
      </c>
      <c r="D1668" s="18">
        <v>44194</v>
      </c>
      <c r="E1668" s="34">
        <v>44191</v>
      </c>
      <c r="F1668" s="34">
        <v>44196</v>
      </c>
      <c r="H1668" s="28" t="s">
        <v>27</v>
      </c>
      <c r="K1668" t="s">
        <v>380</v>
      </c>
      <c r="L1668">
        <v>10</v>
      </c>
      <c r="M1668" s="52">
        <v>52.462981154225517</v>
      </c>
    </row>
    <row r="1669" spans="1:13" x14ac:dyDescent="0.35">
      <c r="A1669" s="14" t="s">
        <v>391</v>
      </c>
      <c r="B1669" s="14" t="s">
        <v>377</v>
      </c>
      <c r="C1669" t="s">
        <v>394</v>
      </c>
      <c r="D1669" s="18">
        <v>44194</v>
      </c>
      <c r="E1669" s="34">
        <v>44191</v>
      </c>
      <c r="F1669" s="34">
        <v>44196</v>
      </c>
      <c r="H1669" s="28" t="s">
        <v>28</v>
      </c>
      <c r="K1669" t="s">
        <v>380</v>
      </c>
      <c r="L1669">
        <v>15</v>
      </c>
      <c r="M1669" s="52">
        <v>52.462981154225517</v>
      </c>
    </row>
    <row r="1670" spans="1:13" x14ac:dyDescent="0.35">
      <c r="A1670" s="14" t="s">
        <v>391</v>
      </c>
      <c r="B1670" s="14" t="s">
        <v>377</v>
      </c>
      <c r="C1670" t="s">
        <v>394</v>
      </c>
      <c r="D1670" s="18">
        <v>44194</v>
      </c>
      <c r="E1670" s="34">
        <v>44191</v>
      </c>
      <c r="F1670" s="34">
        <v>44196</v>
      </c>
      <c r="H1670" s="28" t="s">
        <v>30</v>
      </c>
      <c r="K1670" t="s">
        <v>381</v>
      </c>
      <c r="L1670">
        <v>33</v>
      </c>
      <c r="M1670" s="52">
        <v>52.462981154225517</v>
      </c>
    </row>
    <row r="1671" spans="1:13" x14ac:dyDescent="0.35">
      <c r="A1671" s="14" t="s">
        <v>391</v>
      </c>
      <c r="B1671" s="14" t="s">
        <v>377</v>
      </c>
      <c r="C1671" t="s">
        <v>394</v>
      </c>
      <c r="D1671" s="18">
        <v>44194</v>
      </c>
      <c r="E1671" s="34">
        <v>44191</v>
      </c>
      <c r="F1671" s="34">
        <v>44196</v>
      </c>
      <c r="H1671" s="28" t="s">
        <v>29</v>
      </c>
      <c r="K1671" t="s">
        <v>381</v>
      </c>
      <c r="L1671">
        <v>33</v>
      </c>
      <c r="M1671" s="52">
        <v>52.462981154225517</v>
      </c>
    </row>
    <row r="1672" spans="1:13" x14ac:dyDescent="0.35">
      <c r="A1672" s="14" t="s">
        <v>391</v>
      </c>
      <c r="B1672" s="14" t="s">
        <v>377</v>
      </c>
      <c r="C1672" t="s">
        <v>394</v>
      </c>
      <c r="D1672" s="18">
        <v>44194</v>
      </c>
      <c r="E1672" s="34">
        <v>44191</v>
      </c>
      <c r="F1672" s="34">
        <v>44196</v>
      </c>
      <c r="H1672" s="28" t="s">
        <v>188</v>
      </c>
      <c r="M1672" s="52">
        <v>52.462981154225517</v>
      </c>
    </row>
    <row r="1673" spans="1:13" x14ac:dyDescent="0.35">
      <c r="A1673" s="14" t="s">
        <v>391</v>
      </c>
      <c r="B1673" s="14" t="s">
        <v>377</v>
      </c>
      <c r="C1673" t="s">
        <v>394</v>
      </c>
      <c r="D1673" s="18">
        <v>44194</v>
      </c>
      <c r="E1673" s="34">
        <v>44191</v>
      </c>
      <c r="F1673" s="34">
        <v>44196</v>
      </c>
      <c r="H1673" s="28" t="s">
        <v>190</v>
      </c>
      <c r="M1673" s="52">
        <v>52.462981154225517</v>
      </c>
    </row>
    <row r="1674" spans="1:13" x14ac:dyDescent="0.35">
      <c r="A1674" s="14" t="s">
        <v>391</v>
      </c>
      <c r="B1674" s="14" t="s">
        <v>377</v>
      </c>
      <c r="C1674" t="s">
        <v>394</v>
      </c>
      <c r="D1674" s="18">
        <v>44194</v>
      </c>
      <c r="E1674" s="34">
        <v>44191</v>
      </c>
      <c r="F1674" s="34">
        <v>44196</v>
      </c>
      <c r="H1674" s="28" t="s">
        <v>192</v>
      </c>
      <c r="M1674" s="52">
        <v>52.462981154225517</v>
      </c>
    </row>
    <row r="1675" spans="1:13" x14ac:dyDescent="0.35">
      <c r="A1675" s="14" t="s">
        <v>391</v>
      </c>
      <c r="B1675" s="14" t="s">
        <v>377</v>
      </c>
      <c r="C1675" t="s">
        <v>394</v>
      </c>
      <c r="D1675" s="18">
        <v>44194</v>
      </c>
      <c r="E1675" s="34">
        <v>44191</v>
      </c>
      <c r="F1675" s="34">
        <v>44196</v>
      </c>
      <c r="H1675" s="28" t="s">
        <v>198</v>
      </c>
      <c r="M1675" s="52">
        <v>52.462981154225517</v>
      </c>
    </row>
    <row r="1676" spans="1:13" x14ac:dyDescent="0.35">
      <c r="A1676" s="14" t="s">
        <v>391</v>
      </c>
      <c r="B1676" s="14" t="s">
        <v>377</v>
      </c>
      <c r="C1676" t="s">
        <v>394</v>
      </c>
      <c r="D1676" s="18">
        <v>44194</v>
      </c>
      <c r="E1676" s="34">
        <v>44191</v>
      </c>
      <c r="F1676" s="34">
        <v>44196</v>
      </c>
      <c r="H1676" s="28" t="s">
        <v>393</v>
      </c>
      <c r="M1676" s="52">
        <v>52.462981154225517</v>
      </c>
    </row>
    <row r="1677" spans="1:13" x14ac:dyDescent="0.35">
      <c r="A1677" s="14" t="s">
        <v>391</v>
      </c>
      <c r="B1677" s="14" t="s">
        <v>377</v>
      </c>
      <c r="C1677" t="s">
        <v>394</v>
      </c>
      <c r="D1677" s="18">
        <v>44194</v>
      </c>
      <c r="E1677" s="34">
        <v>44191</v>
      </c>
      <c r="F1677" s="34">
        <v>44196</v>
      </c>
      <c r="H1677" s="28" t="s">
        <v>204</v>
      </c>
      <c r="M1677" s="52">
        <v>52.462981154225517</v>
      </c>
    </row>
    <row r="1678" spans="1:13" x14ac:dyDescent="0.35">
      <c r="A1678" s="14" t="s">
        <v>391</v>
      </c>
      <c r="B1678" s="14" t="s">
        <v>377</v>
      </c>
      <c r="C1678" t="s">
        <v>394</v>
      </c>
      <c r="D1678" s="18">
        <v>44194</v>
      </c>
      <c r="E1678" s="34">
        <v>44191</v>
      </c>
      <c r="F1678" s="34">
        <v>44196</v>
      </c>
      <c r="H1678" s="28" t="s">
        <v>208</v>
      </c>
      <c r="M1678" s="52">
        <v>52.462981154225517</v>
      </c>
    </row>
    <row r="1679" spans="1:13" x14ac:dyDescent="0.35">
      <c r="A1679" s="14" t="s">
        <v>391</v>
      </c>
      <c r="B1679" s="14" t="s">
        <v>377</v>
      </c>
      <c r="C1679" t="s">
        <v>394</v>
      </c>
      <c r="D1679" s="18">
        <v>44194</v>
      </c>
      <c r="E1679" s="34">
        <v>44191</v>
      </c>
      <c r="F1679" s="34">
        <v>44196</v>
      </c>
      <c r="H1679" s="28" t="s">
        <v>210</v>
      </c>
      <c r="M1679" s="52">
        <v>52.462981154225517</v>
      </c>
    </row>
    <row r="1680" spans="1:13" x14ac:dyDescent="0.35">
      <c r="A1680" s="14" t="s">
        <v>391</v>
      </c>
      <c r="B1680" s="14" t="s">
        <v>377</v>
      </c>
      <c r="C1680" t="s">
        <v>394</v>
      </c>
      <c r="D1680" s="18">
        <v>44194</v>
      </c>
      <c r="E1680" s="34">
        <v>44191</v>
      </c>
      <c r="F1680" s="34">
        <v>44196</v>
      </c>
      <c r="H1680" s="28" t="s">
        <v>403</v>
      </c>
      <c r="M1680" s="52">
        <v>52.462981154225517</v>
      </c>
    </row>
    <row r="1681" spans="1:13" x14ac:dyDescent="0.35">
      <c r="A1681" s="14" t="s">
        <v>391</v>
      </c>
      <c r="B1681" s="14" t="s">
        <v>377</v>
      </c>
      <c r="C1681" t="s">
        <v>394</v>
      </c>
      <c r="D1681" s="18">
        <v>44194</v>
      </c>
      <c r="E1681" s="34">
        <v>44191</v>
      </c>
      <c r="F1681" s="34">
        <v>44196</v>
      </c>
      <c r="H1681" s="28" t="s">
        <v>223</v>
      </c>
      <c r="M1681" s="52">
        <v>52.462981154225517</v>
      </c>
    </row>
    <row r="1682" spans="1:13" x14ac:dyDescent="0.35">
      <c r="A1682" s="14" t="s">
        <v>391</v>
      </c>
      <c r="B1682" s="14" t="s">
        <v>377</v>
      </c>
      <c r="C1682" t="s">
        <v>394</v>
      </c>
      <c r="D1682" s="18">
        <v>44194</v>
      </c>
      <c r="E1682" s="34">
        <v>44191</v>
      </c>
      <c r="F1682" s="34">
        <v>44196</v>
      </c>
      <c r="H1682" s="28" t="s">
        <v>31</v>
      </c>
      <c r="K1682" t="s">
        <v>381</v>
      </c>
      <c r="L1682">
        <v>30</v>
      </c>
      <c r="M1682" s="52">
        <v>52.462981154225517</v>
      </c>
    </row>
    <row r="1683" spans="1:13" x14ac:dyDescent="0.35">
      <c r="A1683" s="14" t="s">
        <v>391</v>
      </c>
      <c r="B1683" s="14" t="s">
        <v>377</v>
      </c>
      <c r="C1683" t="s">
        <v>394</v>
      </c>
      <c r="D1683" s="18">
        <v>44194</v>
      </c>
      <c r="E1683" s="34">
        <v>44191</v>
      </c>
      <c r="F1683" s="34">
        <v>44196</v>
      </c>
      <c r="H1683" s="28" t="s">
        <v>56</v>
      </c>
      <c r="K1683" t="s">
        <v>381</v>
      </c>
      <c r="L1683">
        <v>50</v>
      </c>
      <c r="M1683" s="52">
        <v>52.462981154225517</v>
      </c>
    </row>
    <row r="1684" spans="1:13" x14ac:dyDescent="0.35">
      <c r="A1684" s="14" t="s">
        <v>391</v>
      </c>
      <c r="B1684" s="14" t="s">
        <v>377</v>
      </c>
      <c r="C1684" t="s">
        <v>394</v>
      </c>
      <c r="D1684" s="18">
        <v>44194</v>
      </c>
      <c r="E1684" s="34">
        <v>44191</v>
      </c>
      <c r="F1684" s="34">
        <v>44196</v>
      </c>
      <c r="H1684" s="28" t="s">
        <v>263</v>
      </c>
      <c r="M1684" s="52">
        <v>52.462981154225517</v>
      </c>
    </row>
    <row r="1685" spans="1:13" x14ac:dyDescent="0.35">
      <c r="A1685" s="14" t="s">
        <v>391</v>
      </c>
      <c r="B1685" s="14" t="s">
        <v>377</v>
      </c>
      <c r="C1685" t="s">
        <v>394</v>
      </c>
      <c r="D1685" s="18">
        <v>44194</v>
      </c>
      <c r="E1685" s="34">
        <v>44191</v>
      </c>
      <c r="F1685" s="34">
        <v>44196</v>
      </c>
      <c r="H1685" s="28" t="s">
        <v>287</v>
      </c>
      <c r="M1685" s="52">
        <v>52.462981154225517</v>
      </c>
    </row>
    <row r="1686" spans="1:13" x14ac:dyDescent="0.35">
      <c r="A1686" s="14" t="s">
        <v>391</v>
      </c>
      <c r="B1686" s="14" t="s">
        <v>377</v>
      </c>
      <c r="C1686" t="s">
        <v>394</v>
      </c>
      <c r="D1686" s="18">
        <v>44194</v>
      </c>
      <c r="E1686" s="34">
        <v>44191</v>
      </c>
      <c r="F1686" s="34">
        <v>44196</v>
      </c>
      <c r="H1686" s="28" t="s">
        <v>287</v>
      </c>
      <c r="M1686" s="52">
        <v>52.462981154225517</v>
      </c>
    </row>
    <row r="1687" spans="1:13" x14ac:dyDescent="0.35">
      <c r="A1687" s="14" t="s">
        <v>391</v>
      </c>
      <c r="B1687" s="14" t="s">
        <v>377</v>
      </c>
      <c r="C1687" t="s">
        <v>394</v>
      </c>
      <c r="D1687" s="18">
        <v>44194</v>
      </c>
      <c r="E1687" s="34">
        <v>44191</v>
      </c>
      <c r="F1687" s="34">
        <v>44196</v>
      </c>
      <c r="H1687" s="28" t="s">
        <v>307</v>
      </c>
      <c r="M1687" s="52">
        <v>52.462981154225517</v>
      </c>
    </row>
    <row r="1688" spans="1:13" x14ac:dyDescent="0.35">
      <c r="A1688" s="14" t="s">
        <v>391</v>
      </c>
      <c r="B1688" s="14" t="s">
        <v>377</v>
      </c>
      <c r="C1688" t="s">
        <v>394</v>
      </c>
      <c r="D1688" s="18">
        <v>44194</v>
      </c>
      <c r="E1688" s="34">
        <v>44191</v>
      </c>
      <c r="F1688" s="34">
        <v>44196</v>
      </c>
      <c r="H1688" s="28" t="s">
        <v>309</v>
      </c>
      <c r="M1688" s="52">
        <v>52.462981154225517</v>
      </c>
    </row>
    <row r="1689" spans="1:13" x14ac:dyDescent="0.35">
      <c r="A1689" s="14" t="s">
        <v>391</v>
      </c>
      <c r="B1689" s="14" t="s">
        <v>377</v>
      </c>
      <c r="C1689" t="s">
        <v>394</v>
      </c>
      <c r="D1689" s="18">
        <v>44194</v>
      </c>
      <c r="E1689" s="34">
        <v>44191</v>
      </c>
      <c r="F1689" s="34">
        <v>44196</v>
      </c>
      <c r="H1689" s="28" t="s">
        <v>311</v>
      </c>
      <c r="M1689" s="52">
        <v>52.462981154225517</v>
      </c>
    </row>
    <row r="1690" spans="1:13" x14ac:dyDescent="0.35">
      <c r="A1690" s="14" t="s">
        <v>391</v>
      </c>
      <c r="B1690" s="14" t="s">
        <v>377</v>
      </c>
      <c r="C1690" t="s">
        <v>394</v>
      </c>
      <c r="D1690" s="18">
        <v>44194</v>
      </c>
      <c r="E1690" s="34">
        <v>44191</v>
      </c>
      <c r="F1690" s="34">
        <v>44196</v>
      </c>
      <c r="H1690" s="28" t="s">
        <v>313</v>
      </c>
      <c r="K1690" t="s">
        <v>381</v>
      </c>
      <c r="L1690">
        <v>50</v>
      </c>
      <c r="M1690" s="52">
        <v>52.462981154225517</v>
      </c>
    </row>
    <row r="1691" spans="1:13" x14ac:dyDescent="0.35">
      <c r="A1691" s="14" t="s">
        <v>391</v>
      </c>
      <c r="B1691" s="14" t="s">
        <v>377</v>
      </c>
      <c r="C1691" t="s">
        <v>394</v>
      </c>
      <c r="D1691" s="18">
        <v>44194</v>
      </c>
      <c r="E1691" s="34">
        <v>44191</v>
      </c>
      <c r="F1691" s="34">
        <v>44196</v>
      </c>
      <c r="H1691" s="28" t="s">
        <v>315</v>
      </c>
      <c r="K1691" t="s">
        <v>381</v>
      </c>
      <c r="L1691">
        <v>30</v>
      </c>
      <c r="M1691" s="52">
        <v>52.462981154225517</v>
      </c>
    </row>
    <row r="1692" spans="1:13" x14ac:dyDescent="0.35">
      <c r="A1692" s="14" t="s">
        <v>391</v>
      </c>
      <c r="B1692" s="14" t="s">
        <v>377</v>
      </c>
      <c r="C1692" t="s">
        <v>394</v>
      </c>
      <c r="D1692" s="18">
        <v>44194</v>
      </c>
      <c r="E1692" s="34">
        <v>44191</v>
      </c>
      <c r="F1692" s="34">
        <v>44196</v>
      </c>
      <c r="H1692" s="28" t="s">
        <v>32</v>
      </c>
      <c r="K1692" t="s">
        <v>380</v>
      </c>
      <c r="L1692">
        <v>6</v>
      </c>
      <c r="M1692" s="52">
        <v>52.462981154225517</v>
      </c>
    </row>
    <row r="1693" spans="1:13" x14ac:dyDescent="0.35">
      <c r="A1693" s="14" t="s">
        <v>391</v>
      </c>
      <c r="B1693" s="14" t="s">
        <v>377</v>
      </c>
      <c r="C1693" t="s">
        <v>394</v>
      </c>
      <c r="D1693" s="18">
        <v>44194</v>
      </c>
      <c r="E1693" s="34">
        <v>44191</v>
      </c>
      <c r="F1693" s="34">
        <v>44196</v>
      </c>
      <c r="H1693" s="28" t="s">
        <v>60</v>
      </c>
      <c r="K1693" t="s">
        <v>380</v>
      </c>
      <c r="L1693">
        <v>6</v>
      </c>
      <c r="M1693" s="52">
        <v>52.462981154225517</v>
      </c>
    </row>
    <row r="1694" spans="1:13" x14ac:dyDescent="0.35">
      <c r="A1694" s="14" t="s">
        <v>391</v>
      </c>
      <c r="B1694" s="14" t="s">
        <v>377</v>
      </c>
      <c r="C1694" t="s">
        <v>394</v>
      </c>
      <c r="D1694" s="18">
        <v>44194</v>
      </c>
      <c r="E1694" s="34">
        <v>44191</v>
      </c>
      <c r="F1694" s="34">
        <v>44196</v>
      </c>
      <c r="H1694" s="28" t="s">
        <v>327</v>
      </c>
      <c r="K1694" t="s">
        <v>380</v>
      </c>
      <c r="L1694">
        <v>6</v>
      </c>
      <c r="M1694" s="52">
        <v>52.462981154225517</v>
      </c>
    </row>
    <row r="1695" spans="1:13" x14ac:dyDescent="0.35">
      <c r="A1695" s="14" t="s">
        <v>391</v>
      </c>
      <c r="B1695" s="14" t="s">
        <v>377</v>
      </c>
      <c r="C1695" t="s">
        <v>394</v>
      </c>
      <c r="D1695" s="18">
        <v>44194</v>
      </c>
      <c r="E1695" s="34">
        <v>44191</v>
      </c>
      <c r="F1695" s="34">
        <v>44196</v>
      </c>
      <c r="H1695" s="28" t="s">
        <v>335</v>
      </c>
      <c r="M1695" s="52">
        <v>52.462981154225517</v>
      </c>
    </row>
    <row r="1696" spans="1:13" x14ac:dyDescent="0.35">
      <c r="A1696" s="14" t="s">
        <v>391</v>
      </c>
      <c r="B1696" s="14" t="s">
        <v>377</v>
      </c>
      <c r="C1696" t="s">
        <v>394</v>
      </c>
      <c r="D1696" s="18">
        <v>44194</v>
      </c>
      <c r="E1696" s="34">
        <v>44191</v>
      </c>
      <c r="F1696" s="34">
        <v>44196</v>
      </c>
      <c r="H1696" s="28" t="s">
        <v>339</v>
      </c>
      <c r="M1696" s="52">
        <v>52.462981154225517</v>
      </c>
    </row>
    <row r="1697" spans="1:13" x14ac:dyDescent="0.35">
      <c r="A1697" s="14" t="s">
        <v>391</v>
      </c>
      <c r="B1697" s="14" t="s">
        <v>377</v>
      </c>
      <c r="C1697" t="s">
        <v>394</v>
      </c>
      <c r="D1697" s="18">
        <v>44194</v>
      </c>
      <c r="E1697" s="34">
        <v>44191</v>
      </c>
      <c r="F1697" s="34">
        <v>44196</v>
      </c>
      <c r="H1697" s="28" t="s">
        <v>341</v>
      </c>
      <c r="M1697" s="52">
        <v>52.462981154225517</v>
      </c>
    </row>
    <row r="1698" spans="1:13" x14ac:dyDescent="0.35">
      <c r="A1698" s="14" t="s">
        <v>391</v>
      </c>
      <c r="B1698" s="14" t="s">
        <v>377</v>
      </c>
      <c r="C1698" t="s">
        <v>394</v>
      </c>
      <c r="D1698" s="18">
        <v>44194</v>
      </c>
      <c r="E1698" s="34">
        <v>44191</v>
      </c>
      <c r="F1698" s="34">
        <v>44196</v>
      </c>
      <c r="H1698" s="28" t="s">
        <v>345</v>
      </c>
      <c r="K1698" t="s">
        <v>381</v>
      </c>
      <c r="L1698">
        <v>50</v>
      </c>
      <c r="M1698" s="52">
        <v>52.462981154225517</v>
      </c>
    </row>
    <row r="1699" spans="1:13" x14ac:dyDescent="0.35">
      <c r="A1699" s="14" t="s">
        <v>391</v>
      </c>
      <c r="B1699" s="14" t="s">
        <v>377</v>
      </c>
      <c r="C1699" t="s">
        <v>394</v>
      </c>
      <c r="D1699" s="18">
        <v>44194</v>
      </c>
      <c r="E1699" s="34">
        <v>44191</v>
      </c>
      <c r="F1699" s="34">
        <v>44196</v>
      </c>
      <c r="H1699" s="28" t="s">
        <v>59</v>
      </c>
      <c r="M1699" s="52">
        <v>52.462981154225517</v>
      </c>
    </row>
    <row r="1700" spans="1:13" x14ac:dyDescent="0.35">
      <c r="A1700" s="14" t="s">
        <v>391</v>
      </c>
      <c r="B1700" s="14" t="s">
        <v>377</v>
      </c>
      <c r="C1700" t="s">
        <v>394</v>
      </c>
      <c r="D1700" s="18">
        <v>44194</v>
      </c>
      <c r="E1700" s="34">
        <v>44191</v>
      </c>
      <c r="F1700" s="34">
        <v>44196</v>
      </c>
      <c r="H1700" s="28" t="s">
        <v>360</v>
      </c>
      <c r="M1700" s="52">
        <v>52.462981154225517</v>
      </c>
    </row>
    <row r="1701" spans="1:13" x14ac:dyDescent="0.35">
      <c r="A1701" s="14" t="s">
        <v>391</v>
      </c>
      <c r="B1701" s="14" t="s">
        <v>377</v>
      </c>
      <c r="C1701" t="s">
        <v>400</v>
      </c>
      <c r="D1701" s="18">
        <v>44196</v>
      </c>
      <c r="E1701" s="34">
        <v>44194</v>
      </c>
      <c r="F1701" s="34">
        <v>44201</v>
      </c>
      <c r="H1701" s="28" t="s">
        <v>68</v>
      </c>
      <c r="M1701" s="52">
        <v>55</v>
      </c>
    </row>
    <row r="1702" spans="1:13" x14ac:dyDescent="0.35">
      <c r="A1702" s="14" t="s">
        <v>391</v>
      </c>
      <c r="B1702" s="14" t="s">
        <v>377</v>
      </c>
      <c r="C1702" t="s">
        <v>400</v>
      </c>
      <c r="D1702" s="18">
        <v>44196</v>
      </c>
      <c r="E1702" s="34">
        <v>44194</v>
      </c>
      <c r="F1702" s="34">
        <v>44201</v>
      </c>
      <c r="H1702" s="28" t="s">
        <v>408</v>
      </c>
      <c r="M1702" s="52">
        <v>55</v>
      </c>
    </row>
    <row r="1703" spans="1:13" x14ac:dyDescent="0.35">
      <c r="A1703" s="14" t="s">
        <v>391</v>
      </c>
      <c r="B1703" s="14" t="s">
        <v>377</v>
      </c>
      <c r="C1703" t="s">
        <v>400</v>
      </c>
      <c r="D1703" s="18">
        <v>44196</v>
      </c>
      <c r="E1703" s="34">
        <v>44194</v>
      </c>
      <c r="F1703" s="34">
        <v>44201</v>
      </c>
      <c r="H1703" s="28" t="s">
        <v>41</v>
      </c>
      <c r="K1703" t="s">
        <v>381</v>
      </c>
      <c r="L1703">
        <v>50</v>
      </c>
      <c r="M1703" s="52">
        <v>55</v>
      </c>
    </row>
    <row r="1704" spans="1:13" x14ac:dyDescent="0.35">
      <c r="A1704" s="14" t="s">
        <v>391</v>
      </c>
      <c r="B1704" s="14" t="s">
        <v>377</v>
      </c>
      <c r="C1704" t="s">
        <v>400</v>
      </c>
      <c r="D1704" s="18">
        <v>44196</v>
      </c>
      <c r="E1704" s="34">
        <v>44194</v>
      </c>
      <c r="F1704" s="34">
        <v>44201</v>
      </c>
      <c r="H1704" s="28" t="s">
        <v>39</v>
      </c>
      <c r="K1704" t="s">
        <v>381</v>
      </c>
      <c r="L1704">
        <v>25</v>
      </c>
      <c r="M1704" s="52">
        <v>55</v>
      </c>
    </row>
    <row r="1705" spans="1:13" x14ac:dyDescent="0.35">
      <c r="A1705" s="14" t="s">
        <v>391</v>
      </c>
      <c r="B1705" s="14" t="s">
        <v>377</v>
      </c>
      <c r="C1705" t="s">
        <v>400</v>
      </c>
      <c r="D1705" s="18">
        <v>44196</v>
      </c>
      <c r="E1705" s="34">
        <v>44194</v>
      </c>
      <c r="F1705" s="34">
        <v>44201</v>
      </c>
      <c r="H1705" s="28" t="s">
        <v>123</v>
      </c>
      <c r="M1705" s="52">
        <v>55</v>
      </c>
    </row>
    <row r="1706" spans="1:13" x14ac:dyDescent="0.35">
      <c r="A1706" s="14" t="s">
        <v>391</v>
      </c>
      <c r="B1706" s="14" t="s">
        <v>377</v>
      </c>
      <c r="C1706" t="s">
        <v>400</v>
      </c>
      <c r="D1706" s="18">
        <v>44196</v>
      </c>
      <c r="E1706" s="34">
        <v>44194</v>
      </c>
      <c r="F1706" s="34">
        <v>44201</v>
      </c>
      <c r="H1706" s="28" t="s">
        <v>150</v>
      </c>
      <c r="M1706" s="52">
        <v>55</v>
      </c>
    </row>
    <row r="1707" spans="1:13" x14ac:dyDescent="0.35">
      <c r="A1707" s="14" t="s">
        <v>391</v>
      </c>
      <c r="B1707" s="14" t="s">
        <v>377</v>
      </c>
      <c r="C1707" t="s">
        <v>400</v>
      </c>
      <c r="D1707" s="18">
        <v>44196</v>
      </c>
      <c r="E1707" s="34">
        <v>44194</v>
      </c>
      <c r="F1707" s="34">
        <v>44201</v>
      </c>
      <c r="H1707" s="28" t="s">
        <v>127</v>
      </c>
      <c r="M1707" s="52">
        <v>55</v>
      </c>
    </row>
    <row r="1708" spans="1:13" x14ac:dyDescent="0.35">
      <c r="A1708" s="14" t="s">
        <v>391</v>
      </c>
      <c r="B1708" s="14" t="s">
        <v>377</v>
      </c>
      <c r="C1708" t="s">
        <v>400</v>
      </c>
      <c r="D1708" s="18">
        <v>44196</v>
      </c>
      <c r="E1708" s="34">
        <v>44194</v>
      </c>
      <c r="F1708" s="34">
        <v>44201</v>
      </c>
      <c r="H1708" s="28" t="s">
        <v>25</v>
      </c>
      <c r="K1708" t="s">
        <v>381</v>
      </c>
      <c r="L1708">
        <v>20</v>
      </c>
      <c r="M1708" s="52">
        <v>55</v>
      </c>
    </row>
    <row r="1709" spans="1:13" x14ac:dyDescent="0.35">
      <c r="A1709" s="14" t="s">
        <v>391</v>
      </c>
      <c r="B1709" s="14" t="s">
        <v>377</v>
      </c>
      <c r="C1709" t="s">
        <v>400</v>
      </c>
      <c r="D1709" s="18">
        <v>44196</v>
      </c>
      <c r="E1709" s="34">
        <v>44194</v>
      </c>
      <c r="F1709" s="34">
        <v>44201</v>
      </c>
      <c r="H1709" s="28" t="s">
        <v>23</v>
      </c>
      <c r="K1709" t="s">
        <v>380</v>
      </c>
      <c r="L1709">
        <v>10</v>
      </c>
      <c r="M1709" s="52">
        <v>55</v>
      </c>
    </row>
    <row r="1710" spans="1:13" x14ac:dyDescent="0.35">
      <c r="A1710" s="14" t="s">
        <v>391</v>
      </c>
      <c r="B1710" s="14" t="s">
        <v>377</v>
      </c>
      <c r="C1710" t="s">
        <v>400</v>
      </c>
      <c r="D1710" s="18">
        <v>44196</v>
      </c>
      <c r="E1710" s="34">
        <v>44194</v>
      </c>
      <c r="F1710" s="34">
        <v>44201</v>
      </c>
      <c r="H1710" s="28" t="s">
        <v>24</v>
      </c>
      <c r="K1710" t="s">
        <v>380</v>
      </c>
      <c r="L1710">
        <v>15</v>
      </c>
      <c r="M1710" s="52">
        <v>55</v>
      </c>
    </row>
    <row r="1711" spans="1:13" x14ac:dyDescent="0.35">
      <c r="A1711" s="14" t="s">
        <v>391</v>
      </c>
      <c r="B1711" s="14" t="s">
        <v>377</v>
      </c>
      <c r="C1711" t="s">
        <v>400</v>
      </c>
      <c r="D1711" s="18">
        <v>44196</v>
      </c>
      <c r="E1711" s="34">
        <v>44194</v>
      </c>
      <c r="F1711" s="34">
        <v>44201</v>
      </c>
      <c r="H1711" s="28" t="s">
        <v>27</v>
      </c>
      <c r="K1711" t="s">
        <v>380</v>
      </c>
      <c r="L1711">
        <v>10</v>
      </c>
      <c r="M1711" s="52">
        <v>55</v>
      </c>
    </row>
    <row r="1712" spans="1:13" x14ac:dyDescent="0.35">
      <c r="A1712" s="14" t="s">
        <v>391</v>
      </c>
      <c r="B1712" s="14" t="s">
        <v>377</v>
      </c>
      <c r="C1712" t="s">
        <v>400</v>
      </c>
      <c r="D1712" s="18">
        <v>44196</v>
      </c>
      <c r="E1712" s="34">
        <v>44194</v>
      </c>
      <c r="F1712" s="34">
        <v>44201</v>
      </c>
      <c r="H1712" s="28" t="s">
        <v>28</v>
      </c>
      <c r="K1712" t="s">
        <v>380</v>
      </c>
      <c r="L1712">
        <v>15</v>
      </c>
      <c r="M1712" s="52">
        <v>55</v>
      </c>
    </row>
    <row r="1713" spans="1:13" x14ac:dyDescent="0.35">
      <c r="A1713" s="14" t="s">
        <v>391</v>
      </c>
      <c r="B1713" s="14" t="s">
        <v>377</v>
      </c>
      <c r="C1713" t="s">
        <v>400</v>
      </c>
      <c r="D1713" s="18">
        <v>44196</v>
      </c>
      <c r="E1713" s="34">
        <v>44194</v>
      </c>
      <c r="F1713" s="34">
        <v>44201</v>
      </c>
      <c r="H1713" s="28" t="s">
        <v>30</v>
      </c>
      <c r="M1713" s="52">
        <v>55</v>
      </c>
    </row>
    <row r="1714" spans="1:13" x14ac:dyDescent="0.35">
      <c r="A1714" s="14" t="s">
        <v>391</v>
      </c>
      <c r="B1714" s="14" t="s">
        <v>377</v>
      </c>
      <c r="C1714" t="s">
        <v>400</v>
      </c>
      <c r="D1714" s="18">
        <v>44196</v>
      </c>
      <c r="E1714" s="34">
        <v>44194</v>
      </c>
      <c r="F1714" s="34">
        <v>44201</v>
      </c>
      <c r="H1714" s="28" t="s">
        <v>29</v>
      </c>
      <c r="K1714" t="s">
        <v>381</v>
      </c>
      <c r="L1714">
        <v>33</v>
      </c>
      <c r="M1714" s="52">
        <v>55</v>
      </c>
    </row>
    <row r="1715" spans="1:13" x14ac:dyDescent="0.35">
      <c r="A1715" s="14" t="s">
        <v>391</v>
      </c>
      <c r="B1715" s="14" t="s">
        <v>377</v>
      </c>
      <c r="C1715" t="s">
        <v>400</v>
      </c>
      <c r="D1715" s="18">
        <v>44196</v>
      </c>
      <c r="E1715" s="34">
        <v>44194</v>
      </c>
      <c r="F1715" s="34">
        <v>44201</v>
      </c>
      <c r="H1715" s="28" t="s">
        <v>190</v>
      </c>
      <c r="M1715" s="52">
        <v>55</v>
      </c>
    </row>
    <row r="1716" spans="1:13" x14ac:dyDescent="0.35">
      <c r="A1716" s="14" t="s">
        <v>391</v>
      </c>
      <c r="B1716" s="14" t="s">
        <v>377</v>
      </c>
      <c r="C1716" t="s">
        <v>400</v>
      </c>
      <c r="D1716" s="18">
        <v>44196</v>
      </c>
      <c r="E1716" s="34">
        <v>44194</v>
      </c>
      <c r="F1716" s="34">
        <v>44201</v>
      </c>
      <c r="H1716" s="28" t="s">
        <v>198</v>
      </c>
      <c r="M1716" s="52">
        <v>55</v>
      </c>
    </row>
    <row r="1717" spans="1:13" x14ac:dyDescent="0.35">
      <c r="A1717" s="14" t="s">
        <v>391</v>
      </c>
      <c r="B1717" s="14" t="s">
        <v>377</v>
      </c>
      <c r="C1717" t="s">
        <v>400</v>
      </c>
      <c r="D1717" s="18">
        <v>44196</v>
      </c>
      <c r="E1717" s="34">
        <v>44194</v>
      </c>
      <c r="F1717" s="34">
        <v>44201</v>
      </c>
      <c r="H1717" s="28" t="s">
        <v>393</v>
      </c>
      <c r="M1717" s="52">
        <v>55</v>
      </c>
    </row>
    <row r="1718" spans="1:13" x14ac:dyDescent="0.35">
      <c r="A1718" s="14" t="s">
        <v>391</v>
      </c>
      <c r="B1718" s="14" t="s">
        <v>377</v>
      </c>
      <c r="C1718" t="s">
        <v>400</v>
      </c>
      <c r="D1718" s="18">
        <v>44196</v>
      </c>
      <c r="E1718" s="34">
        <v>44194</v>
      </c>
      <c r="F1718" s="34">
        <v>44201</v>
      </c>
      <c r="H1718" s="28" t="s">
        <v>204</v>
      </c>
      <c r="M1718" s="52">
        <v>55</v>
      </c>
    </row>
    <row r="1719" spans="1:13" x14ac:dyDescent="0.35">
      <c r="A1719" s="14" t="s">
        <v>391</v>
      </c>
      <c r="B1719" s="14" t="s">
        <v>377</v>
      </c>
      <c r="C1719" t="s">
        <v>400</v>
      </c>
      <c r="D1719" s="18">
        <v>44196</v>
      </c>
      <c r="E1719" s="34">
        <v>44194</v>
      </c>
      <c r="F1719" s="34">
        <v>44201</v>
      </c>
      <c r="H1719" s="28" t="s">
        <v>208</v>
      </c>
      <c r="M1719" s="52">
        <v>55</v>
      </c>
    </row>
    <row r="1720" spans="1:13" x14ac:dyDescent="0.35">
      <c r="A1720" s="14" t="s">
        <v>391</v>
      </c>
      <c r="B1720" s="14" t="s">
        <v>377</v>
      </c>
      <c r="C1720" t="s">
        <v>400</v>
      </c>
      <c r="D1720" s="18">
        <v>44196</v>
      </c>
      <c r="E1720" s="34">
        <v>44194</v>
      </c>
      <c r="F1720" s="34">
        <v>44201</v>
      </c>
      <c r="H1720" s="28" t="s">
        <v>403</v>
      </c>
      <c r="M1720" s="52">
        <v>55</v>
      </c>
    </row>
    <row r="1721" spans="1:13" x14ac:dyDescent="0.35">
      <c r="A1721" s="14" t="s">
        <v>391</v>
      </c>
      <c r="B1721" s="14" t="s">
        <v>377</v>
      </c>
      <c r="C1721" t="s">
        <v>400</v>
      </c>
      <c r="D1721" s="18">
        <v>44196</v>
      </c>
      <c r="E1721" s="34">
        <v>44194</v>
      </c>
      <c r="F1721" s="34">
        <v>44201</v>
      </c>
      <c r="H1721" s="28" t="s">
        <v>223</v>
      </c>
      <c r="M1721" s="52">
        <v>55</v>
      </c>
    </row>
    <row r="1722" spans="1:13" x14ac:dyDescent="0.35">
      <c r="A1722" s="14" t="s">
        <v>391</v>
      </c>
      <c r="B1722" s="14" t="s">
        <v>377</v>
      </c>
      <c r="C1722" t="s">
        <v>400</v>
      </c>
      <c r="D1722" s="18">
        <v>44196</v>
      </c>
      <c r="E1722" s="34">
        <v>44194</v>
      </c>
      <c r="F1722" s="34">
        <v>44201</v>
      </c>
      <c r="H1722" s="28" t="s">
        <v>56</v>
      </c>
      <c r="K1722" t="s">
        <v>381</v>
      </c>
      <c r="L1722">
        <v>30</v>
      </c>
      <c r="M1722" s="52">
        <v>55</v>
      </c>
    </row>
    <row r="1723" spans="1:13" x14ac:dyDescent="0.35">
      <c r="A1723" s="14" t="s">
        <v>391</v>
      </c>
      <c r="B1723" s="14" t="s">
        <v>377</v>
      </c>
      <c r="C1723" t="s">
        <v>400</v>
      </c>
      <c r="D1723" s="18">
        <v>44196</v>
      </c>
      <c r="E1723" s="34">
        <v>44194</v>
      </c>
      <c r="F1723" s="34">
        <v>44201</v>
      </c>
      <c r="H1723" s="28" t="s">
        <v>263</v>
      </c>
      <c r="M1723" s="52">
        <v>55</v>
      </c>
    </row>
    <row r="1724" spans="1:13" x14ac:dyDescent="0.35">
      <c r="A1724" s="14" t="s">
        <v>391</v>
      </c>
      <c r="B1724" s="14" t="s">
        <v>377</v>
      </c>
      <c r="C1724" t="s">
        <v>400</v>
      </c>
      <c r="D1724" s="18">
        <v>44196</v>
      </c>
      <c r="E1724" s="34">
        <v>44194</v>
      </c>
      <c r="F1724" s="34">
        <v>44201</v>
      </c>
      <c r="H1724" s="28" t="s">
        <v>287</v>
      </c>
      <c r="M1724" s="52">
        <v>55</v>
      </c>
    </row>
    <row r="1725" spans="1:13" x14ac:dyDescent="0.35">
      <c r="A1725" s="14" t="s">
        <v>391</v>
      </c>
      <c r="B1725" s="14" t="s">
        <v>377</v>
      </c>
      <c r="C1725" t="s">
        <v>400</v>
      </c>
      <c r="D1725" s="18">
        <v>44196</v>
      </c>
      <c r="E1725" s="34">
        <v>44194</v>
      </c>
      <c r="F1725" s="34">
        <v>44201</v>
      </c>
      <c r="H1725" s="28" t="s">
        <v>309</v>
      </c>
      <c r="M1725" s="52">
        <v>55</v>
      </c>
    </row>
    <row r="1726" spans="1:13" x14ac:dyDescent="0.35">
      <c r="A1726" s="14" t="s">
        <v>391</v>
      </c>
      <c r="B1726" s="14" t="s">
        <v>377</v>
      </c>
      <c r="C1726" t="s">
        <v>400</v>
      </c>
      <c r="D1726" s="18">
        <v>44196</v>
      </c>
      <c r="E1726" s="34">
        <v>44194</v>
      </c>
      <c r="F1726" s="34">
        <v>44201</v>
      </c>
      <c r="H1726" s="28" t="s">
        <v>311</v>
      </c>
      <c r="M1726" s="52">
        <v>55</v>
      </c>
    </row>
    <row r="1727" spans="1:13" x14ac:dyDescent="0.35">
      <c r="A1727" s="14" t="s">
        <v>391</v>
      </c>
      <c r="B1727" s="14" t="s">
        <v>377</v>
      </c>
      <c r="C1727" t="s">
        <v>400</v>
      </c>
      <c r="D1727" s="18">
        <v>44196</v>
      </c>
      <c r="E1727" s="34">
        <v>44194</v>
      </c>
      <c r="F1727" s="34">
        <v>44201</v>
      </c>
      <c r="H1727" s="28" t="s">
        <v>315</v>
      </c>
      <c r="K1727" t="s">
        <v>381</v>
      </c>
      <c r="L1727">
        <v>30</v>
      </c>
      <c r="M1727" s="52">
        <v>55</v>
      </c>
    </row>
    <row r="1728" spans="1:13" x14ac:dyDescent="0.35">
      <c r="A1728" s="14" t="s">
        <v>391</v>
      </c>
      <c r="B1728" s="14" t="s">
        <v>377</v>
      </c>
      <c r="C1728" t="s">
        <v>400</v>
      </c>
      <c r="D1728" s="18">
        <v>44196</v>
      </c>
      <c r="E1728" s="34">
        <v>44194</v>
      </c>
      <c r="F1728" s="34">
        <v>44201</v>
      </c>
      <c r="H1728" s="28" t="s">
        <v>401</v>
      </c>
      <c r="K1728" t="s">
        <v>381</v>
      </c>
      <c r="L1728">
        <v>50</v>
      </c>
      <c r="M1728" s="52">
        <v>55</v>
      </c>
    </row>
    <row r="1729" spans="1:13" x14ac:dyDescent="0.35">
      <c r="A1729" s="14" t="s">
        <v>391</v>
      </c>
      <c r="B1729" s="14" t="s">
        <v>377</v>
      </c>
      <c r="C1729" t="s">
        <v>400</v>
      </c>
      <c r="D1729" s="18">
        <v>44196</v>
      </c>
      <c r="E1729" s="34">
        <v>44194</v>
      </c>
      <c r="F1729" s="34">
        <v>44201</v>
      </c>
      <c r="H1729" s="28" t="s">
        <v>402</v>
      </c>
      <c r="K1729" t="s">
        <v>380</v>
      </c>
      <c r="L1729">
        <v>6</v>
      </c>
      <c r="M1729" s="52">
        <v>55</v>
      </c>
    </row>
    <row r="1730" spans="1:13" x14ac:dyDescent="0.35">
      <c r="A1730" s="14" t="s">
        <v>391</v>
      </c>
      <c r="B1730" s="14" t="s">
        <v>377</v>
      </c>
      <c r="C1730" t="s">
        <v>400</v>
      </c>
      <c r="D1730" s="18">
        <v>44196</v>
      </c>
      <c r="E1730" s="34">
        <v>44194</v>
      </c>
      <c r="F1730" s="34">
        <v>44201</v>
      </c>
      <c r="H1730" s="28" t="s">
        <v>60</v>
      </c>
      <c r="K1730" t="s">
        <v>380</v>
      </c>
      <c r="L1730">
        <v>6</v>
      </c>
      <c r="M1730" s="52">
        <v>55</v>
      </c>
    </row>
    <row r="1731" spans="1:13" x14ac:dyDescent="0.35">
      <c r="A1731" s="14" t="s">
        <v>391</v>
      </c>
      <c r="B1731" s="14" t="s">
        <v>377</v>
      </c>
      <c r="C1731" t="s">
        <v>400</v>
      </c>
      <c r="D1731" s="18">
        <v>44196</v>
      </c>
      <c r="E1731" s="34">
        <v>44194</v>
      </c>
      <c r="F1731" s="34">
        <v>44201</v>
      </c>
      <c r="H1731" s="28" t="s">
        <v>60</v>
      </c>
      <c r="K1731" t="s">
        <v>380</v>
      </c>
      <c r="L1731">
        <v>6</v>
      </c>
      <c r="M1731" s="52">
        <v>55</v>
      </c>
    </row>
    <row r="1732" spans="1:13" x14ac:dyDescent="0.35">
      <c r="A1732" s="14" t="s">
        <v>391</v>
      </c>
      <c r="B1732" s="14" t="s">
        <v>377</v>
      </c>
      <c r="C1732" t="s">
        <v>400</v>
      </c>
      <c r="D1732" s="18">
        <v>44196</v>
      </c>
      <c r="E1732" s="34">
        <v>44194</v>
      </c>
      <c r="F1732" s="34">
        <v>44201</v>
      </c>
      <c r="H1732" s="28" t="s">
        <v>335</v>
      </c>
      <c r="M1732" s="52">
        <v>55</v>
      </c>
    </row>
    <row r="1733" spans="1:13" x14ac:dyDescent="0.35">
      <c r="A1733" s="14" t="s">
        <v>391</v>
      </c>
      <c r="B1733" s="14" t="s">
        <v>377</v>
      </c>
      <c r="C1733" t="s">
        <v>400</v>
      </c>
      <c r="D1733" s="18">
        <v>44196</v>
      </c>
      <c r="E1733" s="34">
        <v>44194</v>
      </c>
      <c r="F1733" s="34">
        <v>44201</v>
      </c>
      <c r="H1733" s="28" t="s">
        <v>339</v>
      </c>
      <c r="M1733" s="52">
        <v>55</v>
      </c>
    </row>
    <row r="1734" spans="1:13" x14ac:dyDescent="0.35">
      <c r="A1734" s="14" t="s">
        <v>391</v>
      </c>
      <c r="B1734" s="14" t="s">
        <v>377</v>
      </c>
      <c r="C1734" t="s">
        <v>400</v>
      </c>
      <c r="D1734" s="18">
        <v>44196</v>
      </c>
      <c r="E1734" s="34">
        <v>44194</v>
      </c>
      <c r="F1734" s="34">
        <v>44201</v>
      </c>
      <c r="H1734" s="28" t="s">
        <v>341</v>
      </c>
      <c r="M1734" s="52">
        <v>55</v>
      </c>
    </row>
    <row r="1735" spans="1:13" x14ac:dyDescent="0.35">
      <c r="A1735" s="14" t="s">
        <v>391</v>
      </c>
      <c r="B1735" s="14" t="s">
        <v>377</v>
      </c>
      <c r="C1735" t="s">
        <v>400</v>
      </c>
      <c r="D1735" s="18">
        <v>44196</v>
      </c>
      <c r="E1735" s="34">
        <v>44194</v>
      </c>
      <c r="F1735" s="34">
        <v>44201</v>
      </c>
      <c r="H1735" s="28" t="s">
        <v>345</v>
      </c>
      <c r="K1735" t="s">
        <v>381</v>
      </c>
      <c r="L1735">
        <v>50</v>
      </c>
      <c r="M1735" s="52">
        <v>55</v>
      </c>
    </row>
    <row r="1736" spans="1:13" x14ac:dyDescent="0.35">
      <c r="A1736" s="14" t="s">
        <v>391</v>
      </c>
      <c r="B1736" s="14" t="s">
        <v>377</v>
      </c>
      <c r="C1736" t="s">
        <v>400</v>
      </c>
      <c r="D1736" s="18">
        <v>44196</v>
      </c>
      <c r="E1736" s="34">
        <v>44194</v>
      </c>
      <c r="F1736" s="34">
        <v>44201</v>
      </c>
      <c r="H1736" s="28" t="s">
        <v>59</v>
      </c>
      <c r="M1736" s="52">
        <v>55</v>
      </c>
    </row>
    <row r="1737" spans="1:13" x14ac:dyDescent="0.35">
      <c r="A1737" s="14" t="s">
        <v>391</v>
      </c>
      <c r="B1737" s="14" t="s">
        <v>377</v>
      </c>
      <c r="C1737" t="s">
        <v>400</v>
      </c>
      <c r="D1737" s="18">
        <v>44196</v>
      </c>
      <c r="E1737" s="34">
        <v>44194</v>
      </c>
      <c r="F1737" s="34">
        <v>44201</v>
      </c>
      <c r="H1737" s="28" t="s">
        <v>360</v>
      </c>
      <c r="M1737" s="52">
        <v>55</v>
      </c>
    </row>
    <row r="1738" spans="1:13" x14ac:dyDescent="0.35">
      <c r="A1738" s="14" t="s">
        <v>391</v>
      </c>
      <c r="B1738" s="14" t="s">
        <v>377</v>
      </c>
      <c r="C1738" t="s">
        <v>392</v>
      </c>
      <c r="D1738" s="18">
        <v>44196</v>
      </c>
      <c r="E1738" s="34">
        <v>44195</v>
      </c>
      <c r="F1738" s="34">
        <v>44204</v>
      </c>
      <c r="H1738" s="28" t="s">
        <v>96</v>
      </c>
      <c r="M1738" s="52">
        <v>4.870013988751432</v>
      </c>
    </row>
    <row r="1739" spans="1:13" x14ac:dyDescent="0.35">
      <c r="A1739" s="14" t="s">
        <v>391</v>
      </c>
      <c r="B1739" s="14" t="s">
        <v>377</v>
      </c>
      <c r="C1739" t="s">
        <v>392</v>
      </c>
      <c r="D1739" s="18">
        <v>44196</v>
      </c>
      <c r="E1739" s="34">
        <v>44195</v>
      </c>
      <c r="F1739" s="34">
        <v>44204</v>
      </c>
      <c r="H1739" s="28" t="s">
        <v>72</v>
      </c>
      <c r="M1739" s="52">
        <v>4.870013988751432</v>
      </c>
    </row>
    <row r="1740" spans="1:13" x14ac:dyDescent="0.35">
      <c r="A1740" s="14" t="s">
        <v>391</v>
      </c>
      <c r="B1740" s="14" t="s">
        <v>377</v>
      </c>
      <c r="C1740" t="s">
        <v>392</v>
      </c>
      <c r="D1740" s="18">
        <v>44196</v>
      </c>
      <c r="E1740" s="34">
        <v>44195</v>
      </c>
      <c r="F1740" s="34">
        <v>44204</v>
      </c>
      <c r="H1740" s="28" t="s">
        <v>47</v>
      </c>
      <c r="K1740" t="s">
        <v>381</v>
      </c>
      <c r="L1740">
        <v>20</v>
      </c>
      <c r="M1740" s="52">
        <v>4.870013988751432</v>
      </c>
    </row>
    <row r="1741" spans="1:13" x14ac:dyDescent="0.35">
      <c r="A1741" s="14" t="s">
        <v>391</v>
      </c>
      <c r="B1741" s="14" t="s">
        <v>377</v>
      </c>
      <c r="C1741" t="s">
        <v>392</v>
      </c>
      <c r="D1741" s="18">
        <v>44196</v>
      </c>
      <c r="E1741" s="34">
        <v>44195</v>
      </c>
      <c r="F1741" s="34">
        <v>44204</v>
      </c>
      <c r="H1741" s="28" t="s">
        <v>50</v>
      </c>
      <c r="K1741" t="s">
        <v>381</v>
      </c>
      <c r="L1741">
        <v>50</v>
      </c>
      <c r="M1741" s="52">
        <v>4.870013988751432</v>
      </c>
    </row>
    <row r="1742" spans="1:13" x14ac:dyDescent="0.35">
      <c r="A1742" s="14" t="s">
        <v>391</v>
      </c>
      <c r="B1742" s="14" t="s">
        <v>377</v>
      </c>
      <c r="C1742" t="s">
        <v>392</v>
      </c>
      <c r="D1742" s="18">
        <v>44196</v>
      </c>
      <c r="E1742" s="34">
        <v>44195</v>
      </c>
      <c r="F1742" s="34">
        <v>44204</v>
      </c>
      <c r="H1742" s="28" t="s">
        <v>41</v>
      </c>
      <c r="K1742" t="s">
        <v>381</v>
      </c>
      <c r="L1742">
        <v>50</v>
      </c>
      <c r="M1742" s="52">
        <v>4.870013988751432</v>
      </c>
    </row>
    <row r="1743" spans="1:13" x14ac:dyDescent="0.35">
      <c r="A1743" s="14" t="s">
        <v>391</v>
      </c>
      <c r="B1743" s="14" t="s">
        <v>377</v>
      </c>
      <c r="C1743" t="s">
        <v>392</v>
      </c>
      <c r="D1743" s="18">
        <v>44196</v>
      </c>
      <c r="E1743" s="34">
        <v>44195</v>
      </c>
      <c r="F1743" s="34">
        <v>44204</v>
      </c>
      <c r="H1743" s="28" t="s">
        <v>116</v>
      </c>
      <c r="K1743" t="s">
        <v>381</v>
      </c>
      <c r="L1743">
        <v>25</v>
      </c>
      <c r="M1743" s="52">
        <v>4.870013988751432</v>
      </c>
    </row>
    <row r="1744" spans="1:13" x14ac:dyDescent="0.35">
      <c r="A1744" s="14" t="s">
        <v>391</v>
      </c>
      <c r="B1744" s="14" t="s">
        <v>377</v>
      </c>
      <c r="C1744" t="s">
        <v>392</v>
      </c>
      <c r="D1744" s="18">
        <v>44196</v>
      </c>
      <c r="E1744" s="34">
        <v>44195</v>
      </c>
      <c r="F1744" s="34">
        <v>44204</v>
      </c>
      <c r="H1744" s="28" t="s">
        <v>42</v>
      </c>
      <c r="K1744" t="s">
        <v>380</v>
      </c>
      <c r="L1744">
        <v>6</v>
      </c>
      <c r="M1744" s="52">
        <v>4.870013988751432</v>
      </c>
    </row>
    <row r="1745" spans="1:13" x14ac:dyDescent="0.35">
      <c r="A1745" s="14" t="s">
        <v>391</v>
      </c>
      <c r="B1745" s="14" t="s">
        <v>377</v>
      </c>
      <c r="C1745" t="s">
        <v>392</v>
      </c>
      <c r="D1745" s="18">
        <v>44196</v>
      </c>
      <c r="E1745" s="34">
        <v>44195</v>
      </c>
      <c r="F1745" s="34">
        <v>44204</v>
      </c>
      <c r="H1745" s="28" t="s">
        <v>25</v>
      </c>
      <c r="K1745" t="s">
        <v>381</v>
      </c>
      <c r="L1745">
        <v>40</v>
      </c>
      <c r="M1745" s="52">
        <v>4.870013988751432</v>
      </c>
    </row>
    <row r="1746" spans="1:13" x14ac:dyDescent="0.35">
      <c r="A1746" s="14" t="s">
        <v>391</v>
      </c>
      <c r="B1746" s="14" t="s">
        <v>377</v>
      </c>
      <c r="C1746" t="s">
        <v>392</v>
      </c>
      <c r="D1746" s="18">
        <v>44196</v>
      </c>
      <c r="E1746" s="34">
        <v>44195</v>
      </c>
      <c r="F1746" s="34">
        <v>44204</v>
      </c>
      <c r="H1746" s="28" t="s">
        <v>23</v>
      </c>
      <c r="K1746" t="s">
        <v>380</v>
      </c>
      <c r="L1746">
        <v>6</v>
      </c>
      <c r="M1746" s="52">
        <v>4.870013988751432</v>
      </c>
    </row>
    <row r="1747" spans="1:13" x14ac:dyDescent="0.35">
      <c r="A1747" s="14" t="s">
        <v>391</v>
      </c>
      <c r="B1747" s="14" t="s">
        <v>377</v>
      </c>
      <c r="C1747" t="s">
        <v>392</v>
      </c>
      <c r="D1747" s="18">
        <v>44196</v>
      </c>
      <c r="E1747" s="34">
        <v>44195</v>
      </c>
      <c r="F1747" s="34">
        <v>44204</v>
      </c>
      <c r="H1747" s="28" t="s">
        <v>24</v>
      </c>
      <c r="K1747" t="s">
        <v>380</v>
      </c>
      <c r="L1747">
        <v>6</v>
      </c>
      <c r="M1747" s="52">
        <v>4.870013988751432</v>
      </c>
    </row>
    <row r="1748" spans="1:13" x14ac:dyDescent="0.35">
      <c r="A1748" s="14" t="s">
        <v>391</v>
      </c>
      <c r="B1748" s="14" t="s">
        <v>377</v>
      </c>
      <c r="C1748" t="s">
        <v>392</v>
      </c>
      <c r="D1748" s="18">
        <v>44196</v>
      </c>
      <c r="E1748" s="34">
        <v>44195</v>
      </c>
      <c r="F1748" s="34">
        <v>44204</v>
      </c>
      <c r="H1748" s="28" t="s">
        <v>30</v>
      </c>
      <c r="K1748" t="s">
        <v>381</v>
      </c>
      <c r="L1748">
        <v>33</v>
      </c>
      <c r="M1748" s="52">
        <v>4.870013988751432</v>
      </c>
    </row>
    <row r="1749" spans="1:13" x14ac:dyDescent="0.35">
      <c r="A1749" s="14" t="s">
        <v>391</v>
      </c>
      <c r="B1749" s="14" t="s">
        <v>377</v>
      </c>
      <c r="C1749" t="s">
        <v>392</v>
      </c>
      <c r="D1749" s="18">
        <v>44196</v>
      </c>
      <c r="E1749" s="34">
        <v>44195</v>
      </c>
      <c r="F1749" s="34">
        <v>44204</v>
      </c>
      <c r="H1749" s="28" t="s">
        <v>29</v>
      </c>
      <c r="K1749" t="s">
        <v>381</v>
      </c>
      <c r="L1749">
        <v>33</v>
      </c>
      <c r="M1749" s="52">
        <v>4.870013988751432</v>
      </c>
    </row>
    <row r="1750" spans="1:13" x14ac:dyDescent="0.35">
      <c r="A1750" s="14" t="s">
        <v>391</v>
      </c>
      <c r="B1750" s="14" t="s">
        <v>377</v>
      </c>
      <c r="C1750" t="s">
        <v>392</v>
      </c>
      <c r="D1750" s="18">
        <v>44196</v>
      </c>
      <c r="E1750" s="34">
        <v>44195</v>
      </c>
      <c r="F1750" s="34">
        <v>44204</v>
      </c>
      <c r="H1750" s="28" t="s">
        <v>188</v>
      </c>
      <c r="M1750" s="52">
        <v>4.870013988751432</v>
      </c>
    </row>
    <row r="1751" spans="1:13" x14ac:dyDescent="0.35">
      <c r="A1751" s="14" t="s">
        <v>391</v>
      </c>
      <c r="B1751" s="14" t="s">
        <v>377</v>
      </c>
      <c r="C1751" t="s">
        <v>392</v>
      </c>
      <c r="D1751" s="18">
        <v>44196</v>
      </c>
      <c r="E1751" s="34">
        <v>44195</v>
      </c>
      <c r="F1751" s="34">
        <v>44204</v>
      </c>
      <c r="H1751" s="28" t="s">
        <v>192</v>
      </c>
      <c r="M1751" s="52">
        <v>4.870013988751432</v>
      </c>
    </row>
    <row r="1752" spans="1:13" x14ac:dyDescent="0.35">
      <c r="A1752" s="14" t="s">
        <v>391</v>
      </c>
      <c r="B1752" s="14" t="s">
        <v>377</v>
      </c>
      <c r="C1752" t="s">
        <v>392</v>
      </c>
      <c r="D1752" s="18">
        <v>44196</v>
      </c>
      <c r="E1752" s="34">
        <v>44195</v>
      </c>
      <c r="F1752" s="34">
        <v>44204</v>
      </c>
      <c r="H1752" s="28" t="s">
        <v>198</v>
      </c>
      <c r="M1752" s="52">
        <v>4.870013988751432</v>
      </c>
    </row>
    <row r="1753" spans="1:13" x14ac:dyDescent="0.35">
      <c r="A1753" s="14" t="s">
        <v>391</v>
      </c>
      <c r="B1753" s="14" t="s">
        <v>377</v>
      </c>
      <c r="C1753" t="s">
        <v>392</v>
      </c>
      <c r="D1753" s="18">
        <v>44196</v>
      </c>
      <c r="E1753" s="34">
        <v>44195</v>
      </c>
      <c r="F1753" s="34">
        <v>44204</v>
      </c>
      <c r="H1753" s="28" t="s">
        <v>393</v>
      </c>
      <c r="M1753" s="52">
        <v>4.870013988751432</v>
      </c>
    </row>
    <row r="1754" spans="1:13" x14ac:dyDescent="0.35">
      <c r="A1754" s="14" t="s">
        <v>391</v>
      </c>
      <c r="B1754" s="14" t="s">
        <v>377</v>
      </c>
      <c r="C1754" t="s">
        <v>392</v>
      </c>
      <c r="D1754" s="18">
        <v>44196</v>
      </c>
      <c r="E1754" s="34">
        <v>44195</v>
      </c>
      <c r="F1754" s="34">
        <v>44204</v>
      </c>
      <c r="H1754" s="28" t="s">
        <v>204</v>
      </c>
      <c r="M1754" s="52">
        <v>4.870013988751432</v>
      </c>
    </row>
    <row r="1755" spans="1:13" x14ac:dyDescent="0.35">
      <c r="A1755" s="14" t="s">
        <v>391</v>
      </c>
      <c r="B1755" s="14" t="s">
        <v>377</v>
      </c>
      <c r="C1755" t="s">
        <v>392</v>
      </c>
      <c r="D1755" s="18">
        <v>44196</v>
      </c>
      <c r="E1755" s="34">
        <v>44195</v>
      </c>
      <c r="F1755" s="34">
        <v>44204</v>
      </c>
      <c r="H1755" s="28" t="s">
        <v>208</v>
      </c>
      <c r="M1755" s="52">
        <v>4.870013988751432</v>
      </c>
    </row>
    <row r="1756" spans="1:13" x14ac:dyDescent="0.35">
      <c r="A1756" s="14" t="s">
        <v>391</v>
      </c>
      <c r="B1756" s="14" t="s">
        <v>377</v>
      </c>
      <c r="C1756" t="s">
        <v>392</v>
      </c>
      <c r="D1756" s="18">
        <v>44196</v>
      </c>
      <c r="E1756" s="34">
        <v>44195</v>
      </c>
      <c r="F1756" s="34">
        <v>44204</v>
      </c>
      <c r="H1756" s="28" t="s">
        <v>210</v>
      </c>
      <c r="M1756" s="52">
        <v>4.870013988751432</v>
      </c>
    </row>
    <row r="1757" spans="1:13" x14ac:dyDescent="0.35">
      <c r="A1757" s="14" t="s">
        <v>391</v>
      </c>
      <c r="B1757" s="14" t="s">
        <v>377</v>
      </c>
      <c r="C1757" t="s">
        <v>392</v>
      </c>
      <c r="D1757" s="18">
        <v>44196</v>
      </c>
      <c r="E1757" s="34">
        <v>44195</v>
      </c>
      <c r="F1757" s="34">
        <v>44204</v>
      </c>
      <c r="H1757" s="28" t="s">
        <v>31</v>
      </c>
      <c r="K1757" t="s">
        <v>381</v>
      </c>
      <c r="L1757">
        <v>30</v>
      </c>
      <c r="M1757" s="52">
        <v>4.870013988751432</v>
      </c>
    </row>
    <row r="1758" spans="1:13" x14ac:dyDescent="0.35">
      <c r="A1758" s="14" t="s">
        <v>391</v>
      </c>
      <c r="B1758" s="14" t="s">
        <v>377</v>
      </c>
      <c r="C1758" t="s">
        <v>392</v>
      </c>
      <c r="D1758" s="18">
        <v>44196</v>
      </c>
      <c r="E1758" s="34">
        <v>44195</v>
      </c>
      <c r="F1758" s="34">
        <v>44204</v>
      </c>
      <c r="H1758" s="28" t="s">
        <v>56</v>
      </c>
      <c r="K1758" t="s">
        <v>381</v>
      </c>
      <c r="L1758">
        <v>50</v>
      </c>
      <c r="M1758" s="52">
        <v>4.870013988751432</v>
      </c>
    </row>
    <row r="1759" spans="1:13" x14ac:dyDescent="0.35">
      <c r="A1759" s="14" t="s">
        <v>391</v>
      </c>
      <c r="B1759" s="14" t="s">
        <v>377</v>
      </c>
      <c r="C1759" t="s">
        <v>392</v>
      </c>
      <c r="D1759" s="18">
        <v>44196</v>
      </c>
      <c r="E1759" s="34">
        <v>44195</v>
      </c>
      <c r="F1759" s="34">
        <v>44204</v>
      </c>
      <c r="H1759" s="28" t="s">
        <v>263</v>
      </c>
      <c r="M1759" s="52">
        <v>4.870013988751432</v>
      </c>
    </row>
    <row r="1760" spans="1:13" x14ac:dyDescent="0.35">
      <c r="A1760" s="14" t="s">
        <v>391</v>
      </c>
      <c r="B1760" s="14" t="s">
        <v>377</v>
      </c>
      <c r="C1760" t="s">
        <v>392</v>
      </c>
      <c r="D1760" s="18">
        <v>44196</v>
      </c>
      <c r="E1760" s="34">
        <v>44195</v>
      </c>
      <c r="F1760" s="34">
        <v>44204</v>
      </c>
      <c r="H1760" s="28" t="s">
        <v>287</v>
      </c>
      <c r="M1760" s="52">
        <v>4.870013988751432</v>
      </c>
    </row>
    <row r="1761" spans="1:13" x14ac:dyDescent="0.35">
      <c r="A1761" s="14" t="s">
        <v>391</v>
      </c>
      <c r="B1761" s="14" t="s">
        <v>377</v>
      </c>
      <c r="C1761" t="s">
        <v>392</v>
      </c>
      <c r="D1761" s="18">
        <v>44196</v>
      </c>
      <c r="E1761" s="34">
        <v>44195</v>
      </c>
      <c r="F1761" s="34">
        <v>44204</v>
      </c>
      <c r="H1761" s="28" t="s">
        <v>307</v>
      </c>
      <c r="M1761" s="52">
        <v>4.870013988751432</v>
      </c>
    </row>
    <row r="1762" spans="1:13" x14ac:dyDescent="0.35">
      <c r="A1762" s="14" t="s">
        <v>391</v>
      </c>
      <c r="B1762" s="14" t="s">
        <v>377</v>
      </c>
      <c r="C1762" t="s">
        <v>392</v>
      </c>
      <c r="D1762" s="18">
        <v>44196</v>
      </c>
      <c r="E1762" s="34">
        <v>44195</v>
      </c>
      <c r="F1762" s="34">
        <v>44204</v>
      </c>
      <c r="H1762" s="28" t="s">
        <v>311</v>
      </c>
      <c r="M1762" s="52">
        <v>4.870013988751432</v>
      </c>
    </row>
    <row r="1763" spans="1:13" x14ac:dyDescent="0.35">
      <c r="A1763" s="14" t="s">
        <v>391</v>
      </c>
      <c r="B1763" s="14" t="s">
        <v>377</v>
      </c>
      <c r="C1763" t="s">
        <v>392</v>
      </c>
      <c r="D1763" s="18">
        <v>44196</v>
      </c>
      <c r="E1763" s="34">
        <v>44195</v>
      </c>
      <c r="F1763" s="34">
        <v>44204</v>
      </c>
      <c r="H1763" s="28" t="s">
        <v>313</v>
      </c>
      <c r="K1763" t="s">
        <v>381</v>
      </c>
      <c r="L1763">
        <v>50</v>
      </c>
      <c r="M1763" s="52">
        <v>4.870013988751432</v>
      </c>
    </row>
    <row r="1764" spans="1:13" x14ac:dyDescent="0.35">
      <c r="A1764" s="14" t="s">
        <v>391</v>
      </c>
      <c r="B1764" s="14" t="s">
        <v>377</v>
      </c>
      <c r="C1764" t="s">
        <v>392</v>
      </c>
      <c r="D1764" s="18">
        <v>44196</v>
      </c>
      <c r="E1764" s="34">
        <v>44195</v>
      </c>
      <c r="F1764" s="34">
        <v>44204</v>
      </c>
      <c r="H1764" s="28" t="s">
        <v>327</v>
      </c>
      <c r="K1764" t="s">
        <v>380</v>
      </c>
      <c r="L1764">
        <v>6</v>
      </c>
      <c r="M1764" s="52">
        <v>4.870013988751432</v>
      </c>
    </row>
    <row r="1765" spans="1:13" x14ac:dyDescent="0.35">
      <c r="A1765" s="14" t="s">
        <v>391</v>
      </c>
      <c r="B1765" s="14" t="s">
        <v>377</v>
      </c>
      <c r="C1765" t="s">
        <v>392</v>
      </c>
      <c r="D1765" s="18">
        <v>44196</v>
      </c>
      <c r="E1765" s="34">
        <v>44195</v>
      </c>
      <c r="F1765" s="34">
        <v>44204</v>
      </c>
      <c r="H1765" s="28" t="s">
        <v>335</v>
      </c>
      <c r="M1765" s="52">
        <v>4.870013988751432</v>
      </c>
    </row>
    <row r="1766" spans="1:13" x14ac:dyDescent="0.35">
      <c r="A1766" s="14" t="s">
        <v>391</v>
      </c>
      <c r="B1766" s="14" t="s">
        <v>377</v>
      </c>
      <c r="C1766" t="s">
        <v>392</v>
      </c>
      <c r="D1766" s="18">
        <v>44196</v>
      </c>
      <c r="E1766" s="34">
        <v>44195</v>
      </c>
      <c r="F1766" s="34">
        <v>44204</v>
      </c>
      <c r="H1766" s="28" t="s">
        <v>339</v>
      </c>
      <c r="M1766" s="52">
        <v>4.870013988751432</v>
      </c>
    </row>
    <row r="1767" spans="1:13" x14ac:dyDescent="0.35">
      <c r="A1767" s="14" t="s">
        <v>391</v>
      </c>
      <c r="B1767" s="14" t="s">
        <v>377</v>
      </c>
      <c r="C1767" t="s">
        <v>392</v>
      </c>
      <c r="D1767" s="18">
        <v>44196</v>
      </c>
      <c r="E1767" s="34">
        <v>44195</v>
      </c>
      <c r="F1767" s="34">
        <v>44204</v>
      </c>
      <c r="H1767" s="28" t="s">
        <v>345</v>
      </c>
      <c r="K1767" t="s">
        <v>381</v>
      </c>
      <c r="L1767">
        <v>50</v>
      </c>
      <c r="M1767" s="52">
        <v>4.870013988751432</v>
      </c>
    </row>
    <row r="1768" spans="1:13" x14ac:dyDescent="0.35">
      <c r="A1768" s="14" t="s">
        <v>391</v>
      </c>
      <c r="B1768" s="14" t="s">
        <v>377</v>
      </c>
      <c r="C1768" t="s">
        <v>392</v>
      </c>
      <c r="D1768" s="18">
        <v>44196</v>
      </c>
      <c r="E1768" s="34">
        <v>44195</v>
      </c>
      <c r="F1768" s="34">
        <v>44204</v>
      </c>
      <c r="H1768" s="28" t="s">
        <v>59</v>
      </c>
      <c r="M1768" s="52">
        <v>4.870013988751432</v>
      </c>
    </row>
    <row r="1769" spans="1:13" x14ac:dyDescent="0.35">
      <c r="A1769" s="14" t="s">
        <v>391</v>
      </c>
      <c r="B1769" s="14" t="s">
        <v>377</v>
      </c>
      <c r="C1769" t="s">
        <v>394</v>
      </c>
      <c r="D1769" s="18">
        <v>44201</v>
      </c>
      <c r="E1769" s="34">
        <v>44196</v>
      </c>
      <c r="F1769" s="34">
        <v>44201</v>
      </c>
      <c r="H1769" s="28" t="s">
        <v>68</v>
      </c>
      <c r="M1769" s="52">
        <v>49.757241896801077</v>
      </c>
    </row>
    <row r="1770" spans="1:13" x14ac:dyDescent="0.35">
      <c r="A1770" s="14" t="s">
        <v>391</v>
      </c>
      <c r="B1770" s="14" t="s">
        <v>377</v>
      </c>
      <c r="C1770" t="s">
        <v>394</v>
      </c>
      <c r="D1770" s="18">
        <v>44201</v>
      </c>
      <c r="E1770" s="34">
        <v>44196</v>
      </c>
      <c r="F1770" s="34">
        <v>44201</v>
      </c>
      <c r="H1770" s="28" t="s">
        <v>96</v>
      </c>
      <c r="M1770" s="52">
        <v>49.757241896801077</v>
      </c>
    </row>
    <row r="1771" spans="1:13" x14ac:dyDescent="0.35">
      <c r="A1771" s="14" t="s">
        <v>391</v>
      </c>
      <c r="B1771" s="14" t="s">
        <v>377</v>
      </c>
      <c r="C1771" t="s">
        <v>394</v>
      </c>
      <c r="D1771" s="18">
        <v>44201</v>
      </c>
      <c r="E1771" s="34">
        <v>44196</v>
      </c>
      <c r="F1771" s="34">
        <v>44201</v>
      </c>
      <c r="H1771" s="28" t="s">
        <v>72</v>
      </c>
      <c r="M1771" s="52">
        <v>49.757241896801077</v>
      </c>
    </row>
    <row r="1772" spans="1:13" x14ac:dyDescent="0.35">
      <c r="A1772" s="14" t="s">
        <v>391</v>
      </c>
      <c r="B1772" s="14" t="s">
        <v>377</v>
      </c>
      <c r="C1772" t="s">
        <v>394</v>
      </c>
      <c r="D1772" s="18">
        <v>44201</v>
      </c>
      <c r="E1772" s="34">
        <v>44196</v>
      </c>
      <c r="F1772" s="34">
        <v>44201</v>
      </c>
      <c r="H1772" s="28" t="s">
        <v>47</v>
      </c>
      <c r="K1772" t="s">
        <v>381</v>
      </c>
      <c r="L1772">
        <v>20</v>
      </c>
      <c r="M1772" s="52">
        <v>49.757241896801077</v>
      </c>
    </row>
    <row r="1773" spans="1:13" x14ac:dyDescent="0.35">
      <c r="A1773" s="14" t="s">
        <v>391</v>
      </c>
      <c r="B1773" s="14" t="s">
        <v>377</v>
      </c>
      <c r="C1773" t="s">
        <v>394</v>
      </c>
      <c r="D1773" s="18">
        <v>44201</v>
      </c>
      <c r="E1773" s="34">
        <v>44196</v>
      </c>
      <c r="F1773" s="34">
        <v>44201</v>
      </c>
      <c r="H1773" s="28" t="s">
        <v>50</v>
      </c>
      <c r="K1773" t="s">
        <v>381</v>
      </c>
      <c r="L1773">
        <v>50</v>
      </c>
      <c r="M1773" s="52">
        <v>49.757241896801077</v>
      </c>
    </row>
    <row r="1774" spans="1:13" x14ac:dyDescent="0.35">
      <c r="A1774" s="14" t="s">
        <v>391</v>
      </c>
      <c r="B1774" s="14" t="s">
        <v>377</v>
      </c>
      <c r="C1774" t="s">
        <v>394</v>
      </c>
      <c r="D1774" s="18">
        <v>44201</v>
      </c>
      <c r="E1774" s="34">
        <v>44196</v>
      </c>
      <c r="F1774" s="34">
        <v>44201</v>
      </c>
      <c r="H1774" s="28" t="s">
        <v>41</v>
      </c>
      <c r="K1774" t="s">
        <v>381</v>
      </c>
      <c r="L1774">
        <v>50</v>
      </c>
      <c r="M1774" s="52">
        <v>49.757241896801077</v>
      </c>
    </row>
    <row r="1775" spans="1:13" x14ac:dyDescent="0.35">
      <c r="A1775" s="14" t="s">
        <v>391</v>
      </c>
      <c r="B1775" s="14" t="s">
        <v>377</v>
      </c>
      <c r="C1775" t="s">
        <v>394</v>
      </c>
      <c r="D1775" s="18">
        <v>44201</v>
      </c>
      <c r="E1775" s="34">
        <v>44196</v>
      </c>
      <c r="F1775" s="34">
        <v>44201</v>
      </c>
      <c r="H1775" s="28" t="s">
        <v>39</v>
      </c>
      <c r="K1775" t="s">
        <v>381</v>
      </c>
      <c r="L1775">
        <v>25</v>
      </c>
      <c r="M1775" s="52">
        <v>49.757241896801077</v>
      </c>
    </row>
    <row r="1776" spans="1:13" x14ac:dyDescent="0.35">
      <c r="A1776" s="14" t="s">
        <v>391</v>
      </c>
      <c r="B1776" s="14" t="s">
        <v>377</v>
      </c>
      <c r="C1776" t="s">
        <v>394</v>
      </c>
      <c r="D1776" s="18">
        <v>44201</v>
      </c>
      <c r="E1776" s="34">
        <v>44196</v>
      </c>
      <c r="F1776" s="34">
        <v>44201</v>
      </c>
      <c r="H1776" s="28" t="s">
        <v>116</v>
      </c>
      <c r="K1776" t="s">
        <v>381</v>
      </c>
      <c r="L1776">
        <v>25</v>
      </c>
      <c r="M1776" s="52">
        <v>49.757241896801077</v>
      </c>
    </row>
    <row r="1777" spans="1:13" x14ac:dyDescent="0.35">
      <c r="A1777" s="14" t="s">
        <v>391</v>
      </c>
      <c r="B1777" s="14" t="s">
        <v>377</v>
      </c>
      <c r="C1777" t="s">
        <v>394</v>
      </c>
      <c r="D1777" s="18">
        <v>44201</v>
      </c>
      <c r="E1777" s="34">
        <v>44196</v>
      </c>
      <c r="F1777" s="34">
        <v>44201</v>
      </c>
      <c r="H1777" s="28" t="s">
        <v>123</v>
      </c>
      <c r="M1777" s="52">
        <v>49.757241896801077</v>
      </c>
    </row>
    <row r="1778" spans="1:13" x14ac:dyDescent="0.35">
      <c r="A1778" s="14" t="s">
        <v>391</v>
      </c>
      <c r="B1778" s="14" t="s">
        <v>377</v>
      </c>
      <c r="C1778" t="s">
        <v>394</v>
      </c>
      <c r="D1778" s="18">
        <v>44201</v>
      </c>
      <c r="E1778" s="34">
        <v>44196</v>
      </c>
      <c r="F1778" s="34">
        <v>44201</v>
      </c>
      <c r="H1778" s="28" t="s">
        <v>150</v>
      </c>
      <c r="M1778" s="52">
        <v>49.757241896801077</v>
      </c>
    </row>
    <row r="1779" spans="1:13" x14ac:dyDescent="0.35">
      <c r="A1779" s="14" t="s">
        <v>391</v>
      </c>
      <c r="B1779" s="14" t="s">
        <v>377</v>
      </c>
      <c r="C1779" t="s">
        <v>394</v>
      </c>
      <c r="D1779" s="18">
        <v>44201</v>
      </c>
      <c r="E1779" s="34">
        <v>44196</v>
      </c>
      <c r="F1779" s="34">
        <v>44201</v>
      </c>
      <c r="H1779" s="28" t="s">
        <v>125</v>
      </c>
      <c r="M1779" s="52">
        <v>49.757241896801077</v>
      </c>
    </row>
    <row r="1780" spans="1:13" x14ac:dyDescent="0.35">
      <c r="A1780" s="14" t="s">
        <v>391</v>
      </c>
      <c r="B1780" s="14" t="s">
        <v>377</v>
      </c>
      <c r="C1780" t="s">
        <v>394</v>
      </c>
      <c r="D1780" s="18">
        <v>44201</v>
      </c>
      <c r="E1780" s="34">
        <v>44196</v>
      </c>
      <c r="F1780" s="34">
        <v>44201</v>
      </c>
      <c r="H1780" s="28" t="s">
        <v>127</v>
      </c>
      <c r="M1780" s="52">
        <v>49.757241896801077</v>
      </c>
    </row>
    <row r="1781" spans="1:13" x14ac:dyDescent="0.35">
      <c r="A1781" s="14" t="s">
        <v>391</v>
      </c>
      <c r="B1781" s="14" t="s">
        <v>377</v>
      </c>
      <c r="C1781" t="s">
        <v>394</v>
      </c>
      <c r="D1781" s="18">
        <v>44201</v>
      </c>
      <c r="E1781" s="34">
        <v>44196</v>
      </c>
      <c r="F1781" s="34">
        <v>44201</v>
      </c>
      <c r="H1781" s="28" t="s">
        <v>42</v>
      </c>
      <c r="K1781" t="s">
        <v>380</v>
      </c>
      <c r="L1781">
        <v>6</v>
      </c>
      <c r="M1781" s="52">
        <v>49.757241896801077</v>
      </c>
    </row>
    <row r="1782" spans="1:13" x14ac:dyDescent="0.35">
      <c r="A1782" s="14" t="s">
        <v>391</v>
      </c>
      <c r="B1782" s="14" t="s">
        <v>377</v>
      </c>
      <c r="C1782" t="s">
        <v>394</v>
      </c>
      <c r="D1782" s="18">
        <v>44201</v>
      </c>
      <c r="E1782" s="34">
        <v>44196</v>
      </c>
      <c r="F1782" s="34">
        <v>44201</v>
      </c>
      <c r="H1782" s="28" t="s">
        <v>25</v>
      </c>
      <c r="K1782" t="s">
        <v>381</v>
      </c>
      <c r="L1782">
        <v>20</v>
      </c>
      <c r="M1782" s="52">
        <v>49.757241896801077</v>
      </c>
    </row>
    <row r="1783" spans="1:13" x14ac:dyDescent="0.35">
      <c r="A1783" s="14" t="s">
        <v>391</v>
      </c>
      <c r="B1783" s="14" t="s">
        <v>377</v>
      </c>
      <c r="C1783" t="s">
        <v>394</v>
      </c>
      <c r="D1783" s="18">
        <v>44201</v>
      </c>
      <c r="E1783" s="34">
        <v>44196</v>
      </c>
      <c r="F1783" s="34">
        <v>44201</v>
      </c>
      <c r="H1783" s="28" t="s">
        <v>23</v>
      </c>
      <c r="K1783" t="s">
        <v>380</v>
      </c>
      <c r="L1783">
        <v>6</v>
      </c>
      <c r="M1783" s="52">
        <v>49.757241896801077</v>
      </c>
    </row>
    <row r="1784" spans="1:13" x14ac:dyDescent="0.35">
      <c r="A1784" s="14" t="s">
        <v>391</v>
      </c>
      <c r="B1784" s="14" t="s">
        <v>377</v>
      </c>
      <c r="C1784" t="s">
        <v>394</v>
      </c>
      <c r="D1784" s="18">
        <v>44201</v>
      </c>
      <c r="E1784" s="34">
        <v>44196</v>
      </c>
      <c r="F1784" s="34">
        <v>44201</v>
      </c>
      <c r="H1784" s="28" t="s">
        <v>24</v>
      </c>
      <c r="K1784" t="s">
        <v>380</v>
      </c>
      <c r="L1784">
        <v>6</v>
      </c>
      <c r="M1784" s="52">
        <v>49.757241896801077</v>
      </c>
    </row>
    <row r="1785" spans="1:13" x14ac:dyDescent="0.35">
      <c r="A1785" s="14" t="s">
        <v>391</v>
      </c>
      <c r="B1785" s="14" t="s">
        <v>377</v>
      </c>
      <c r="C1785" t="s">
        <v>394</v>
      </c>
      <c r="D1785" s="18">
        <v>44201</v>
      </c>
      <c r="E1785" s="34">
        <v>44196</v>
      </c>
      <c r="F1785" s="34">
        <v>44201</v>
      </c>
      <c r="H1785" s="28" t="s">
        <v>23</v>
      </c>
      <c r="K1785" t="s">
        <v>380</v>
      </c>
      <c r="L1785">
        <v>10</v>
      </c>
      <c r="M1785" s="52">
        <v>49.757241896801077</v>
      </c>
    </row>
    <row r="1786" spans="1:13" x14ac:dyDescent="0.35">
      <c r="A1786" s="14" t="s">
        <v>391</v>
      </c>
      <c r="B1786" s="14" t="s">
        <v>377</v>
      </c>
      <c r="C1786" t="s">
        <v>394</v>
      </c>
      <c r="D1786" s="18">
        <v>44201</v>
      </c>
      <c r="E1786" s="34">
        <v>44196</v>
      </c>
      <c r="F1786" s="34">
        <v>44201</v>
      </c>
      <c r="H1786" s="28" t="s">
        <v>24</v>
      </c>
      <c r="K1786" t="s">
        <v>380</v>
      </c>
      <c r="L1786">
        <v>15</v>
      </c>
      <c r="M1786" s="52">
        <v>49.757241896801077</v>
      </c>
    </row>
    <row r="1787" spans="1:13" x14ac:dyDescent="0.35">
      <c r="A1787" s="14" t="s">
        <v>391</v>
      </c>
      <c r="B1787" s="14" t="s">
        <v>377</v>
      </c>
      <c r="C1787" t="s">
        <v>394</v>
      </c>
      <c r="D1787" s="18">
        <v>44201</v>
      </c>
      <c r="E1787" s="34">
        <v>44196</v>
      </c>
      <c r="F1787" s="34">
        <v>44201</v>
      </c>
      <c r="H1787" s="28" t="s">
        <v>27</v>
      </c>
      <c r="K1787" t="s">
        <v>380</v>
      </c>
      <c r="L1787">
        <v>10</v>
      </c>
      <c r="M1787" s="52">
        <v>49.757241896801077</v>
      </c>
    </row>
    <row r="1788" spans="1:13" x14ac:dyDescent="0.35">
      <c r="A1788" s="14" t="s">
        <v>391</v>
      </c>
      <c r="B1788" s="14" t="s">
        <v>377</v>
      </c>
      <c r="C1788" t="s">
        <v>394</v>
      </c>
      <c r="D1788" s="18">
        <v>44201</v>
      </c>
      <c r="E1788" s="34">
        <v>44196</v>
      </c>
      <c r="F1788" s="34">
        <v>44201</v>
      </c>
      <c r="H1788" s="28" t="s">
        <v>28</v>
      </c>
      <c r="K1788" t="s">
        <v>380</v>
      </c>
      <c r="L1788">
        <v>15</v>
      </c>
      <c r="M1788" s="52">
        <v>49.757241896801077</v>
      </c>
    </row>
    <row r="1789" spans="1:13" x14ac:dyDescent="0.35">
      <c r="A1789" s="14" t="s">
        <v>391</v>
      </c>
      <c r="B1789" s="14" t="s">
        <v>377</v>
      </c>
      <c r="C1789" t="s">
        <v>394</v>
      </c>
      <c r="D1789" s="18">
        <v>44201</v>
      </c>
      <c r="E1789" s="34">
        <v>44196</v>
      </c>
      <c r="F1789" s="34">
        <v>44201</v>
      </c>
      <c r="H1789" s="28" t="s">
        <v>30</v>
      </c>
      <c r="K1789" t="s">
        <v>381</v>
      </c>
      <c r="L1789">
        <v>33</v>
      </c>
      <c r="M1789" s="52">
        <v>49.757241896801077</v>
      </c>
    </row>
    <row r="1790" spans="1:13" x14ac:dyDescent="0.35">
      <c r="A1790" s="14" t="s">
        <v>391</v>
      </c>
      <c r="B1790" s="14" t="s">
        <v>377</v>
      </c>
      <c r="C1790" t="s">
        <v>394</v>
      </c>
      <c r="D1790" s="18">
        <v>44201</v>
      </c>
      <c r="E1790" s="34">
        <v>44196</v>
      </c>
      <c r="F1790" s="34">
        <v>44201</v>
      </c>
      <c r="H1790" s="28" t="s">
        <v>29</v>
      </c>
      <c r="K1790" t="s">
        <v>381</v>
      </c>
      <c r="L1790">
        <v>33</v>
      </c>
      <c r="M1790" s="52">
        <v>49.757241896801077</v>
      </c>
    </row>
    <row r="1791" spans="1:13" x14ac:dyDescent="0.35">
      <c r="A1791" s="14" t="s">
        <v>391</v>
      </c>
      <c r="B1791" s="14" t="s">
        <v>377</v>
      </c>
      <c r="C1791" t="s">
        <v>394</v>
      </c>
      <c r="D1791" s="18">
        <v>44201</v>
      </c>
      <c r="E1791" s="34">
        <v>44196</v>
      </c>
      <c r="F1791" s="34">
        <v>44201</v>
      </c>
      <c r="H1791" s="28" t="s">
        <v>188</v>
      </c>
      <c r="M1791" s="52">
        <v>49.757241896801077</v>
      </c>
    </row>
    <row r="1792" spans="1:13" x14ac:dyDescent="0.35">
      <c r="A1792" s="14" t="s">
        <v>391</v>
      </c>
      <c r="B1792" s="14" t="s">
        <v>377</v>
      </c>
      <c r="C1792" t="s">
        <v>394</v>
      </c>
      <c r="D1792" s="18">
        <v>44201</v>
      </c>
      <c r="E1792" s="34">
        <v>44196</v>
      </c>
      <c r="F1792" s="34">
        <v>44201</v>
      </c>
      <c r="H1792" s="28" t="s">
        <v>190</v>
      </c>
      <c r="M1792" s="52">
        <v>49.757241896801077</v>
      </c>
    </row>
    <row r="1793" spans="1:13" x14ac:dyDescent="0.35">
      <c r="A1793" s="14" t="s">
        <v>391</v>
      </c>
      <c r="B1793" s="14" t="s">
        <v>377</v>
      </c>
      <c r="C1793" t="s">
        <v>394</v>
      </c>
      <c r="D1793" s="18">
        <v>44201</v>
      </c>
      <c r="E1793" s="34">
        <v>44196</v>
      </c>
      <c r="F1793" s="34">
        <v>44201</v>
      </c>
      <c r="H1793" s="28" t="s">
        <v>192</v>
      </c>
      <c r="M1793" s="52">
        <v>49.757241896801077</v>
      </c>
    </row>
    <row r="1794" spans="1:13" x14ac:dyDescent="0.35">
      <c r="A1794" s="14" t="s">
        <v>391</v>
      </c>
      <c r="B1794" s="14" t="s">
        <v>377</v>
      </c>
      <c r="C1794" t="s">
        <v>394</v>
      </c>
      <c r="D1794" s="18">
        <v>44201</v>
      </c>
      <c r="E1794" s="34">
        <v>44196</v>
      </c>
      <c r="F1794" s="34">
        <v>44201</v>
      </c>
      <c r="H1794" s="28" t="s">
        <v>198</v>
      </c>
      <c r="M1794" s="52">
        <v>49.757241896801077</v>
      </c>
    </row>
    <row r="1795" spans="1:13" x14ac:dyDescent="0.35">
      <c r="A1795" s="14" t="s">
        <v>391</v>
      </c>
      <c r="B1795" s="14" t="s">
        <v>377</v>
      </c>
      <c r="C1795" t="s">
        <v>394</v>
      </c>
      <c r="D1795" s="18">
        <v>44201</v>
      </c>
      <c r="E1795" s="34">
        <v>44196</v>
      </c>
      <c r="F1795" s="34">
        <v>44201</v>
      </c>
      <c r="H1795" s="28" t="s">
        <v>393</v>
      </c>
      <c r="M1795" s="52">
        <v>49.757241896801077</v>
      </c>
    </row>
    <row r="1796" spans="1:13" x14ac:dyDescent="0.35">
      <c r="A1796" s="14" t="s">
        <v>391</v>
      </c>
      <c r="B1796" s="14" t="s">
        <v>377</v>
      </c>
      <c r="C1796" t="s">
        <v>394</v>
      </c>
      <c r="D1796" s="18">
        <v>44201</v>
      </c>
      <c r="E1796" s="34">
        <v>44196</v>
      </c>
      <c r="F1796" s="34">
        <v>44201</v>
      </c>
      <c r="H1796" s="28" t="s">
        <v>204</v>
      </c>
      <c r="M1796" s="52">
        <v>49.757241896801077</v>
      </c>
    </row>
    <row r="1797" spans="1:13" x14ac:dyDescent="0.35">
      <c r="A1797" s="14" t="s">
        <v>391</v>
      </c>
      <c r="B1797" s="14" t="s">
        <v>377</v>
      </c>
      <c r="C1797" t="s">
        <v>394</v>
      </c>
      <c r="D1797" s="18">
        <v>44201</v>
      </c>
      <c r="E1797" s="34">
        <v>44196</v>
      </c>
      <c r="F1797" s="34">
        <v>44201</v>
      </c>
      <c r="H1797" s="28" t="s">
        <v>208</v>
      </c>
      <c r="M1797" s="52">
        <v>49.757241896801077</v>
      </c>
    </row>
    <row r="1798" spans="1:13" x14ac:dyDescent="0.35">
      <c r="A1798" s="14" t="s">
        <v>391</v>
      </c>
      <c r="B1798" s="14" t="s">
        <v>377</v>
      </c>
      <c r="C1798" t="s">
        <v>394</v>
      </c>
      <c r="D1798" s="18">
        <v>44201</v>
      </c>
      <c r="E1798" s="34">
        <v>44196</v>
      </c>
      <c r="F1798" s="34">
        <v>44201</v>
      </c>
      <c r="H1798" s="28" t="s">
        <v>210</v>
      </c>
      <c r="M1798" s="52">
        <v>49.757241896801077</v>
      </c>
    </row>
    <row r="1799" spans="1:13" x14ac:dyDescent="0.35">
      <c r="A1799" s="14" t="s">
        <v>391</v>
      </c>
      <c r="B1799" s="14" t="s">
        <v>377</v>
      </c>
      <c r="C1799" t="s">
        <v>394</v>
      </c>
      <c r="D1799" s="18">
        <v>44201</v>
      </c>
      <c r="E1799" s="34">
        <v>44196</v>
      </c>
      <c r="F1799" s="34">
        <v>44201</v>
      </c>
      <c r="H1799" s="28" t="s">
        <v>403</v>
      </c>
      <c r="M1799" s="52">
        <v>49.757241896801077</v>
      </c>
    </row>
    <row r="1800" spans="1:13" x14ac:dyDescent="0.35">
      <c r="A1800" s="14" t="s">
        <v>391</v>
      </c>
      <c r="B1800" s="14" t="s">
        <v>377</v>
      </c>
      <c r="C1800" t="s">
        <v>394</v>
      </c>
      <c r="D1800" s="18">
        <v>44201</v>
      </c>
      <c r="E1800" s="34">
        <v>44196</v>
      </c>
      <c r="F1800" s="34">
        <v>44201</v>
      </c>
      <c r="H1800" s="28" t="s">
        <v>223</v>
      </c>
      <c r="M1800" s="52">
        <v>49.757241896801077</v>
      </c>
    </row>
    <row r="1801" spans="1:13" x14ac:dyDescent="0.35">
      <c r="A1801" s="14" t="s">
        <v>391</v>
      </c>
      <c r="B1801" s="14" t="s">
        <v>377</v>
      </c>
      <c r="C1801" t="s">
        <v>394</v>
      </c>
      <c r="D1801" s="18">
        <v>44201</v>
      </c>
      <c r="E1801" s="34">
        <v>44196</v>
      </c>
      <c r="F1801" s="34">
        <v>44201</v>
      </c>
      <c r="H1801" s="28" t="s">
        <v>31</v>
      </c>
      <c r="K1801" t="s">
        <v>381</v>
      </c>
      <c r="L1801">
        <v>30</v>
      </c>
      <c r="M1801" s="52">
        <v>49.757241896801077</v>
      </c>
    </row>
    <row r="1802" spans="1:13" x14ac:dyDescent="0.35">
      <c r="A1802" s="14" t="s">
        <v>391</v>
      </c>
      <c r="B1802" s="14" t="s">
        <v>377</v>
      </c>
      <c r="C1802" t="s">
        <v>394</v>
      </c>
      <c r="D1802" s="18">
        <v>44201</v>
      </c>
      <c r="E1802" s="34">
        <v>44196</v>
      </c>
      <c r="F1802" s="34">
        <v>44201</v>
      </c>
      <c r="H1802" s="28" t="s">
        <v>56</v>
      </c>
      <c r="K1802" t="s">
        <v>381</v>
      </c>
      <c r="L1802">
        <v>50</v>
      </c>
      <c r="M1802" s="52">
        <v>49.757241896801077</v>
      </c>
    </row>
    <row r="1803" spans="1:13" x14ac:dyDescent="0.35">
      <c r="A1803" s="14" t="s">
        <v>391</v>
      </c>
      <c r="B1803" s="14" t="s">
        <v>377</v>
      </c>
      <c r="C1803" t="s">
        <v>394</v>
      </c>
      <c r="D1803" s="18">
        <v>44201</v>
      </c>
      <c r="E1803" s="34">
        <v>44196</v>
      </c>
      <c r="F1803" s="34">
        <v>44201</v>
      </c>
      <c r="H1803" s="28" t="s">
        <v>263</v>
      </c>
      <c r="M1803" s="52">
        <v>49.757241896801077</v>
      </c>
    </row>
    <row r="1804" spans="1:13" x14ac:dyDescent="0.35">
      <c r="A1804" s="14" t="s">
        <v>391</v>
      </c>
      <c r="B1804" s="14" t="s">
        <v>377</v>
      </c>
      <c r="C1804" t="s">
        <v>394</v>
      </c>
      <c r="D1804" s="18">
        <v>44201</v>
      </c>
      <c r="E1804" s="34">
        <v>44196</v>
      </c>
      <c r="F1804" s="34">
        <v>44201</v>
      </c>
      <c r="H1804" s="28" t="s">
        <v>287</v>
      </c>
      <c r="M1804" s="52">
        <v>49.757241896801077</v>
      </c>
    </row>
    <row r="1805" spans="1:13" x14ac:dyDescent="0.35">
      <c r="A1805" s="14" t="s">
        <v>391</v>
      </c>
      <c r="B1805" s="14" t="s">
        <v>377</v>
      </c>
      <c r="C1805" t="s">
        <v>394</v>
      </c>
      <c r="D1805" s="18">
        <v>44201</v>
      </c>
      <c r="E1805" s="34">
        <v>44196</v>
      </c>
      <c r="F1805" s="34">
        <v>44201</v>
      </c>
      <c r="H1805" s="28" t="s">
        <v>287</v>
      </c>
      <c r="M1805" s="52">
        <v>49.757241896801077</v>
      </c>
    </row>
    <row r="1806" spans="1:13" x14ac:dyDescent="0.35">
      <c r="A1806" s="14" t="s">
        <v>391</v>
      </c>
      <c r="B1806" s="14" t="s">
        <v>377</v>
      </c>
      <c r="C1806" t="s">
        <v>394</v>
      </c>
      <c r="D1806" s="18">
        <v>44201</v>
      </c>
      <c r="E1806" s="34">
        <v>44196</v>
      </c>
      <c r="F1806" s="34">
        <v>44201</v>
      </c>
      <c r="H1806" s="28" t="s">
        <v>307</v>
      </c>
      <c r="M1806" s="52">
        <v>49.757241896801077</v>
      </c>
    </row>
    <row r="1807" spans="1:13" x14ac:dyDescent="0.35">
      <c r="A1807" s="14" t="s">
        <v>391</v>
      </c>
      <c r="B1807" s="14" t="s">
        <v>377</v>
      </c>
      <c r="C1807" t="s">
        <v>394</v>
      </c>
      <c r="D1807" s="18">
        <v>44201</v>
      </c>
      <c r="E1807" s="34">
        <v>44196</v>
      </c>
      <c r="F1807" s="34">
        <v>44201</v>
      </c>
      <c r="H1807" s="28" t="s">
        <v>309</v>
      </c>
      <c r="M1807" s="52">
        <v>49.757241896801077</v>
      </c>
    </row>
    <row r="1808" spans="1:13" x14ac:dyDescent="0.35">
      <c r="A1808" s="14" t="s">
        <v>391</v>
      </c>
      <c r="B1808" s="14" t="s">
        <v>377</v>
      </c>
      <c r="C1808" t="s">
        <v>394</v>
      </c>
      <c r="D1808" s="18">
        <v>44201</v>
      </c>
      <c r="E1808" s="34">
        <v>44196</v>
      </c>
      <c r="F1808" s="34">
        <v>44201</v>
      </c>
      <c r="H1808" s="28" t="s">
        <v>311</v>
      </c>
      <c r="M1808" s="52">
        <v>49.757241896801077</v>
      </c>
    </row>
    <row r="1809" spans="1:13" x14ac:dyDescent="0.35">
      <c r="A1809" s="14" t="s">
        <v>391</v>
      </c>
      <c r="B1809" s="14" t="s">
        <v>377</v>
      </c>
      <c r="C1809" t="s">
        <v>394</v>
      </c>
      <c r="D1809" s="18">
        <v>44201</v>
      </c>
      <c r="E1809" s="34">
        <v>44196</v>
      </c>
      <c r="F1809" s="34">
        <v>44201</v>
      </c>
      <c r="H1809" s="28" t="s">
        <v>313</v>
      </c>
      <c r="K1809" t="s">
        <v>381</v>
      </c>
      <c r="L1809">
        <v>50</v>
      </c>
      <c r="M1809" s="52">
        <v>49.757241896801077</v>
      </c>
    </row>
    <row r="1810" spans="1:13" x14ac:dyDescent="0.35">
      <c r="A1810" s="14" t="s">
        <v>391</v>
      </c>
      <c r="B1810" s="14" t="s">
        <v>377</v>
      </c>
      <c r="C1810" t="s">
        <v>394</v>
      </c>
      <c r="D1810" s="18">
        <v>44201</v>
      </c>
      <c r="E1810" s="34">
        <v>44196</v>
      </c>
      <c r="F1810" s="34">
        <v>44201</v>
      </c>
      <c r="H1810" s="28" t="s">
        <v>315</v>
      </c>
      <c r="K1810" t="s">
        <v>381</v>
      </c>
      <c r="L1810">
        <v>30</v>
      </c>
      <c r="M1810" s="52">
        <v>49.757241896801077</v>
      </c>
    </row>
    <row r="1811" spans="1:13" x14ac:dyDescent="0.35">
      <c r="A1811" s="14" t="s">
        <v>391</v>
      </c>
      <c r="B1811" s="14" t="s">
        <v>377</v>
      </c>
      <c r="C1811" t="s">
        <v>394</v>
      </c>
      <c r="D1811" s="18">
        <v>44201</v>
      </c>
      <c r="E1811" s="34">
        <v>44196</v>
      </c>
      <c r="F1811" s="34">
        <v>44201</v>
      </c>
      <c r="H1811" s="28" t="s">
        <v>32</v>
      </c>
      <c r="K1811" t="s">
        <v>380</v>
      </c>
      <c r="L1811">
        <v>6</v>
      </c>
      <c r="M1811" s="52">
        <v>49.757241896801077</v>
      </c>
    </row>
    <row r="1812" spans="1:13" x14ac:dyDescent="0.35">
      <c r="A1812" s="14" t="s">
        <v>391</v>
      </c>
      <c r="B1812" s="14" t="s">
        <v>377</v>
      </c>
      <c r="C1812" t="s">
        <v>394</v>
      </c>
      <c r="D1812" s="18">
        <v>44201</v>
      </c>
      <c r="E1812" s="34">
        <v>44196</v>
      </c>
      <c r="F1812" s="34">
        <v>44201</v>
      </c>
      <c r="H1812" s="28" t="s">
        <v>60</v>
      </c>
      <c r="K1812" t="s">
        <v>380</v>
      </c>
      <c r="L1812">
        <v>6</v>
      </c>
      <c r="M1812" s="52">
        <v>49.757241896801077</v>
      </c>
    </row>
    <row r="1813" spans="1:13" x14ac:dyDescent="0.35">
      <c r="A1813" s="14" t="s">
        <v>391</v>
      </c>
      <c r="B1813" s="14" t="s">
        <v>377</v>
      </c>
      <c r="C1813" t="s">
        <v>394</v>
      </c>
      <c r="D1813" s="18">
        <v>44201</v>
      </c>
      <c r="E1813" s="34">
        <v>44196</v>
      </c>
      <c r="F1813" s="34">
        <v>44201</v>
      </c>
      <c r="H1813" s="28" t="s">
        <v>327</v>
      </c>
      <c r="K1813" t="s">
        <v>380</v>
      </c>
      <c r="L1813">
        <v>6</v>
      </c>
      <c r="M1813" s="52">
        <v>49.757241896801077</v>
      </c>
    </row>
    <row r="1814" spans="1:13" x14ac:dyDescent="0.35">
      <c r="A1814" s="14" t="s">
        <v>391</v>
      </c>
      <c r="B1814" s="14" t="s">
        <v>377</v>
      </c>
      <c r="C1814" t="s">
        <v>394</v>
      </c>
      <c r="D1814" s="18">
        <v>44201</v>
      </c>
      <c r="E1814" s="34">
        <v>44196</v>
      </c>
      <c r="F1814" s="34">
        <v>44201</v>
      </c>
      <c r="H1814" s="28" t="s">
        <v>335</v>
      </c>
      <c r="M1814" s="52">
        <v>49.757241896801077</v>
      </c>
    </row>
    <row r="1815" spans="1:13" x14ac:dyDescent="0.35">
      <c r="A1815" s="14" t="s">
        <v>391</v>
      </c>
      <c r="B1815" s="14" t="s">
        <v>377</v>
      </c>
      <c r="C1815" t="s">
        <v>394</v>
      </c>
      <c r="D1815" s="18">
        <v>44201</v>
      </c>
      <c r="E1815" s="34">
        <v>44196</v>
      </c>
      <c r="F1815" s="34">
        <v>44201</v>
      </c>
      <c r="H1815" s="28" t="s">
        <v>339</v>
      </c>
      <c r="M1815" s="52">
        <v>49.757241896801077</v>
      </c>
    </row>
    <row r="1816" spans="1:13" x14ac:dyDescent="0.35">
      <c r="A1816" s="14" t="s">
        <v>391</v>
      </c>
      <c r="B1816" s="14" t="s">
        <v>377</v>
      </c>
      <c r="C1816" t="s">
        <v>394</v>
      </c>
      <c r="D1816" s="18">
        <v>44201</v>
      </c>
      <c r="E1816" s="34">
        <v>44196</v>
      </c>
      <c r="F1816" s="34">
        <v>44201</v>
      </c>
      <c r="H1816" s="28" t="s">
        <v>341</v>
      </c>
      <c r="M1816" s="52">
        <v>49.757241896801077</v>
      </c>
    </row>
    <row r="1817" spans="1:13" x14ac:dyDescent="0.35">
      <c r="A1817" s="14" t="s">
        <v>391</v>
      </c>
      <c r="B1817" s="14" t="s">
        <v>377</v>
      </c>
      <c r="C1817" t="s">
        <v>394</v>
      </c>
      <c r="D1817" s="18">
        <v>44201</v>
      </c>
      <c r="E1817" s="34">
        <v>44196</v>
      </c>
      <c r="F1817" s="34">
        <v>44201</v>
      </c>
      <c r="H1817" s="28" t="s">
        <v>345</v>
      </c>
      <c r="K1817" t="s">
        <v>381</v>
      </c>
      <c r="L1817">
        <v>50</v>
      </c>
      <c r="M1817" s="52">
        <v>49.757241896801077</v>
      </c>
    </row>
    <row r="1818" spans="1:13" x14ac:dyDescent="0.35">
      <c r="A1818" s="14" t="s">
        <v>391</v>
      </c>
      <c r="B1818" s="14" t="s">
        <v>377</v>
      </c>
      <c r="C1818" t="s">
        <v>394</v>
      </c>
      <c r="D1818" s="18">
        <v>44201</v>
      </c>
      <c r="E1818" s="34">
        <v>44196</v>
      </c>
      <c r="F1818" s="34">
        <v>44201</v>
      </c>
      <c r="H1818" s="28" t="s">
        <v>59</v>
      </c>
      <c r="M1818" s="52">
        <v>49.757241896801077</v>
      </c>
    </row>
    <row r="1819" spans="1:13" x14ac:dyDescent="0.35">
      <c r="A1819" s="14" t="s">
        <v>391</v>
      </c>
      <c r="B1819" s="14" t="s">
        <v>377</v>
      </c>
      <c r="C1819" t="s">
        <v>394</v>
      </c>
      <c r="D1819" s="18">
        <v>44201</v>
      </c>
      <c r="E1819" s="34">
        <v>44196</v>
      </c>
      <c r="F1819" s="34">
        <v>44201</v>
      </c>
      <c r="H1819" s="28" t="s">
        <v>360</v>
      </c>
      <c r="M1819" s="52">
        <v>49.757241896801077</v>
      </c>
    </row>
    <row r="1820" spans="1:13" x14ac:dyDescent="0.35">
      <c r="A1820" s="14" t="s">
        <v>391</v>
      </c>
      <c r="B1820" s="14" t="s">
        <v>377</v>
      </c>
      <c r="C1820" t="s">
        <v>397</v>
      </c>
      <c r="D1820" s="18">
        <v>44203</v>
      </c>
      <c r="E1820" s="34">
        <v>44196</v>
      </c>
      <c r="F1820" s="34">
        <v>44208</v>
      </c>
      <c r="H1820" s="28" t="s">
        <v>68</v>
      </c>
      <c r="M1820" s="52">
        <v>41.654569625475609</v>
      </c>
    </row>
    <row r="1821" spans="1:13" x14ac:dyDescent="0.35">
      <c r="A1821" s="14" t="s">
        <v>391</v>
      </c>
      <c r="B1821" s="14" t="s">
        <v>377</v>
      </c>
      <c r="C1821" t="s">
        <v>397</v>
      </c>
      <c r="D1821" s="18">
        <v>44203</v>
      </c>
      <c r="E1821" s="34">
        <v>44196</v>
      </c>
      <c r="F1821" s="34">
        <v>44208</v>
      </c>
      <c r="H1821" s="28" t="s">
        <v>72</v>
      </c>
      <c r="M1821" s="52">
        <v>41.654569625475609</v>
      </c>
    </row>
    <row r="1822" spans="1:13" x14ac:dyDescent="0.35">
      <c r="A1822" s="14" t="s">
        <v>391</v>
      </c>
      <c r="B1822" s="14" t="s">
        <v>377</v>
      </c>
      <c r="C1822" t="s">
        <v>397</v>
      </c>
      <c r="D1822" s="18">
        <v>44203</v>
      </c>
      <c r="E1822" s="34">
        <v>44196</v>
      </c>
      <c r="F1822" s="34">
        <v>44208</v>
      </c>
      <c r="H1822" s="28" t="s">
        <v>41</v>
      </c>
      <c r="K1822" t="s">
        <v>381</v>
      </c>
      <c r="L1822">
        <v>50</v>
      </c>
      <c r="M1822" s="52">
        <v>41.654569625475609</v>
      </c>
    </row>
    <row r="1823" spans="1:13" x14ac:dyDescent="0.35">
      <c r="A1823" s="14" t="s">
        <v>391</v>
      </c>
      <c r="B1823" s="14" t="s">
        <v>377</v>
      </c>
      <c r="C1823" t="s">
        <v>397</v>
      </c>
      <c r="D1823" s="18">
        <v>44203</v>
      </c>
      <c r="E1823" s="34">
        <v>44196</v>
      </c>
      <c r="F1823" s="34">
        <v>44208</v>
      </c>
      <c r="H1823" s="28" t="s">
        <v>39</v>
      </c>
      <c r="K1823" t="s">
        <v>381</v>
      </c>
      <c r="L1823">
        <v>25</v>
      </c>
      <c r="M1823" s="52">
        <v>41.654569625475609</v>
      </c>
    </row>
    <row r="1824" spans="1:13" x14ac:dyDescent="0.35">
      <c r="A1824" s="14" t="s">
        <v>391</v>
      </c>
      <c r="B1824" s="14" t="s">
        <v>377</v>
      </c>
      <c r="C1824" t="s">
        <v>397</v>
      </c>
      <c r="D1824" s="18">
        <v>44203</v>
      </c>
      <c r="E1824" s="34">
        <v>44196</v>
      </c>
      <c r="F1824" s="34">
        <v>44208</v>
      </c>
      <c r="H1824" s="28" t="s">
        <v>123</v>
      </c>
      <c r="M1824" s="52">
        <v>41.654569625475609</v>
      </c>
    </row>
    <row r="1825" spans="1:13" x14ac:dyDescent="0.35">
      <c r="A1825" s="14" t="s">
        <v>391</v>
      </c>
      <c r="B1825" s="14" t="s">
        <v>377</v>
      </c>
      <c r="C1825" t="s">
        <v>397</v>
      </c>
      <c r="D1825" s="18">
        <v>44203</v>
      </c>
      <c r="E1825" s="34">
        <v>44196</v>
      </c>
      <c r="F1825" s="34">
        <v>44208</v>
      </c>
      <c r="H1825" s="28" t="s">
        <v>150</v>
      </c>
      <c r="M1825" s="52">
        <v>41.654569625475609</v>
      </c>
    </row>
    <row r="1826" spans="1:13" x14ac:dyDescent="0.35">
      <c r="A1826" s="14" t="s">
        <v>391</v>
      </c>
      <c r="B1826" s="14" t="s">
        <v>377</v>
      </c>
      <c r="C1826" t="s">
        <v>397</v>
      </c>
      <c r="D1826" s="18">
        <v>44203</v>
      </c>
      <c r="E1826" s="34">
        <v>44196</v>
      </c>
      <c r="F1826" s="34">
        <v>44208</v>
      </c>
      <c r="H1826" s="28" t="s">
        <v>127</v>
      </c>
      <c r="M1826" s="52">
        <v>41.654569625475609</v>
      </c>
    </row>
    <row r="1827" spans="1:13" x14ac:dyDescent="0.35">
      <c r="A1827" s="14" t="s">
        <v>391</v>
      </c>
      <c r="B1827" s="14" t="s">
        <v>377</v>
      </c>
      <c r="C1827" t="s">
        <v>397</v>
      </c>
      <c r="D1827" s="18">
        <v>44203</v>
      </c>
      <c r="E1827" s="34">
        <v>44196</v>
      </c>
      <c r="F1827" s="34">
        <v>44208</v>
      </c>
      <c r="H1827" s="28" t="s">
        <v>25</v>
      </c>
      <c r="K1827" t="s">
        <v>381</v>
      </c>
      <c r="L1827">
        <v>20</v>
      </c>
      <c r="M1827" s="52">
        <v>41.654569625475609</v>
      </c>
    </row>
    <row r="1828" spans="1:13" x14ac:dyDescent="0.35">
      <c r="A1828" s="14" t="s">
        <v>391</v>
      </c>
      <c r="B1828" s="14" t="s">
        <v>377</v>
      </c>
      <c r="C1828" t="s">
        <v>397</v>
      </c>
      <c r="D1828" s="18">
        <v>44203</v>
      </c>
      <c r="E1828" s="34">
        <v>44196</v>
      </c>
      <c r="F1828" s="34">
        <v>44208</v>
      </c>
      <c r="H1828" s="28" t="s">
        <v>23</v>
      </c>
      <c r="K1828" t="s">
        <v>380</v>
      </c>
      <c r="L1828">
        <v>10</v>
      </c>
      <c r="M1828" s="52">
        <v>41.654569625475609</v>
      </c>
    </row>
    <row r="1829" spans="1:13" x14ac:dyDescent="0.35">
      <c r="A1829" s="14" t="s">
        <v>391</v>
      </c>
      <c r="B1829" s="14" t="s">
        <v>377</v>
      </c>
      <c r="C1829" t="s">
        <v>397</v>
      </c>
      <c r="D1829" s="18">
        <v>44203</v>
      </c>
      <c r="E1829" s="34">
        <v>44196</v>
      </c>
      <c r="F1829" s="34">
        <v>44208</v>
      </c>
      <c r="H1829" s="28" t="s">
        <v>24</v>
      </c>
      <c r="K1829" t="s">
        <v>380</v>
      </c>
      <c r="L1829">
        <v>15</v>
      </c>
      <c r="M1829" s="52">
        <v>41.654569625475609</v>
      </c>
    </row>
    <row r="1830" spans="1:13" x14ac:dyDescent="0.35">
      <c r="A1830" s="14" t="s">
        <v>391</v>
      </c>
      <c r="B1830" s="14" t="s">
        <v>377</v>
      </c>
      <c r="C1830" t="s">
        <v>397</v>
      </c>
      <c r="D1830" s="18">
        <v>44203</v>
      </c>
      <c r="E1830" s="34">
        <v>44196</v>
      </c>
      <c r="F1830" s="34">
        <v>44208</v>
      </c>
      <c r="H1830" s="28" t="s">
        <v>27</v>
      </c>
      <c r="K1830" t="s">
        <v>380</v>
      </c>
      <c r="L1830">
        <v>10</v>
      </c>
      <c r="M1830" s="52">
        <v>41.654569625475609</v>
      </c>
    </row>
    <row r="1831" spans="1:13" x14ac:dyDescent="0.35">
      <c r="A1831" s="14" t="s">
        <v>391</v>
      </c>
      <c r="B1831" s="14" t="s">
        <v>377</v>
      </c>
      <c r="C1831" t="s">
        <v>397</v>
      </c>
      <c r="D1831" s="18">
        <v>44203</v>
      </c>
      <c r="E1831" s="34">
        <v>44196</v>
      </c>
      <c r="F1831" s="34">
        <v>44208</v>
      </c>
      <c r="H1831" s="28" t="s">
        <v>28</v>
      </c>
      <c r="K1831" t="s">
        <v>380</v>
      </c>
      <c r="L1831">
        <v>15</v>
      </c>
      <c r="M1831" s="52">
        <v>41.654569625475609</v>
      </c>
    </row>
    <row r="1832" spans="1:13" x14ac:dyDescent="0.35">
      <c r="A1832" s="14" t="s">
        <v>391</v>
      </c>
      <c r="B1832" s="14" t="s">
        <v>377</v>
      </c>
      <c r="C1832" t="s">
        <v>397</v>
      </c>
      <c r="D1832" s="18">
        <v>44203</v>
      </c>
      <c r="E1832" s="34">
        <v>44196</v>
      </c>
      <c r="F1832" s="34">
        <v>44208</v>
      </c>
      <c r="H1832" s="28" t="s">
        <v>30</v>
      </c>
      <c r="M1832" s="52">
        <v>41.654569625475609</v>
      </c>
    </row>
    <row r="1833" spans="1:13" x14ac:dyDescent="0.35">
      <c r="A1833" s="14" t="s">
        <v>391</v>
      </c>
      <c r="B1833" s="14" t="s">
        <v>377</v>
      </c>
      <c r="C1833" t="s">
        <v>397</v>
      </c>
      <c r="D1833" s="18">
        <v>44203</v>
      </c>
      <c r="E1833" s="34">
        <v>44196</v>
      </c>
      <c r="F1833" s="34">
        <v>44208</v>
      </c>
      <c r="H1833" s="28" t="s">
        <v>29</v>
      </c>
      <c r="K1833" t="s">
        <v>381</v>
      </c>
      <c r="L1833">
        <v>33</v>
      </c>
      <c r="M1833" s="52">
        <v>41.654569625475609</v>
      </c>
    </row>
    <row r="1834" spans="1:13" x14ac:dyDescent="0.35">
      <c r="A1834" s="14" t="s">
        <v>391</v>
      </c>
      <c r="B1834" s="14" t="s">
        <v>377</v>
      </c>
      <c r="C1834" t="s">
        <v>397</v>
      </c>
      <c r="D1834" s="18">
        <v>44203</v>
      </c>
      <c r="E1834" s="34">
        <v>44196</v>
      </c>
      <c r="F1834" s="34">
        <v>44208</v>
      </c>
      <c r="H1834" s="28" t="s">
        <v>190</v>
      </c>
      <c r="M1834" s="52">
        <v>41.654569625475609</v>
      </c>
    </row>
    <row r="1835" spans="1:13" x14ac:dyDescent="0.35">
      <c r="A1835" s="14" t="s">
        <v>391</v>
      </c>
      <c r="B1835" s="14" t="s">
        <v>377</v>
      </c>
      <c r="C1835" t="s">
        <v>397</v>
      </c>
      <c r="D1835" s="18">
        <v>44203</v>
      </c>
      <c r="E1835" s="34">
        <v>44196</v>
      </c>
      <c r="F1835" s="34">
        <v>44208</v>
      </c>
      <c r="H1835" s="28" t="s">
        <v>198</v>
      </c>
      <c r="M1835" s="52">
        <v>41.654569625475609</v>
      </c>
    </row>
    <row r="1836" spans="1:13" x14ac:dyDescent="0.35">
      <c r="A1836" s="14" t="s">
        <v>391</v>
      </c>
      <c r="B1836" s="14" t="s">
        <v>377</v>
      </c>
      <c r="C1836" t="s">
        <v>397</v>
      </c>
      <c r="D1836" s="18">
        <v>44203</v>
      </c>
      <c r="E1836" s="34">
        <v>44196</v>
      </c>
      <c r="F1836" s="34">
        <v>44208</v>
      </c>
      <c r="H1836" s="28" t="s">
        <v>393</v>
      </c>
      <c r="M1836" s="52">
        <v>41.654569625475609</v>
      </c>
    </row>
    <row r="1837" spans="1:13" x14ac:dyDescent="0.35">
      <c r="A1837" s="14" t="s">
        <v>391</v>
      </c>
      <c r="B1837" s="14" t="s">
        <v>377</v>
      </c>
      <c r="C1837" t="s">
        <v>397</v>
      </c>
      <c r="D1837" s="18">
        <v>44203</v>
      </c>
      <c r="E1837" s="34">
        <v>44196</v>
      </c>
      <c r="F1837" s="34">
        <v>44208</v>
      </c>
      <c r="H1837" s="28" t="s">
        <v>204</v>
      </c>
      <c r="M1837" s="52">
        <v>41.654569625475609</v>
      </c>
    </row>
    <row r="1838" spans="1:13" x14ac:dyDescent="0.35">
      <c r="A1838" s="14" t="s">
        <v>391</v>
      </c>
      <c r="B1838" s="14" t="s">
        <v>377</v>
      </c>
      <c r="C1838" t="s">
        <v>397</v>
      </c>
      <c r="D1838" s="18">
        <v>44203</v>
      </c>
      <c r="E1838" s="34">
        <v>44196</v>
      </c>
      <c r="F1838" s="34">
        <v>44208</v>
      </c>
      <c r="H1838" s="28" t="s">
        <v>208</v>
      </c>
      <c r="M1838" s="52">
        <v>41.654569625475609</v>
      </c>
    </row>
    <row r="1839" spans="1:13" x14ac:dyDescent="0.35">
      <c r="A1839" s="14" t="s">
        <v>391</v>
      </c>
      <c r="B1839" s="14" t="s">
        <v>377</v>
      </c>
      <c r="C1839" t="s">
        <v>397</v>
      </c>
      <c r="D1839" s="18">
        <v>44203</v>
      </c>
      <c r="E1839" s="34">
        <v>44196</v>
      </c>
      <c r="F1839" s="34">
        <v>44208</v>
      </c>
      <c r="H1839" s="28" t="s">
        <v>210</v>
      </c>
      <c r="M1839" s="52">
        <v>41.654569625475609</v>
      </c>
    </row>
    <row r="1840" spans="1:13" x14ac:dyDescent="0.35">
      <c r="A1840" s="14" t="s">
        <v>391</v>
      </c>
      <c r="B1840" s="14" t="s">
        <v>377</v>
      </c>
      <c r="C1840" t="s">
        <v>397</v>
      </c>
      <c r="D1840" s="18">
        <v>44203</v>
      </c>
      <c r="E1840" s="34">
        <v>44196</v>
      </c>
      <c r="F1840" s="34">
        <v>44208</v>
      </c>
      <c r="H1840" s="28" t="s">
        <v>223</v>
      </c>
      <c r="M1840" s="52">
        <v>41.654569625475609</v>
      </c>
    </row>
    <row r="1841" spans="1:13" x14ac:dyDescent="0.35">
      <c r="A1841" s="14" t="s">
        <v>391</v>
      </c>
      <c r="B1841" s="14" t="s">
        <v>377</v>
      </c>
      <c r="C1841" t="s">
        <v>397</v>
      </c>
      <c r="D1841" s="18">
        <v>44203</v>
      </c>
      <c r="E1841" s="34">
        <v>44196</v>
      </c>
      <c r="F1841" s="34">
        <v>44208</v>
      </c>
      <c r="H1841" s="28" t="s">
        <v>56</v>
      </c>
      <c r="K1841" t="s">
        <v>381</v>
      </c>
      <c r="L1841">
        <v>30</v>
      </c>
      <c r="M1841" s="52">
        <v>41.654569625475609</v>
      </c>
    </row>
    <row r="1842" spans="1:13" x14ac:dyDescent="0.35">
      <c r="A1842" s="14" t="s">
        <v>391</v>
      </c>
      <c r="B1842" s="14" t="s">
        <v>377</v>
      </c>
      <c r="C1842" t="s">
        <v>397</v>
      </c>
      <c r="D1842" s="18">
        <v>44203</v>
      </c>
      <c r="E1842" s="34">
        <v>44196</v>
      </c>
      <c r="F1842" s="34">
        <v>44208</v>
      </c>
      <c r="H1842" s="28" t="s">
        <v>263</v>
      </c>
      <c r="M1842" s="52">
        <v>41.654569625475609</v>
      </c>
    </row>
    <row r="1843" spans="1:13" x14ac:dyDescent="0.35">
      <c r="A1843" s="14" t="s">
        <v>391</v>
      </c>
      <c r="B1843" s="14" t="s">
        <v>377</v>
      </c>
      <c r="C1843" t="s">
        <v>397</v>
      </c>
      <c r="D1843" s="18">
        <v>44203</v>
      </c>
      <c r="E1843" s="34">
        <v>44196</v>
      </c>
      <c r="F1843" s="34">
        <v>44208</v>
      </c>
      <c r="H1843" s="28" t="s">
        <v>287</v>
      </c>
      <c r="M1843" s="52">
        <v>41.654569625475609</v>
      </c>
    </row>
    <row r="1844" spans="1:13" x14ac:dyDescent="0.35">
      <c r="A1844" s="14" t="s">
        <v>391</v>
      </c>
      <c r="B1844" s="14" t="s">
        <v>377</v>
      </c>
      <c r="C1844" t="s">
        <v>397</v>
      </c>
      <c r="D1844" s="18">
        <v>44203</v>
      </c>
      <c r="E1844" s="34">
        <v>44196</v>
      </c>
      <c r="F1844" s="34">
        <v>44208</v>
      </c>
      <c r="H1844" s="28" t="s">
        <v>309</v>
      </c>
      <c r="M1844" s="52">
        <v>41.654569625475609</v>
      </c>
    </row>
    <row r="1845" spans="1:13" x14ac:dyDescent="0.35">
      <c r="A1845" s="14" t="s">
        <v>391</v>
      </c>
      <c r="B1845" s="14" t="s">
        <v>377</v>
      </c>
      <c r="C1845" t="s">
        <v>397</v>
      </c>
      <c r="D1845" s="18">
        <v>44203</v>
      </c>
      <c r="E1845" s="34">
        <v>44196</v>
      </c>
      <c r="F1845" s="34">
        <v>44208</v>
      </c>
      <c r="H1845" s="28" t="s">
        <v>311</v>
      </c>
      <c r="M1845" s="52">
        <v>41.654569625475609</v>
      </c>
    </row>
    <row r="1846" spans="1:13" x14ac:dyDescent="0.35">
      <c r="A1846" s="14" t="s">
        <v>391</v>
      </c>
      <c r="B1846" s="14" t="s">
        <v>377</v>
      </c>
      <c r="C1846" t="s">
        <v>397</v>
      </c>
      <c r="D1846" s="18">
        <v>44203</v>
      </c>
      <c r="E1846" s="34">
        <v>44196</v>
      </c>
      <c r="F1846" s="34">
        <v>44208</v>
      </c>
      <c r="H1846" s="28" t="s">
        <v>315</v>
      </c>
      <c r="K1846" t="s">
        <v>381</v>
      </c>
      <c r="L1846">
        <v>30</v>
      </c>
      <c r="M1846" s="52">
        <v>41.654569625475609</v>
      </c>
    </row>
    <row r="1847" spans="1:13" x14ac:dyDescent="0.35">
      <c r="A1847" s="14" t="s">
        <v>391</v>
      </c>
      <c r="B1847" s="14" t="s">
        <v>377</v>
      </c>
      <c r="C1847" t="s">
        <v>397</v>
      </c>
      <c r="D1847" s="18">
        <v>44203</v>
      </c>
      <c r="E1847" s="34">
        <v>44196</v>
      </c>
      <c r="F1847" s="34">
        <v>44208</v>
      </c>
      <c r="H1847" s="28" t="s">
        <v>313</v>
      </c>
      <c r="K1847" t="s">
        <v>381</v>
      </c>
      <c r="L1847">
        <v>50</v>
      </c>
      <c r="M1847" s="52">
        <v>41.654569625475609</v>
      </c>
    </row>
    <row r="1848" spans="1:13" x14ac:dyDescent="0.35">
      <c r="A1848" s="14" t="s">
        <v>391</v>
      </c>
      <c r="B1848" s="14" t="s">
        <v>377</v>
      </c>
      <c r="C1848" t="s">
        <v>397</v>
      </c>
      <c r="D1848" s="18">
        <v>44203</v>
      </c>
      <c r="E1848" s="34">
        <v>44196</v>
      </c>
      <c r="F1848" s="34">
        <v>44208</v>
      </c>
      <c r="H1848" s="28" t="s">
        <v>32</v>
      </c>
      <c r="K1848" t="s">
        <v>380</v>
      </c>
      <c r="L1848">
        <v>6</v>
      </c>
      <c r="M1848" s="52">
        <v>41.654569625475609</v>
      </c>
    </row>
    <row r="1849" spans="1:13" x14ac:dyDescent="0.35">
      <c r="A1849" s="14" t="s">
        <v>391</v>
      </c>
      <c r="B1849" s="14" t="s">
        <v>377</v>
      </c>
      <c r="C1849" t="s">
        <v>397</v>
      </c>
      <c r="D1849" s="18">
        <v>44203</v>
      </c>
      <c r="E1849" s="34">
        <v>44196</v>
      </c>
      <c r="F1849" s="34">
        <v>44208</v>
      </c>
      <c r="H1849" s="28" t="s">
        <v>60</v>
      </c>
      <c r="K1849" t="s">
        <v>380</v>
      </c>
      <c r="L1849">
        <v>6</v>
      </c>
      <c r="M1849" s="52">
        <v>41.654569625475609</v>
      </c>
    </row>
    <row r="1850" spans="1:13" x14ac:dyDescent="0.35">
      <c r="A1850" s="14" t="s">
        <v>391</v>
      </c>
      <c r="B1850" s="14" t="s">
        <v>377</v>
      </c>
      <c r="C1850" t="s">
        <v>397</v>
      </c>
      <c r="D1850" s="18">
        <v>44203</v>
      </c>
      <c r="E1850" s="34">
        <v>44196</v>
      </c>
      <c r="F1850" s="34">
        <v>44208</v>
      </c>
      <c r="H1850" s="28" t="s">
        <v>335</v>
      </c>
      <c r="M1850" s="52">
        <v>41.654569625475609</v>
      </c>
    </row>
    <row r="1851" spans="1:13" x14ac:dyDescent="0.35">
      <c r="A1851" s="14" t="s">
        <v>391</v>
      </c>
      <c r="B1851" s="14" t="s">
        <v>377</v>
      </c>
      <c r="C1851" t="s">
        <v>397</v>
      </c>
      <c r="D1851" s="18">
        <v>44203</v>
      </c>
      <c r="E1851" s="34">
        <v>44196</v>
      </c>
      <c r="F1851" s="34">
        <v>44208</v>
      </c>
      <c r="H1851" s="28" t="s">
        <v>339</v>
      </c>
      <c r="M1851" s="52">
        <v>41.654569625475609</v>
      </c>
    </row>
    <row r="1852" spans="1:13" x14ac:dyDescent="0.35">
      <c r="A1852" s="14" t="s">
        <v>391</v>
      </c>
      <c r="B1852" s="14" t="s">
        <v>377</v>
      </c>
      <c r="C1852" t="s">
        <v>397</v>
      </c>
      <c r="D1852" s="18">
        <v>44203</v>
      </c>
      <c r="E1852" s="34">
        <v>44196</v>
      </c>
      <c r="F1852" s="34">
        <v>44208</v>
      </c>
      <c r="H1852" s="28" t="s">
        <v>341</v>
      </c>
      <c r="M1852" s="52">
        <v>41.654569625475609</v>
      </c>
    </row>
    <row r="1853" spans="1:13" x14ac:dyDescent="0.35">
      <c r="A1853" s="14" t="s">
        <v>391</v>
      </c>
      <c r="B1853" s="14" t="s">
        <v>377</v>
      </c>
      <c r="C1853" t="s">
        <v>397</v>
      </c>
      <c r="D1853" s="18">
        <v>44203</v>
      </c>
      <c r="E1853" s="34">
        <v>44196</v>
      </c>
      <c r="F1853" s="34">
        <v>44208</v>
      </c>
      <c r="H1853" s="28" t="s">
        <v>345</v>
      </c>
      <c r="K1853" t="s">
        <v>381</v>
      </c>
      <c r="L1853">
        <v>50</v>
      </c>
      <c r="M1853" s="52">
        <v>41.654569625475609</v>
      </c>
    </row>
    <row r="1854" spans="1:13" x14ac:dyDescent="0.35">
      <c r="A1854" s="14" t="s">
        <v>391</v>
      </c>
      <c r="B1854" s="14" t="s">
        <v>377</v>
      </c>
      <c r="C1854" t="s">
        <v>397</v>
      </c>
      <c r="D1854" s="18">
        <v>44203</v>
      </c>
      <c r="E1854" s="34">
        <v>44196</v>
      </c>
      <c r="F1854" s="34">
        <v>44208</v>
      </c>
      <c r="H1854" s="28" t="s">
        <v>59</v>
      </c>
      <c r="M1854" s="52">
        <v>41.654569625475609</v>
      </c>
    </row>
    <row r="1855" spans="1:13" x14ac:dyDescent="0.35">
      <c r="A1855" s="14" t="s">
        <v>391</v>
      </c>
      <c r="B1855" s="14" t="s">
        <v>377</v>
      </c>
      <c r="C1855" t="s">
        <v>397</v>
      </c>
      <c r="D1855" s="18">
        <v>44203</v>
      </c>
      <c r="E1855" s="34">
        <v>44196</v>
      </c>
      <c r="F1855" s="34">
        <v>44208</v>
      </c>
      <c r="H1855" s="28" t="s">
        <v>360</v>
      </c>
      <c r="M1855" s="52">
        <v>41.654569625475609</v>
      </c>
    </row>
    <row r="1856" spans="1:13" x14ac:dyDescent="0.35">
      <c r="A1856" s="14" t="s">
        <v>391</v>
      </c>
      <c r="B1856" s="14" t="s">
        <v>377</v>
      </c>
      <c r="C1856" t="s">
        <v>400</v>
      </c>
      <c r="D1856" s="18">
        <v>44204</v>
      </c>
      <c r="E1856" s="34">
        <v>44201</v>
      </c>
      <c r="F1856" s="34">
        <v>44204</v>
      </c>
      <c r="H1856" s="28" t="s">
        <v>68</v>
      </c>
      <c r="M1856" s="52">
        <v>58.679125221876149</v>
      </c>
    </row>
    <row r="1857" spans="1:13" x14ac:dyDescent="0.35">
      <c r="A1857" s="14" t="s">
        <v>391</v>
      </c>
      <c r="B1857" s="14" t="s">
        <v>377</v>
      </c>
      <c r="C1857" t="s">
        <v>400</v>
      </c>
      <c r="D1857" s="18">
        <v>44204</v>
      </c>
      <c r="E1857" s="34">
        <v>44201</v>
      </c>
      <c r="F1857" s="34">
        <v>44204</v>
      </c>
      <c r="H1857" s="28" t="s">
        <v>408</v>
      </c>
      <c r="M1857" s="52">
        <v>58.679125221876149</v>
      </c>
    </row>
    <row r="1858" spans="1:13" x14ac:dyDescent="0.35">
      <c r="A1858" s="14" t="s">
        <v>391</v>
      </c>
      <c r="B1858" s="14" t="s">
        <v>377</v>
      </c>
      <c r="C1858" t="s">
        <v>400</v>
      </c>
      <c r="D1858" s="18">
        <v>44204</v>
      </c>
      <c r="E1858" s="34">
        <v>44201</v>
      </c>
      <c r="F1858" s="34">
        <v>44204</v>
      </c>
      <c r="H1858" s="28" t="s">
        <v>41</v>
      </c>
      <c r="K1858" t="s">
        <v>381</v>
      </c>
      <c r="L1858">
        <v>50</v>
      </c>
      <c r="M1858" s="52">
        <v>58.679125221876149</v>
      </c>
    </row>
    <row r="1859" spans="1:13" x14ac:dyDescent="0.35">
      <c r="A1859" s="14" t="s">
        <v>391</v>
      </c>
      <c r="B1859" s="14" t="s">
        <v>377</v>
      </c>
      <c r="C1859" t="s">
        <v>400</v>
      </c>
      <c r="D1859" s="18">
        <v>44204</v>
      </c>
      <c r="E1859" s="34">
        <v>44201</v>
      </c>
      <c r="F1859" s="34">
        <v>44204</v>
      </c>
      <c r="H1859" s="28" t="s">
        <v>39</v>
      </c>
      <c r="K1859" t="s">
        <v>381</v>
      </c>
      <c r="L1859">
        <v>25</v>
      </c>
      <c r="M1859" s="52">
        <v>58.679125221876149</v>
      </c>
    </row>
    <row r="1860" spans="1:13" x14ac:dyDescent="0.35">
      <c r="A1860" s="14" t="s">
        <v>391</v>
      </c>
      <c r="B1860" s="14" t="s">
        <v>377</v>
      </c>
      <c r="C1860" t="s">
        <v>400</v>
      </c>
      <c r="D1860" s="18">
        <v>44204</v>
      </c>
      <c r="E1860" s="34">
        <v>44201</v>
      </c>
      <c r="F1860" s="34">
        <v>44204</v>
      </c>
      <c r="H1860" s="28" t="s">
        <v>123</v>
      </c>
      <c r="M1860" s="52">
        <v>58.679125221876149</v>
      </c>
    </row>
    <row r="1861" spans="1:13" x14ac:dyDescent="0.35">
      <c r="A1861" s="14" t="s">
        <v>391</v>
      </c>
      <c r="B1861" s="14" t="s">
        <v>377</v>
      </c>
      <c r="C1861" t="s">
        <v>400</v>
      </c>
      <c r="D1861" s="18">
        <v>44204</v>
      </c>
      <c r="E1861" s="34">
        <v>44201</v>
      </c>
      <c r="F1861" s="34">
        <v>44204</v>
      </c>
      <c r="H1861" s="28" t="s">
        <v>150</v>
      </c>
      <c r="M1861" s="52">
        <v>58.679125221876149</v>
      </c>
    </row>
    <row r="1862" spans="1:13" x14ac:dyDescent="0.35">
      <c r="A1862" s="14" t="s">
        <v>391</v>
      </c>
      <c r="B1862" s="14" t="s">
        <v>377</v>
      </c>
      <c r="C1862" t="s">
        <v>400</v>
      </c>
      <c r="D1862" s="18">
        <v>44204</v>
      </c>
      <c r="E1862" s="34">
        <v>44201</v>
      </c>
      <c r="F1862" s="34">
        <v>44204</v>
      </c>
      <c r="H1862" s="28" t="s">
        <v>127</v>
      </c>
      <c r="M1862" s="52">
        <v>58.679125221876149</v>
      </c>
    </row>
    <row r="1863" spans="1:13" x14ac:dyDescent="0.35">
      <c r="A1863" s="14" t="s">
        <v>391</v>
      </c>
      <c r="B1863" s="14" t="s">
        <v>377</v>
      </c>
      <c r="C1863" t="s">
        <v>400</v>
      </c>
      <c r="D1863" s="18">
        <v>44204</v>
      </c>
      <c r="E1863" s="34">
        <v>44201</v>
      </c>
      <c r="F1863" s="34">
        <v>44204</v>
      </c>
      <c r="H1863" s="28" t="s">
        <v>25</v>
      </c>
      <c r="K1863" t="s">
        <v>381</v>
      </c>
      <c r="L1863">
        <v>20</v>
      </c>
      <c r="M1863" s="52">
        <v>58.679125221876149</v>
      </c>
    </row>
    <row r="1864" spans="1:13" x14ac:dyDescent="0.35">
      <c r="A1864" s="14" t="s">
        <v>391</v>
      </c>
      <c r="B1864" s="14" t="s">
        <v>377</v>
      </c>
      <c r="C1864" t="s">
        <v>400</v>
      </c>
      <c r="D1864" s="18">
        <v>44204</v>
      </c>
      <c r="E1864" s="34">
        <v>44201</v>
      </c>
      <c r="F1864" s="34">
        <v>44204</v>
      </c>
      <c r="H1864" s="28" t="s">
        <v>23</v>
      </c>
      <c r="K1864" t="s">
        <v>380</v>
      </c>
      <c r="L1864">
        <v>10</v>
      </c>
      <c r="M1864" s="52">
        <v>58.679125221876149</v>
      </c>
    </row>
    <row r="1865" spans="1:13" x14ac:dyDescent="0.35">
      <c r="A1865" s="14" t="s">
        <v>391</v>
      </c>
      <c r="B1865" s="14" t="s">
        <v>377</v>
      </c>
      <c r="C1865" t="s">
        <v>400</v>
      </c>
      <c r="D1865" s="18">
        <v>44204</v>
      </c>
      <c r="E1865" s="34">
        <v>44201</v>
      </c>
      <c r="F1865" s="34">
        <v>44204</v>
      </c>
      <c r="H1865" s="28" t="s">
        <v>24</v>
      </c>
      <c r="K1865" t="s">
        <v>380</v>
      </c>
      <c r="L1865">
        <v>15</v>
      </c>
      <c r="M1865" s="52">
        <v>58.679125221876149</v>
      </c>
    </row>
    <row r="1866" spans="1:13" x14ac:dyDescent="0.35">
      <c r="A1866" s="14" t="s">
        <v>391</v>
      </c>
      <c r="B1866" s="14" t="s">
        <v>377</v>
      </c>
      <c r="C1866" t="s">
        <v>400</v>
      </c>
      <c r="D1866" s="18">
        <v>44204</v>
      </c>
      <c r="E1866" s="34">
        <v>44201</v>
      </c>
      <c r="F1866" s="34">
        <v>44204</v>
      </c>
      <c r="H1866" s="28" t="s">
        <v>27</v>
      </c>
      <c r="K1866" t="s">
        <v>380</v>
      </c>
      <c r="L1866">
        <v>10</v>
      </c>
      <c r="M1866" s="52">
        <v>58.679125221876149</v>
      </c>
    </row>
    <row r="1867" spans="1:13" x14ac:dyDescent="0.35">
      <c r="A1867" s="14" t="s">
        <v>391</v>
      </c>
      <c r="B1867" s="14" t="s">
        <v>377</v>
      </c>
      <c r="C1867" t="s">
        <v>400</v>
      </c>
      <c r="D1867" s="18">
        <v>44204</v>
      </c>
      <c r="E1867" s="34">
        <v>44201</v>
      </c>
      <c r="F1867" s="34">
        <v>44204</v>
      </c>
      <c r="H1867" s="28" t="s">
        <v>28</v>
      </c>
      <c r="K1867" t="s">
        <v>380</v>
      </c>
      <c r="L1867">
        <v>15</v>
      </c>
      <c r="M1867" s="52">
        <v>58.679125221876149</v>
      </c>
    </row>
    <row r="1868" spans="1:13" x14ac:dyDescent="0.35">
      <c r="A1868" s="14" t="s">
        <v>391</v>
      </c>
      <c r="B1868" s="14" t="s">
        <v>377</v>
      </c>
      <c r="C1868" t="s">
        <v>400</v>
      </c>
      <c r="D1868" s="18">
        <v>44204</v>
      </c>
      <c r="E1868" s="34">
        <v>44201</v>
      </c>
      <c r="F1868" s="34">
        <v>44204</v>
      </c>
      <c r="H1868" s="28" t="s">
        <v>30</v>
      </c>
      <c r="M1868" s="52">
        <v>58.679125221876149</v>
      </c>
    </row>
    <row r="1869" spans="1:13" x14ac:dyDescent="0.35">
      <c r="A1869" s="14" t="s">
        <v>391</v>
      </c>
      <c r="B1869" s="14" t="s">
        <v>377</v>
      </c>
      <c r="C1869" t="s">
        <v>400</v>
      </c>
      <c r="D1869" s="18">
        <v>44204</v>
      </c>
      <c r="E1869" s="34">
        <v>44201</v>
      </c>
      <c r="F1869" s="34">
        <v>44204</v>
      </c>
      <c r="H1869" s="28" t="s">
        <v>29</v>
      </c>
      <c r="K1869" t="s">
        <v>381</v>
      </c>
      <c r="L1869">
        <v>33</v>
      </c>
      <c r="M1869" s="52">
        <v>58.679125221876149</v>
      </c>
    </row>
    <row r="1870" spans="1:13" x14ac:dyDescent="0.35">
      <c r="A1870" s="14" t="s">
        <v>391</v>
      </c>
      <c r="B1870" s="14" t="s">
        <v>377</v>
      </c>
      <c r="C1870" t="s">
        <v>400</v>
      </c>
      <c r="D1870" s="18">
        <v>44204</v>
      </c>
      <c r="E1870" s="34">
        <v>44201</v>
      </c>
      <c r="F1870" s="34">
        <v>44204</v>
      </c>
      <c r="H1870" s="28" t="s">
        <v>190</v>
      </c>
      <c r="M1870" s="52">
        <v>58.679125221876149</v>
      </c>
    </row>
    <row r="1871" spans="1:13" x14ac:dyDescent="0.35">
      <c r="A1871" s="14" t="s">
        <v>391</v>
      </c>
      <c r="B1871" s="14" t="s">
        <v>377</v>
      </c>
      <c r="C1871" t="s">
        <v>400</v>
      </c>
      <c r="D1871" s="18">
        <v>44204</v>
      </c>
      <c r="E1871" s="34">
        <v>44201</v>
      </c>
      <c r="F1871" s="34">
        <v>44204</v>
      </c>
      <c r="H1871" s="28" t="s">
        <v>198</v>
      </c>
      <c r="M1871" s="52">
        <v>58.679125221876149</v>
      </c>
    </row>
    <row r="1872" spans="1:13" x14ac:dyDescent="0.35">
      <c r="A1872" s="14" t="s">
        <v>391</v>
      </c>
      <c r="B1872" s="14" t="s">
        <v>377</v>
      </c>
      <c r="C1872" t="s">
        <v>400</v>
      </c>
      <c r="D1872" s="18">
        <v>44204</v>
      </c>
      <c r="E1872" s="34">
        <v>44201</v>
      </c>
      <c r="F1872" s="34">
        <v>44204</v>
      </c>
      <c r="H1872" s="28" t="s">
        <v>393</v>
      </c>
      <c r="M1872" s="52">
        <v>58.679125221876149</v>
      </c>
    </row>
    <row r="1873" spans="1:13" x14ac:dyDescent="0.35">
      <c r="A1873" s="14" t="s">
        <v>391</v>
      </c>
      <c r="B1873" s="14" t="s">
        <v>377</v>
      </c>
      <c r="C1873" t="s">
        <v>400</v>
      </c>
      <c r="D1873" s="18">
        <v>44204</v>
      </c>
      <c r="E1873" s="34">
        <v>44201</v>
      </c>
      <c r="F1873" s="34">
        <v>44204</v>
      </c>
      <c r="H1873" s="28" t="s">
        <v>204</v>
      </c>
      <c r="M1873" s="52">
        <v>58.679125221876149</v>
      </c>
    </row>
    <row r="1874" spans="1:13" x14ac:dyDescent="0.35">
      <c r="A1874" s="14" t="s">
        <v>391</v>
      </c>
      <c r="B1874" s="14" t="s">
        <v>377</v>
      </c>
      <c r="C1874" t="s">
        <v>400</v>
      </c>
      <c r="D1874" s="18">
        <v>44204</v>
      </c>
      <c r="E1874" s="34">
        <v>44201</v>
      </c>
      <c r="F1874" s="34">
        <v>44204</v>
      </c>
      <c r="H1874" s="28" t="s">
        <v>208</v>
      </c>
      <c r="M1874" s="52">
        <v>58.679125221876149</v>
      </c>
    </row>
    <row r="1875" spans="1:13" x14ac:dyDescent="0.35">
      <c r="A1875" s="14" t="s">
        <v>391</v>
      </c>
      <c r="B1875" s="14" t="s">
        <v>377</v>
      </c>
      <c r="C1875" t="s">
        <v>400</v>
      </c>
      <c r="D1875" s="18">
        <v>44204</v>
      </c>
      <c r="E1875" s="34">
        <v>44201</v>
      </c>
      <c r="F1875" s="34">
        <v>44204</v>
      </c>
      <c r="H1875" s="28" t="s">
        <v>403</v>
      </c>
      <c r="M1875" s="52">
        <v>58.679125221876149</v>
      </c>
    </row>
    <row r="1876" spans="1:13" x14ac:dyDescent="0.35">
      <c r="A1876" s="14" t="s">
        <v>391</v>
      </c>
      <c r="B1876" s="14" t="s">
        <v>377</v>
      </c>
      <c r="C1876" t="s">
        <v>400</v>
      </c>
      <c r="D1876" s="18">
        <v>44204</v>
      </c>
      <c r="E1876" s="34">
        <v>44201</v>
      </c>
      <c r="F1876" s="34">
        <v>44204</v>
      </c>
      <c r="H1876" s="28" t="s">
        <v>223</v>
      </c>
      <c r="M1876" s="52">
        <v>58.679125221876149</v>
      </c>
    </row>
    <row r="1877" spans="1:13" x14ac:dyDescent="0.35">
      <c r="A1877" s="14" t="s">
        <v>391</v>
      </c>
      <c r="B1877" s="14" t="s">
        <v>377</v>
      </c>
      <c r="C1877" t="s">
        <v>400</v>
      </c>
      <c r="D1877" s="18">
        <v>44204</v>
      </c>
      <c r="E1877" s="34">
        <v>44201</v>
      </c>
      <c r="F1877" s="34">
        <v>44204</v>
      </c>
      <c r="H1877" s="28" t="s">
        <v>56</v>
      </c>
      <c r="K1877" t="s">
        <v>381</v>
      </c>
      <c r="L1877">
        <v>30</v>
      </c>
      <c r="M1877" s="52">
        <v>58.679125221876149</v>
      </c>
    </row>
    <row r="1878" spans="1:13" x14ac:dyDescent="0.35">
      <c r="A1878" s="14" t="s">
        <v>391</v>
      </c>
      <c r="B1878" s="14" t="s">
        <v>377</v>
      </c>
      <c r="C1878" t="s">
        <v>400</v>
      </c>
      <c r="D1878" s="18">
        <v>44204</v>
      </c>
      <c r="E1878" s="34">
        <v>44201</v>
      </c>
      <c r="F1878" s="34">
        <v>44204</v>
      </c>
      <c r="H1878" s="28" t="s">
        <v>263</v>
      </c>
      <c r="M1878" s="52">
        <v>58.679125221876149</v>
      </c>
    </row>
    <row r="1879" spans="1:13" x14ac:dyDescent="0.35">
      <c r="A1879" s="14" t="s">
        <v>391</v>
      </c>
      <c r="B1879" s="14" t="s">
        <v>377</v>
      </c>
      <c r="C1879" t="s">
        <v>400</v>
      </c>
      <c r="D1879" s="18">
        <v>44204</v>
      </c>
      <c r="E1879" s="34">
        <v>44201</v>
      </c>
      <c r="F1879" s="34">
        <v>44204</v>
      </c>
      <c r="H1879" s="28" t="s">
        <v>287</v>
      </c>
      <c r="M1879" s="52">
        <v>58.679125221876149</v>
      </c>
    </row>
    <row r="1880" spans="1:13" x14ac:dyDescent="0.35">
      <c r="A1880" s="14" t="s">
        <v>391</v>
      </c>
      <c r="B1880" s="14" t="s">
        <v>377</v>
      </c>
      <c r="C1880" t="s">
        <v>400</v>
      </c>
      <c r="D1880" s="18">
        <v>44204</v>
      </c>
      <c r="E1880" s="34">
        <v>44201</v>
      </c>
      <c r="F1880" s="34">
        <v>44204</v>
      </c>
      <c r="H1880" s="28" t="s">
        <v>309</v>
      </c>
      <c r="M1880" s="52">
        <v>58.679125221876149</v>
      </c>
    </row>
    <row r="1881" spans="1:13" x14ac:dyDescent="0.35">
      <c r="A1881" s="14" t="s">
        <v>391</v>
      </c>
      <c r="B1881" s="14" t="s">
        <v>377</v>
      </c>
      <c r="C1881" t="s">
        <v>400</v>
      </c>
      <c r="D1881" s="18">
        <v>44204</v>
      </c>
      <c r="E1881" s="34">
        <v>44201</v>
      </c>
      <c r="F1881" s="34">
        <v>44204</v>
      </c>
      <c r="H1881" s="28" t="s">
        <v>311</v>
      </c>
      <c r="M1881" s="52">
        <v>58.679125221876149</v>
      </c>
    </row>
    <row r="1882" spans="1:13" x14ac:dyDescent="0.35">
      <c r="A1882" s="14" t="s">
        <v>391</v>
      </c>
      <c r="B1882" s="14" t="s">
        <v>377</v>
      </c>
      <c r="C1882" t="s">
        <v>400</v>
      </c>
      <c r="D1882" s="18">
        <v>44204</v>
      </c>
      <c r="E1882" s="34">
        <v>44201</v>
      </c>
      <c r="F1882" s="34">
        <v>44204</v>
      </c>
      <c r="H1882" s="28" t="s">
        <v>315</v>
      </c>
      <c r="K1882" t="s">
        <v>381</v>
      </c>
      <c r="L1882">
        <v>30</v>
      </c>
      <c r="M1882" s="52">
        <v>58.679125221876149</v>
      </c>
    </row>
    <row r="1883" spans="1:13" x14ac:dyDescent="0.35">
      <c r="A1883" s="14" t="s">
        <v>391</v>
      </c>
      <c r="B1883" s="14" t="s">
        <v>377</v>
      </c>
      <c r="C1883" t="s">
        <v>400</v>
      </c>
      <c r="D1883" s="18">
        <v>44204</v>
      </c>
      <c r="E1883" s="34">
        <v>44201</v>
      </c>
      <c r="F1883" s="34">
        <v>44204</v>
      </c>
      <c r="H1883" s="28" t="s">
        <v>401</v>
      </c>
      <c r="K1883" t="s">
        <v>381</v>
      </c>
      <c r="L1883">
        <v>50</v>
      </c>
      <c r="M1883" s="52">
        <v>58.679125221876149</v>
      </c>
    </row>
    <row r="1884" spans="1:13" x14ac:dyDescent="0.35">
      <c r="A1884" s="14" t="s">
        <v>391</v>
      </c>
      <c r="B1884" s="14" t="s">
        <v>377</v>
      </c>
      <c r="C1884" t="s">
        <v>400</v>
      </c>
      <c r="D1884" s="18">
        <v>44204</v>
      </c>
      <c r="E1884" s="34">
        <v>44201</v>
      </c>
      <c r="F1884" s="34">
        <v>44204</v>
      </c>
      <c r="H1884" s="28" t="s">
        <v>402</v>
      </c>
      <c r="K1884" t="s">
        <v>380</v>
      </c>
      <c r="L1884">
        <v>6</v>
      </c>
      <c r="M1884" s="52">
        <v>58.679125221876149</v>
      </c>
    </row>
    <row r="1885" spans="1:13" x14ac:dyDescent="0.35">
      <c r="A1885" s="14" t="s">
        <v>391</v>
      </c>
      <c r="B1885" s="14" t="s">
        <v>377</v>
      </c>
      <c r="C1885" t="s">
        <v>400</v>
      </c>
      <c r="D1885" s="18">
        <v>44204</v>
      </c>
      <c r="E1885" s="34">
        <v>44201</v>
      </c>
      <c r="F1885" s="34">
        <v>44204</v>
      </c>
      <c r="H1885" s="28" t="s">
        <v>60</v>
      </c>
      <c r="K1885" t="s">
        <v>380</v>
      </c>
      <c r="L1885">
        <v>6</v>
      </c>
      <c r="M1885" s="52">
        <v>58.679125221876149</v>
      </c>
    </row>
    <row r="1886" spans="1:13" x14ac:dyDescent="0.35">
      <c r="A1886" s="14" t="s">
        <v>391</v>
      </c>
      <c r="B1886" s="14" t="s">
        <v>377</v>
      </c>
      <c r="C1886" t="s">
        <v>400</v>
      </c>
      <c r="D1886" s="18">
        <v>44204</v>
      </c>
      <c r="E1886" s="34">
        <v>44201</v>
      </c>
      <c r="F1886" s="34">
        <v>44204</v>
      </c>
      <c r="H1886" s="28" t="s">
        <v>60</v>
      </c>
      <c r="K1886" t="s">
        <v>380</v>
      </c>
      <c r="L1886">
        <v>6</v>
      </c>
      <c r="M1886" s="52">
        <v>58.679125221876149</v>
      </c>
    </row>
    <row r="1887" spans="1:13" x14ac:dyDescent="0.35">
      <c r="A1887" s="14" t="s">
        <v>391</v>
      </c>
      <c r="B1887" s="14" t="s">
        <v>377</v>
      </c>
      <c r="C1887" t="s">
        <v>400</v>
      </c>
      <c r="D1887" s="18">
        <v>44204</v>
      </c>
      <c r="E1887" s="34">
        <v>44201</v>
      </c>
      <c r="F1887" s="34">
        <v>44204</v>
      </c>
      <c r="H1887" s="28" t="s">
        <v>335</v>
      </c>
      <c r="M1887" s="52">
        <v>58.679125221876149</v>
      </c>
    </row>
    <row r="1888" spans="1:13" x14ac:dyDescent="0.35">
      <c r="A1888" s="14" t="s">
        <v>391</v>
      </c>
      <c r="B1888" s="14" t="s">
        <v>377</v>
      </c>
      <c r="C1888" t="s">
        <v>400</v>
      </c>
      <c r="D1888" s="18">
        <v>44204</v>
      </c>
      <c r="E1888" s="34">
        <v>44201</v>
      </c>
      <c r="F1888" s="34">
        <v>44204</v>
      </c>
      <c r="H1888" s="28" t="s">
        <v>339</v>
      </c>
      <c r="M1888" s="52">
        <v>58.679125221876149</v>
      </c>
    </row>
    <row r="1889" spans="1:13" x14ac:dyDescent="0.35">
      <c r="A1889" s="14" t="s">
        <v>391</v>
      </c>
      <c r="B1889" s="14" t="s">
        <v>377</v>
      </c>
      <c r="C1889" t="s">
        <v>400</v>
      </c>
      <c r="D1889" s="18">
        <v>44204</v>
      </c>
      <c r="E1889" s="34">
        <v>44201</v>
      </c>
      <c r="F1889" s="34">
        <v>44204</v>
      </c>
      <c r="H1889" s="28" t="s">
        <v>341</v>
      </c>
      <c r="M1889" s="52">
        <v>58.679125221876149</v>
      </c>
    </row>
    <row r="1890" spans="1:13" x14ac:dyDescent="0.35">
      <c r="A1890" s="14" t="s">
        <v>391</v>
      </c>
      <c r="B1890" s="14" t="s">
        <v>377</v>
      </c>
      <c r="C1890" t="s">
        <v>400</v>
      </c>
      <c r="D1890" s="18">
        <v>44204</v>
      </c>
      <c r="E1890" s="34">
        <v>44201</v>
      </c>
      <c r="F1890" s="34">
        <v>44204</v>
      </c>
      <c r="H1890" s="28" t="s">
        <v>345</v>
      </c>
      <c r="K1890" t="s">
        <v>381</v>
      </c>
      <c r="L1890">
        <v>50</v>
      </c>
      <c r="M1890" s="52">
        <v>58.679125221876149</v>
      </c>
    </row>
    <row r="1891" spans="1:13" x14ac:dyDescent="0.35">
      <c r="A1891" s="14" t="s">
        <v>391</v>
      </c>
      <c r="B1891" s="14" t="s">
        <v>377</v>
      </c>
      <c r="C1891" t="s">
        <v>400</v>
      </c>
      <c r="D1891" s="18">
        <v>44204</v>
      </c>
      <c r="E1891" s="34">
        <v>44201</v>
      </c>
      <c r="F1891" s="34">
        <v>44204</v>
      </c>
      <c r="H1891" s="28" t="s">
        <v>59</v>
      </c>
      <c r="M1891" s="52">
        <v>58.679125221876149</v>
      </c>
    </row>
    <row r="1892" spans="1:13" x14ac:dyDescent="0.35">
      <c r="A1892" s="14" t="s">
        <v>391</v>
      </c>
      <c r="B1892" s="14" t="s">
        <v>377</v>
      </c>
      <c r="C1892" t="s">
        <v>400</v>
      </c>
      <c r="D1892" s="18">
        <v>44204</v>
      </c>
      <c r="E1892" s="34">
        <v>44201</v>
      </c>
      <c r="F1892" s="34">
        <v>44204</v>
      </c>
      <c r="H1892" s="28" t="s">
        <v>360</v>
      </c>
      <c r="M1892" s="52">
        <v>58.679125221876149</v>
      </c>
    </row>
    <row r="1893" spans="1:13" x14ac:dyDescent="0.35">
      <c r="A1893" s="14" t="s">
        <v>391</v>
      </c>
      <c r="B1893" s="14" t="s">
        <v>377</v>
      </c>
      <c r="C1893" t="s">
        <v>394</v>
      </c>
      <c r="D1893" s="18">
        <v>44204</v>
      </c>
      <c r="E1893" s="18">
        <v>44201</v>
      </c>
      <c r="F1893" s="34">
        <v>44203</v>
      </c>
      <c r="H1893" s="28" t="s">
        <v>68</v>
      </c>
      <c r="M1893" s="52">
        <v>53.14</v>
      </c>
    </row>
    <row r="1894" spans="1:13" x14ac:dyDescent="0.35">
      <c r="A1894" s="14" t="s">
        <v>391</v>
      </c>
      <c r="B1894" s="14" t="s">
        <v>377</v>
      </c>
      <c r="C1894" t="s">
        <v>394</v>
      </c>
      <c r="D1894" s="18">
        <v>44204</v>
      </c>
      <c r="E1894" s="18">
        <v>44201</v>
      </c>
      <c r="F1894" s="34">
        <v>44203</v>
      </c>
      <c r="H1894" s="28" t="s">
        <v>96</v>
      </c>
      <c r="M1894" s="52">
        <v>53.14</v>
      </c>
    </row>
    <row r="1895" spans="1:13" x14ac:dyDescent="0.35">
      <c r="A1895" s="14" t="s">
        <v>391</v>
      </c>
      <c r="B1895" s="14" t="s">
        <v>377</v>
      </c>
      <c r="C1895" t="s">
        <v>394</v>
      </c>
      <c r="D1895" s="18">
        <v>44204</v>
      </c>
      <c r="E1895" s="18">
        <v>44201</v>
      </c>
      <c r="F1895" s="34">
        <v>44203</v>
      </c>
      <c r="H1895" s="28" t="s">
        <v>72</v>
      </c>
      <c r="M1895" s="52">
        <v>53.14</v>
      </c>
    </row>
    <row r="1896" spans="1:13" x14ac:dyDescent="0.35">
      <c r="A1896" s="14" t="s">
        <v>391</v>
      </c>
      <c r="B1896" s="14" t="s">
        <v>377</v>
      </c>
      <c r="C1896" t="s">
        <v>394</v>
      </c>
      <c r="D1896" s="18">
        <v>44204</v>
      </c>
      <c r="E1896" s="18">
        <v>44201</v>
      </c>
      <c r="F1896" s="34">
        <v>44203</v>
      </c>
      <c r="H1896" s="28" t="s">
        <v>47</v>
      </c>
      <c r="K1896" t="s">
        <v>381</v>
      </c>
      <c r="L1896">
        <v>20</v>
      </c>
      <c r="M1896" s="52">
        <v>53.14</v>
      </c>
    </row>
    <row r="1897" spans="1:13" x14ac:dyDescent="0.35">
      <c r="A1897" s="14" t="s">
        <v>391</v>
      </c>
      <c r="B1897" s="14" t="s">
        <v>377</v>
      </c>
      <c r="C1897" t="s">
        <v>394</v>
      </c>
      <c r="D1897" s="18">
        <v>44204</v>
      </c>
      <c r="E1897" s="18">
        <v>44201</v>
      </c>
      <c r="F1897" s="34">
        <v>44203</v>
      </c>
      <c r="H1897" s="28" t="s">
        <v>50</v>
      </c>
      <c r="K1897" t="s">
        <v>381</v>
      </c>
      <c r="L1897">
        <v>50</v>
      </c>
      <c r="M1897" s="52">
        <v>53.14</v>
      </c>
    </row>
    <row r="1898" spans="1:13" x14ac:dyDescent="0.35">
      <c r="A1898" s="14" t="s">
        <v>391</v>
      </c>
      <c r="B1898" s="14" t="s">
        <v>377</v>
      </c>
      <c r="C1898" t="s">
        <v>394</v>
      </c>
      <c r="D1898" s="18">
        <v>44204</v>
      </c>
      <c r="E1898" s="18">
        <v>44201</v>
      </c>
      <c r="F1898" s="34">
        <v>44203</v>
      </c>
      <c r="H1898" s="28" t="s">
        <v>41</v>
      </c>
      <c r="K1898" t="s">
        <v>381</v>
      </c>
      <c r="L1898">
        <v>50</v>
      </c>
      <c r="M1898" s="52">
        <v>53.14</v>
      </c>
    </row>
    <row r="1899" spans="1:13" x14ac:dyDescent="0.35">
      <c r="A1899" s="14" t="s">
        <v>391</v>
      </c>
      <c r="B1899" s="14" t="s">
        <v>377</v>
      </c>
      <c r="C1899" t="s">
        <v>394</v>
      </c>
      <c r="D1899" s="18">
        <v>44204</v>
      </c>
      <c r="E1899" s="18">
        <v>44201</v>
      </c>
      <c r="F1899" s="34">
        <v>44203</v>
      </c>
      <c r="H1899" s="28" t="s">
        <v>39</v>
      </c>
      <c r="K1899" t="s">
        <v>381</v>
      </c>
      <c r="L1899">
        <v>25</v>
      </c>
      <c r="M1899" s="52">
        <v>53.14</v>
      </c>
    </row>
    <row r="1900" spans="1:13" x14ac:dyDescent="0.35">
      <c r="A1900" s="14" t="s">
        <v>391</v>
      </c>
      <c r="B1900" s="14" t="s">
        <v>377</v>
      </c>
      <c r="C1900" t="s">
        <v>394</v>
      </c>
      <c r="D1900" s="18">
        <v>44204</v>
      </c>
      <c r="E1900" s="18">
        <v>44201</v>
      </c>
      <c r="F1900" s="34">
        <v>44203</v>
      </c>
      <c r="H1900" s="28" t="s">
        <v>116</v>
      </c>
      <c r="K1900" t="s">
        <v>381</v>
      </c>
      <c r="L1900">
        <v>25</v>
      </c>
      <c r="M1900" s="52">
        <v>53.14</v>
      </c>
    </row>
    <row r="1901" spans="1:13" x14ac:dyDescent="0.35">
      <c r="A1901" s="14" t="s">
        <v>391</v>
      </c>
      <c r="B1901" s="14" t="s">
        <v>377</v>
      </c>
      <c r="C1901" t="s">
        <v>394</v>
      </c>
      <c r="D1901" s="18">
        <v>44204</v>
      </c>
      <c r="E1901" s="18">
        <v>44201</v>
      </c>
      <c r="F1901" s="34">
        <v>44203</v>
      </c>
      <c r="H1901" s="28" t="s">
        <v>123</v>
      </c>
      <c r="M1901" s="52">
        <v>53.14</v>
      </c>
    </row>
    <row r="1902" spans="1:13" x14ac:dyDescent="0.35">
      <c r="A1902" s="14" t="s">
        <v>391</v>
      </c>
      <c r="B1902" s="14" t="s">
        <v>377</v>
      </c>
      <c r="C1902" t="s">
        <v>394</v>
      </c>
      <c r="D1902" s="18">
        <v>44204</v>
      </c>
      <c r="E1902" s="18">
        <v>44201</v>
      </c>
      <c r="F1902" s="34">
        <v>44203</v>
      </c>
      <c r="H1902" s="28" t="s">
        <v>150</v>
      </c>
      <c r="M1902" s="52">
        <v>53.14</v>
      </c>
    </row>
    <row r="1903" spans="1:13" x14ac:dyDescent="0.35">
      <c r="A1903" s="14" t="s">
        <v>391</v>
      </c>
      <c r="B1903" s="14" t="s">
        <v>377</v>
      </c>
      <c r="C1903" t="s">
        <v>394</v>
      </c>
      <c r="D1903" s="18">
        <v>44204</v>
      </c>
      <c r="E1903" s="18">
        <v>44201</v>
      </c>
      <c r="F1903" s="34">
        <v>44203</v>
      </c>
      <c r="H1903" s="28" t="s">
        <v>125</v>
      </c>
      <c r="M1903" s="52">
        <v>53.14</v>
      </c>
    </row>
    <row r="1904" spans="1:13" x14ac:dyDescent="0.35">
      <c r="A1904" s="14" t="s">
        <v>391</v>
      </c>
      <c r="B1904" s="14" t="s">
        <v>377</v>
      </c>
      <c r="C1904" t="s">
        <v>394</v>
      </c>
      <c r="D1904" s="18">
        <v>44204</v>
      </c>
      <c r="E1904" s="18">
        <v>44201</v>
      </c>
      <c r="F1904" s="34">
        <v>44203</v>
      </c>
      <c r="H1904" s="28" t="s">
        <v>127</v>
      </c>
      <c r="M1904" s="52">
        <v>53.14</v>
      </c>
    </row>
    <row r="1905" spans="1:13" x14ac:dyDescent="0.35">
      <c r="A1905" s="14" t="s">
        <v>391</v>
      </c>
      <c r="B1905" s="14" t="s">
        <v>377</v>
      </c>
      <c r="C1905" t="s">
        <v>394</v>
      </c>
      <c r="D1905" s="18">
        <v>44204</v>
      </c>
      <c r="E1905" s="18">
        <v>44201</v>
      </c>
      <c r="F1905" s="34">
        <v>44203</v>
      </c>
      <c r="H1905" s="28" t="s">
        <v>42</v>
      </c>
      <c r="K1905" t="s">
        <v>380</v>
      </c>
      <c r="L1905">
        <v>6</v>
      </c>
      <c r="M1905" s="52">
        <v>53.14</v>
      </c>
    </row>
    <row r="1906" spans="1:13" x14ac:dyDescent="0.35">
      <c r="A1906" s="14" t="s">
        <v>391</v>
      </c>
      <c r="B1906" s="14" t="s">
        <v>377</v>
      </c>
      <c r="C1906" t="s">
        <v>394</v>
      </c>
      <c r="D1906" s="18">
        <v>44204</v>
      </c>
      <c r="E1906" s="18">
        <v>44201</v>
      </c>
      <c r="F1906" s="34">
        <v>44203</v>
      </c>
      <c r="H1906" s="28" t="s">
        <v>25</v>
      </c>
      <c r="K1906" t="s">
        <v>381</v>
      </c>
      <c r="L1906">
        <v>20</v>
      </c>
      <c r="M1906" s="52">
        <v>53.14</v>
      </c>
    </row>
    <row r="1907" spans="1:13" x14ac:dyDescent="0.35">
      <c r="A1907" s="14" t="s">
        <v>391</v>
      </c>
      <c r="B1907" s="14" t="s">
        <v>377</v>
      </c>
      <c r="C1907" t="s">
        <v>394</v>
      </c>
      <c r="D1907" s="18">
        <v>44204</v>
      </c>
      <c r="E1907" s="18">
        <v>44201</v>
      </c>
      <c r="F1907" s="34">
        <v>44203</v>
      </c>
      <c r="H1907" s="28" t="s">
        <v>23</v>
      </c>
      <c r="K1907" t="s">
        <v>380</v>
      </c>
      <c r="L1907">
        <v>6</v>
      </c>
      <c r="M1907" s="52">
        <v>53.14</v>
      </c>
    </row>
    <row r="1908" spans="1:13" x14ac:dyDescent="0.35">
      <c r="A1908" s="14" t="s">
        <v>391</v>
      </c>
      <c r="B1908" s="14" t="s">
        <v>377</v>
      </c>
      <c r="C1908" t="s">
        <v>394</v>
      </c>
      <c r="D1908" s="18">
        <v>44204</v>
      </c>
      <c r="E1908" s="18">
        <v>44201</v>
      </c>
      <c r="F1908" s="34">
        <v>44203</v>
      </c>
      <c r="H1908" s="28" t="s">
        <v>24</v>
      </c>
      <c r="K1908" t="s">
        <v>380</v>
      </c>
      <c r="L1908">
        <v>6</v>
      </c>
      <c r="M1908" s="52">
        <v>53.14</v>
      </c>
    </row>
    <row r="1909" spans="1:13" x14ac:dyDescent="0.35">
      <c r="A1909" s="14" t="s">
        <v>391</v>
      </c>
      <c r="B1909" s="14" t="s">
        <v>377</v>
      </c>
      <c r="C1909" t="s">
        <v>394</v>
      </c>
      <c r="D1909" s="18">
        <v>44204</v>
      </c>
      <c r="E1909" s="18">
        <v>44201</v>
      </c>
      <c r="F1909" s="34">
        <v>44203</v>
      </c>
      <c r="H1909" s="28" t="s">
        <v>23</v>
      </c>
      <c r="K1909" t="s">
        <v>380</v>
      </c>
      <c r="L1909">
        <v>10</v>
      </c>
      <c r="M1909" s="52">
        <v>53.14</v>
      </c>
    </row>
    <row r="1910" spans="1:13" x14ac:dyDescent="0.35">
      <c r="A1910" s="14" t="s">
        <v>391</v>
      </c>
      <c r="B1910" s="14" t="s">
        <v>377</v>
      </c>
      <c r="C1910" t="s">
        <v>394</v>
      </c>
      <c r="D1910" s="18">
        <v>44204</v>
      </c>
      <c r="E1910" s="18">
        <v>44201</v>
      </c>
      <c r="F1910" s="34">
        <v>44203</v>
      </c>
      <c r="H1910" s="28" t="s">
        <v>24</v>
      </c>
      <c r="K1910" t="s">
        <v>380</v>
      </c>
      <c r="L1910">
        <v>15</v>
      </c>
      <c r="M1910" s="52">
        <v>53.14</v>
      </c>
    </row>
    <row r="1911" spans="1:13" x14ac:dyDescent="0.35">
      <c r="A1911" s="14" t="s">
        <v>391</v>
      </c>
      <c r="B1911" s="14" t="s">
        <v>377</v>
      </c>
      <c r="C1911" t="s">
        <v>394</v>
      </c>
      <c r="D1911" s="18">
        <v>44204</v>
      </c>
      <c r="E1911" s="18">
        <v>44201</v>
      </c>
      <c r="F1911" s="34">
        <v>44203</v>
      </c>
      <c r="H1911" s="28" t="s">
        <v>27</v>
      </c>
      <c r="K1911" t="s">
        <v>380</v>
      </c>
      <c r="L1911">
        <v>10</v>
      </c>
      <c r="M1911" s="52">
        <v>53.14</v>
      </c>
    </row>
    <row r="1912" spans="1:13" x14ac:dyDescent="0.35">
      <c r="A1912" s="14" t="s">
        <v>391</v>
      </c>
      <c r="B1912" s="14" t="s">
        <v>377</v>
      </c>
      <c r="C1912" t="s">
        <v>394</v>
      </c>
      <c r="D1912" s="18">
        <v>44204</v>
      </c>
      <c r="E1912" s="18">
        <v>44201</v>
      </c>
      <c r="F1912" s="34">
        <v>44203</v>
      </c>
      <c r="H1912" s="28" t="s">
        <v>28</v>
      </c>
      <c r="K1912" t="s">
        <v>380</v>
      </c>
      <c r="L1912">
        <v>15</v>
      </c>
      <c r="M1912" s="52">
        <v>53.14</v>
      </c>
    </row>
    <row r="1913" spans="1:13" x14ac:dyDescent="0.35">
      <c r="A1913" s="14" t="s">
        <v>391</v>
      </c>
      <c r="B1913" s="14" t="s">
        <v>377</v>
      </c>
      <c r="C1913" t="s">
        <v>394</v>
      </c>
      <c r="D1913" s="18">
        <v>44204</v>
      </c>
      <c r="E1913" s="18">
        <v>44201</v>
      </c>
      <c r="F1913" s="34">
        <v>44203</v>
      </c>
      <c r="H1913" s="28" t="s">
        <v>30</v>
      </c>
      <c r="K1913" t="s">
        <v>381</v>
      </c>
      <c r="L1913">
        <v>33</v>
      </c>
      <c r="M1913" s="52">
        <v>53.14</v>
      </c>
    </row>
    <row r="1914" spans="1:13" x14ac:dyDescent="0.35">
      <c r="A1914" s="14" t="s">
        <v>391</v>
      </c>
      <c r="B1914" s="14" t="s">
        <v>377</v>
      </c>
      <c r="C1914" t="s">
        <v>394</v>
      </c>
      <c r="D1914" s="18">
        <v>44204</v>
      </c>
      <c r="E1914" s="18">
        <v>44201</v>
      </c>
      <c r="F1914" s="34">
        <v>44203</v>
      </c>
      <c r="H1914" s="28" t="s">
        <v>29</v>
      </c>
      <c r="K1914" t="s">
        <v>381</v>
      </c>
      <c r="L1914">
        <v>33</v>
      </c>
      <c r="M1914" s="52">
        <v>53.14</v>
      </c>
    </row>
    <row r="1915" spans="1:13" x14ac:dyDescent="0.35">
      <c r="A1915" s="14" t="s">
        <v>391</v>
      </c>
      <c r="B1915" s="14" t="s">
        <v>377</v>
      </c>
      <c r="C1915" t="s">
        <v>394</v>
      </c>
      <c r="D1915" s="18">
        <v>44204</v>
      </c>
      <c r="E1915" s="18">
        <v>44201</v>
      </c>
      <c r="F1915" s="34">
        <v>44203</v>
      </c>
      <c r="H1915" s="28" t="s">
        <v>188</v>
      </c>
      <c r="M1915" s="52">
        <v>53.14</v>
      </c>
    </row>
    <row r="1916" spans="1:13" x14ac:dyDescent="0.35">
      <c r="A1916" s="14" t="s">
        <v>391</v>
      </c>
      <c r="B1916" s="14" t="s">
        <v>377</v>
      </c>
      <c r="C1916" t="s">
        <v>394</v>
      </c>
      <c r="D1916" s="18">
        <v>44204</v>
      </c>
      <c r="E1916" s="18">
        <v>44201</v>
      </c>
      <c r="F1916" s="34">
        <v>44203</v>
      </c>
      <c r="H1916" s="28" t="s">
        <v>190</v>
      </c>
      <c r="M1916" s="52">
        <v>53.14</v>
      </c>
    </row>
    <row r="1917" spans="1:13" x14ac:dyDescent="0.35">
      <c r="A1917" s="14" t="s">
        <v>391</v>
      </c>
      <c r="B1917" s="14" t="s">
        <v>377</v>
      </c>
      <c r="C1917" t="s">
        <v>394</v>
      </c>
      <c r="D1917" s="18">
        <v>44204</v>
      </c>
      <c r="E1917" s="18">
        <v>44201</v>
      </c>
      <c r="F1917" s="34">
        <v>44203</v>
      </c>
      <c r="H1917" s="28" t="s">
        <v>192</v>
      </c>
      <c r="M1917" s="52">
        <v>53.14</v>
      </c>
    </row>
    <row r="1918" spans="1:13" x14ac:dyDescent="0.35">
      <c r="A1918" s="14" t="s">
        <v>391</v>
      </c>
      <c r="B1918" s="14" t="s">
        <v>377</v>
      </c>
      <c r="C1918" t="s">
        <v>394</v>
      </c>
      <c r="D1918" s="18">
        <v>44204</v>
      </c>
      <c r="E1918" s="18">
        <v>44201</v>
      </c>
      <c r="F1918" s="34">
        <v>44203</v>
      </c>
      <c r="H1918" s="28" t="s">
        <v>198</v>
      </c>
      <c r="M1918" s="52">
        <v>53.14</v>
      </c>
    </row>
    <row r="1919" spans="1:13" x14ac:dyDescent="0.35">
      <c r="A1919" s="14" t="s">
        <v>391</v>
      </c>
      <c r="B1919" s="14" t="s">
        <v>377</v>
      </c>
      <c r="C1919" t="s">
        <v>394</v>
      </c>
      <c r="D1919" s="18">
        <v>44204</v>
      </c>
      <c r="E1919" s="18">
        <v>44201</v>
      </c>
      <c r="F1919" s="34">
        <v>44203</v>
      </c>
      <c r="H1919" s="28" t="s">
        <v>393</v>
      </c>
      <c r="M1919" s="52">
        <v>53.14</v>
      </c>
    </row>
    <row r="1920" spans="1:13" x14ac:dyDescent="0.35">
      <c r="A1920" s="14" t="s">
        <v>391</v>
      </c>
      <c r="B1920" s="14" t="s">
        <v>377</v>
      </c>
      <c r="C1920" t="s">
        <v>394</v>
      </c>
      <c r="D1920" s="18">
        <v>44204</v>
      </c>
      <c r="E1920" s="18">
        <v>44201</v>
      </c>
      <c r="F1920" s="34">
        <v>44203</v>
      </c>
      <c r="H1920" s="28" t="s">
        <v>204</v>
      </c>
      <c r="M1920" s="52">
        <v>53.14</v>
      </c>
    </row>
    <row r="1921" spans="1:13" x14ac:dyDescent="0.35">
      <c r="A1921" s="14" t="s">
        <v>391</v>
      </c>
      <c r="B1921" s="14" t="s">
        <v>377</v>
      </c>
      <c r="C1921" t="s">
        <v>394</v>
      </c>
      <c r="D1921" s="18">
        <v>44204</v>
      </c>
      <c r="E1921" s="18">
        <v>44201</v>
      </c>
      <c r="F1921" s="34">
        <v>44203</v>
      </c>
      <c r="H1921" s="28" t="s">
        <v>208</v>
      </c>
      <c r="M1921" s="52">
        <v>53.14</v>
      </c>
    </row>
    <row r="1922" spans="1:13" x14ac:dyDescent="0.35">
      <c r="A1922" s="14" t="s">
        <v>391</v>
      </c>
      <c r="B1922" s="14" t="s">
        <v>377</v>
      </c>
      <c r="C1922" t="s">
        <v>394</v>
      </c>
      <c r="D1922" s="18">
        <v>44204</v>
      </c>
      <c r="E1922" s="18">
        <v>44201</v>
      </c>
      <c r="F1922" s="34">
        <v>44203</v>
      </c>
      <c r="H1922" s="28" t="s">
        <v>210</v>
      </c>
      <c r="M1922" s="52">
        <v>53.14</v>
      </c>
    </row>
    <row r="1923" spans="1:13" x14ac:dyDescent="0.35">
      <c r="A1923" s="14" t="s">
        <v>391</v>
      </c>
      <c r="B1923" s="14" t="s">
        <v>377</v>
      </c>
      <c r="C1923" t="s">
        <v>394</v>
      </c>
      <c r="D1923" s="18">
        <v>44204</v>
      </c>
      <c r="E1923" s="18">
        <v>44201</v>
      </c>
      <c r="F1923" s="34">
        <v>44203</v>
      </c>
      <c r="H1923" s="28" t="s">
        <v>403</v>
      </c>
      <c r="M1923" s="52">
        <v>53.14</v>
      </c>
    </row>
    <row r="1924" spans="1:13" x14ac:dyDescent="0.35">
      <c r="A1924" s="14" t="s">
        <v>391</v>
      </c>
      <c r="B1924" s="14" t="s">
        <v>377</v>
      </c>
      <c r="C1924" t="s">
        <v>394</v>
      </c>
      <c r="D1924" s="18">
        <v>44204</v>
      </c>
      <c r="E1924" s="18">
        <v>44201</v>
      </c>
      <c r="F1924" s="34">
        <v>44203</v>
      </c>
      <c r="H1924" s="28" t="s">
        <v>223</v>
      </c>
      <c r="M1924" s="52">
        <v>53.14</v>
      </c>
    </row>
    <row r="1925" spans="1:13" x14ac:dyDescent="0.35">
      <c r="A1925" s="14" t="s">
        <v>391</v>
      </c>
      <c r="B1925" s="14" t="s">
        <v>377</v>
      </c>
      <c r="C1925" t="s">
        <v>394</v>
      </c>
      <c r="D1925" s="18">
        <v>44204</v>
      </c>
      <c r="E1925" s="18">
        <v>44201</v>
      </c>
      <c r="F1925" s="34">
        <v>44203</v>
      </c>
      <c r="H1925" s="28" t="s">
        <v>31</v>
      </c>
      <c r="K1925" t="s">
        <v>381</v>
      </c>
      <c r="L1925">
        <v>30</v>
      </c>
      <c r="M1925" s="52">
        <v>53.14</v>
      </c>
    </row>
    <row r="1926" spans="1:13" x14ac:dyDescent="0.35">
      <c r="A1926" s="14" t="s">
        <v>391</v>
      </c>
      <c r="B1926" s="14" t="s">
        <v>377</v>
      </c>
      <c r="C1926" t="s">
        <v>394</v>
      </c>
      <c r="D1926" s="18">
        <v>44204</v>
      </c>
      <c r="E1926" s="18">
        <v>44201</v>
      </c>
      <c r="F1926" s="34">
        <v>44203</v>
      </c>
      <c r="H1926" s="28" t="s">
        <v>56</v>
      </c>
      <c r="K1926" t="s">
        <v>381</v>
      </c>
      <c r="L1926">
        <v>50</v>
      </c>
      <c r="M1926" s="52">
        <v>53.14</v>
      </c>
    </row>
    <row r="1927" spans="1:13" x14ac:dyDescent="0.35">
      <c r="A1927" s="14" t="s">
        <v>391</v>
      </c>
      <c r="B1927" s="14" t="s">
        <v>377</v>
      </c>
      <c r="C1927" t="s">
        <v>394</v>
      </c>
      <c r="D1927" s="18">
        <v>44204</v>
      </c>
      <c r="E1927" s="18">
        <v>44201</v>
      </c>
      <c r="F1927" s="34">
        <v>44203</v>
      </c>
      <c r="H1927" s="28" t="s">
        <v>263</v>
      </c>
      <c r="M1927" s="52">
        <v>53.14</v>
      </c>
    </row>
    <row r="1928" spans="1:13" x14ac:dyDescent="0.35">
      <c r="A1928" s="14" t="s">
        <v>391</v>
      </c>
      <c r="B1928" s="14" t="s">
        <v>377</v>
      </c>
      <c r="C1928" t="s">
        <v>394</v>
      </c>
      <c r="D1928" s="18">
        <v>44204</v>
      </c>
      <c r="E1928" s="18">
        <v>44201</v>
      </c>
      <c r="F1928" s="34">
        <v>44203</v>
      </c>
      <c r="H1928" s="28" t="s">
        <v>287</v>
      </c>
      <c r="M1928" s="52">
        <v>53.14</v>
      </c>
    </row>
    <row r="1929" spans="1:13" x14ac:dyDescent="0.35">
      <c r="A1929" s="14" t="s">
        <v>391</v>
      </c>
      <c r="B1929" s="14" t="s">
        <v>377</v>
      </c>
      <c r="C1929" t="s">
        <v>394</v>
      </c>
      <c r="D1929" s="18">
        <v>44204</v>
      </c>
      <c r="E1929" s="18">
        <v>44201</v>
      </c>
      <c r="F1929" s="34">
        <v>44203</v>
      </c>
      <c r="H1929" s="28" t="s">
        <v>287</v>
      </c>
      <c r="M1929" s="52">
        <v>53.14</v>
      </c>
    </row>
    <row r="1930" spans="1:13" x14ac:dyDescent="0.35">
      <c r="A1930" s="14" t="s">
        <v>391</v>
      </c>
      <c r="B1930" s="14" t="s">
        <v>377</v>
      </c>
      <c r="C1930" t="s">
        <v>394</v>
      </c>
      <c r="D1930" s="18">
        <v>44204</v>
      </c>
      <c r="E1930" s="18">
        <v>44201</v>
      </c>
      <c r="F1930" s="34">
        <v>44203</v>
      </c>
      <c r="H1930" s="28" t="s">
        <v>307</v>
      </c>
      <c r="M1930" s="52">
        <v>53.14</v>
      </c>
    </row>
    <row r="1931" spans="1:13" x14ac:dyDescent="0.35">
      <c r="A1931" s="14" t="s">
        <v>391</v>
      </c>
      <c r="B1931" s="14" t="s">
        <v>377</v>
      </c>
      <c r="C1931" t="s">
        <v>394</v>
      </c>
      <c r="D1931" s="18">
        <v>44204</v>
      </c>
      <c r="E1931" s="18">
        <v>44201</v>
      </c>
      <c r="F1931" s="34">
        <v>44203</v>
      </c>
      <c r="H1931" s="28" t="s">
        <v>309</v>
      </c>
      <c r="M1931" s="52">
        <v>53.14</v>
      </c>
    </row>
    <row r="1932" spans="1:13" x14ac:dyDescent="0.35">
      <c r="A1932" s="14" t="s">
        <v>391</v>
      </c>
      <c r="B1932" s="14" t="s">
        <v>377</v>
      </c>
      <c r="C1932" t="s">
        <v>394</v>
      </c>
      <c r="D1932" s="18">
        <v>44204</v>
      </c>
      <c r="E1932" s="18">
        <v>44201</v>
      </c>
      <c r="F1932" s="34">
        <v>44203</v>
      </c>
      <c r="H1932" s="28" t="s">
        <v>311</v>
      </c>
      <c r="M1932" s="52">
        <v>53.14</v>
      </c>
    </row>
    <row r="1933" spans="1:13" x14ac:dyDescent="0.35">
      <c r="A1933" s="14" t="s">
        <v>391</v>
      </c>
      <c r="B1933" s="14" t="s">
        <v>377</v>
      </c>
      <c r="C1933" t="s">
        <v>394</v>
      </c>
      <c r="D1933" s="18">
        <v>44204</v>
      </c>
      <c r="E1933" s="18">
        <v>44201</v>
      </c>
      <c r="F1933" s="34">
        <v>44203</v>
      </c>
      <c r="H1933" s="28" t="s">
        <v>313</v>
      </c>
      <c r="K1933" t="s">
        <v>381</v>
      </c>
      <c r="L1933">
        <v>50</v>
      </c>
      <c r="M1933" s="52">
        <v>53.14</v>
      </c>
    </row>
    <row r="1934" spans="1:13" x14ac:dyDescent="0.35">
      <c r="A1934" s="14" t="s">
        <v>391</v>
      </c>
      <c r="B1934" s="14" t="s">
        <v>377</v>
      </c>
      <c r="C1934" t="s">
        <v>394</v>
      </c>
      <c r="D1934" s="18">
        <v>44204</v>
      </c>
      <c r="E1934" s="18">
        <v>44201</v>
      </c>
      <c r="F1934" s="34">
        <v>44203</v>
      </c>
      <c r="H1934" s="28" t="s">
        <v>315</v>
      </c>
      <c r="K1934" t="s">
        <v>381</v>
      </c>
      <c r="L1934">
        <v>30</v>
      </c>
      <c r="M1934" s="52">
        <v>53.14</v>
      </c>
    </row>
    <row r="1935" spans="1:13" x14ac:dyDescent="0.35">
      <c r="A1935" s="14" t="s">
        <v>391</v>
      </c>
      <c r="B1935" s="14" t="s">
        <v>377</v>
      </c>
      <c r="C1935" t="s">
        <v>394</v>
      </c>
      <c r="D1935" s="18">
        <v>44204</v>
      </c>
      <c r="E1935" s="18">
        <v>44201</v>
      </c>
      <c r="F1935" s="34">
        <v>44203</v>
      </c>
      <c r="H1935" s="28" t="s">
        <v>32</v>
      </c>
      <c r="K1935" t="s">
        <v>380</v>
      </c>
      <c r="L1935">
        <v>6</v>
      </c>
      <c r="M1935" s="52">
        <v>53.14</v>
      </c>
    </row>
    <row r="1936" spans="1:13" x14ac:dyDescent="0.35">
      <c r="A1936" s="14" t="s">
        <v>391</v>
      </c>
      <c r="B1936" s="14" t="s">
        <v>377</v>
      </c>
      <c r="C1936" t="s">
        <v>394</v>
      </c>
      <c r="D1936" s="18">
        <v>44204</v>
      </c>
      <c r="E1936" s="18">
        <v>44201</v>
      </c>
      <c r="F1936" s="34">
        <v>44203</v>
      </c>
      <c r="H1936" s="28" t="s">
        <v>60</v>
      </c>
      <c r="K1936" t="s">
        <v>380</v>
      </c>
      <c r="L1936">
        <v>6</v>
      </c>
      <c r="M1936" s="52">
        <v>53.14</v>
      </c>
    </row>
    <row r="1937" spans="1:13" x14ac:dyDescent="0.35">
      <c r="A1937" s="14" t="s">
        <v>391</v>
      </c>
      <c r="B1937" s="14" t="s">
        <v>377</v>
      </c>
      <c r="C1937" t="s">
        <v>394</v>
      </c>
      <c r="D1937" s="18">
        <v>44204</v>
      </c>
      <c r="E1937" s="18">
        <v>44201</v>
      </c>
      <c r="F1937" s="34">
        <v>44203</v>
      </c>
      <c r="H1937" s="28" t="s">
        <v>327</v>
      </c>
      <c r="K1937" t="s">
        <v>380</v>
      </c>
      <c r="L1937">
        <v>6</v>
      </c>
      <c r="M1937" s="52">
        <v>53.14</v>
      </c>
    </row>
    <row r="1938" spans="1:13" x14ac:dyDescent="0.35">
      <c r="A1938" s="14" t="s">
        <v>391</v>
      </c>
      <c r="B1938" s="14" t="s">
        <v>377</v>
      </c>
      <c r="C1938" t="s">
        <v>394</v>
      </c>
      <c r="D1938" s="18">
        <v>44204</v>
      </c>
      <c r="E1938" s="18">
        <v>44201</v>
      </c>
      <c r="F1938" s="34">
        <v>44203</v>
      </c>
      <c r="H1938" s="28" t="s">
        <v>335</v>
      </c>
      <c r="M1938" s="52">
        <v>53.14</v>
      </c>
    </row>
    <row r="1939" spans="1:13" x14ac:dyDescent="0.35">
      <c r="A1939" s="14" t="s">
        <v>391</v>
      </c>
      <c r="B1939" s="14" t="s">
        <v>377</v>
      </c>
      <c r="C1939" t="s">
        <v>394</v>
      </c>
      <c r="D1939" s="18">
        <v>44204</v>
      </c>
      <c r="E1939" s="18">
        <v>44201</v>
      </c>
      <c r="F1939" s="34">
        <v>44203</v>
      </c>
      <c r="H1939" s="28" t="s">
        <v>339</v>
      </c>
      <c r="M1939" s="52">
        <v>53.14</v>
      </c>
    </row>
    <row r="1940" spans="1:13" x14ac:dyDescent="0.35">
      <c r="A1940" s="14" t="s">
        <v>391</v>
      </c>
      <c r="B1940" s="14" t="s">
        <v>377</v>
      </c>
      <c r="C1940" t="s">
        <v>394</v>
      </c>
      <c r="D1940" s="18">
        <v>44204</v>
      </c>
      <c r="E1940" s="18">
        <v>44201</v>
      </c>
      <c r="F1940" s="34">
        <v>44203</v>
      </c>
      <c r="H1940" s="28" t="s">
        <v>341</v>
      </c>
      <c r="M1940" s="52">
        <v>53.14</v>
      </c>
    </row>
    <row r="1941" spans="1:13" x14ac:dyDescent="0.35">
      <c r="A1941" s="14" t="s">
        <v>391</v>
      </c>
      <c r="B1941" s="14" t="s">
        <v>377</v>
      </c>
      <c r="C1941" t="s">
        <v>394</v>
      </c>
      <c r="D1941" s="18">
        <v>44204</v>
      </c>
      <c r="E1941" s="18">
        <v>44201</v>
      </c>
      <c r="F1941" s="34">
        <v>44203</v>
      </c>
      <c r="H1941" s="28" t="s">
        <v>345</v>
      </c>
      <c r="K1941" t="s">
        <v>381</v>
      </c>
      <c r="L1941">
        <v>50</v>
      </c>
      <c r="M1941" s="52">
        <v>53.14</v>
      </c>
    </row>
    <row r="1942" spans="1:13" x14ac:dyDescent="0.35">
      <c r="A1942" s="14" t="s">
        <v>391</v>
      </c>
      <c r="B1942" s="14" t="s">
        <v>377</v>
      </c>
      <c r="C1942" t="s">
        <v>394</v>
      </c>
      <c r="D1942" s="18">
        <v>44204</v>
      </c>
      <c r="E1942" s="18">
        <v>44201</v>
      </c>
      <c r="F1942" s="34">
        <v>44203</v>
      </c>
      <c r="H1942" s="28" t="s">
        <v>59</v>
      </c>
      <c r="M1942" s="52">
        <v>53.14</v>
      </c>
    </row>
    <row r="1943" spans="1:13" x14ac:dyDescent="0.35">
      <c r="A1943" s="14" t="s">
        <v>391</v>
      </c>
      <c r="B1943" s="14" t="s">
        <v>377</v>
      </c>
      <c r="C1943" t="s">
        <v>394</v>
      </c>
      <c r="D1943" s="18">
        <v>44204</v>
      </c>
      <c r="E1943" s="18">
        <v>44201</v>
      </c>
      <c r="F1943" s="34">
        <v>44203</v>
      </c>
      <c r="H1943" s="28" t="s">
        <v>360</v>
      </c>
      <c r="M1943" s="52">
        <v>53.14</v>
      </c>
    </row>
    <row r="1944" spans="1:13" x14ac:dyDescent="0.35">
      <c r="A1944" s="14" t="s">
        <v>391</v>
      </c>
      <c r="B1944" s="14" t="s">
        <v>377</v>
      </c>
      <c r="C1944" t="s">
        <v>395</v>
      </c>
      <c r="D1944" s="18">
        <v>44204</v>
      </c>
      <c r="E1944" s="18">
        <v>44201</v>
      </c>
      <c r="F1944" s="34">
        <v>44207</v>
      </c>
      <c r="H1944" s="28" t="s">
        <v>68</v>
      </c>
      <c r="M1944" s="52">
        <v>10.390204917714792</v>
      </c>
    </row>
    <row r="1945" spans="1:13" x14ac:dyDescent="0.35">
      <c r="A1945" s="14" t="s">
        <v>391</v>
      </c>
      <c r="B1945" s="14" t="s">
        <v>377</v>
      </c>
      <c r="C1945" t="s">
        <v>395</v>
      </c>
      <c r="D1945" s="18">
        <v>44204</v>
      </c>
      <c r="E1945" s="18">
        <v>44201</v>
      </c>
      <c r="F1945" s="34">
        <v>44207</v>
      </c>
      <c r="H1945" s="28" t="s">
        <v>96</v>
      </c>
      <c r="M1945" s="52">
        <v>10.390204917714792</v>
      </c>
    </row>
    <row r="1946" spans="1:13" x14ac:dyDescent="0.35">
      <c r="A1946" s="14" t="s">
        <v>391</v>
      </c>
      <c r="B1946" s="14" t="s">
        <v>377</v>
      </c>
      <c r="C1946" t="s">
        <v>395</v>
      </c>
      <c r="D1946" s="18">
        <v>44204</v>
      </c>
      <c r="E1946" s="18">
        <v>44201</v>
      </c>
      <c r="F1946" s="34">
        <v>44207</v>
      </c>
      <c r="H1946" s="28" t="s">
        <v>96</v>
      </c>
      <c r="M1946" s="52">
        <v>10.390204917714792</v>
      </c>
    </row>
    <row r="1947" spans="1:13" x14ac:dyDescent="0.35">
      <c r="A1947" s="14" t="s">
        <v>391</v>
      </c>
      <c r="B1947" s="14" t="s">
        <v>377</v>
      </c>
      <c r="C1947" t="s">
        <v>395</v>
      </c>
      <c r="D1947" s="18">
        <v>44204</v>
      </c>
      <c r="E1947" s="18">
        <v>44201</v>
      </c>
      <c r="F1947" s="34">
        <v>44207</v>
      </c>
      <c r="H1947" s="28" t="s">
        <v>72</v>
      </c>
      <c r="M1947" s="52">
        <v>10.390204917714792</v>
      </c>
    </row>
    <row r="1948" spans="1:13" x14ac:dyDescent="0.35">
      <c r="A1948" s="14" t="s">
        <v>391</v>
      </c>
      <c r="B1948" s="14" t="s">
        <v>377</v>
      </c>
      <c r="C1948" t="s">
        <v>395</v>
      </c>
      <c r="D1948" s="18">
        <v>44204</v>
      </c>
      <c r="E1948" s="18">
        <v>44201</v>
      </c>
      <c r="F1948" s="34">
        <v>44207</v>
      </c>
      <c r="H1948" s="28" t="s">
        <v>72</v>
      </c>
      <c r="M1948" s="52">
        <v>10.390204917714792</v>
      </c>
    </row>
    <row r="1949" spans="1:13" x14ac:dyDescent="0.35">
      <c r="A1949" s="14" t="s">
        <v>391</v>
      </c>
      <c r="B1949" s="14" t="s">
        <v>377</v>
      </c>
      <c r="C1949" t="s">
        <v>395</v>
      </c>
      <c r="D1949" s="18">
        <v>44204</v>
      </c>
      <c r="E1949" s="18">
        <v>44201</v>
      </c>
      <c r="F1949" s="34">
        <v>44207</v>
      </c>
      <c r="H1949" s="28" t="s">
        <v>41</v>
      </c>
      <c r="K1949" t="s">
        <v>381</v>
      </c>
      <c r="L1949">
        <v>75</v>
      </c>
      <c r="M1949" s="52">
        <v>10.390204917714792</v>
      </c>
    </row>
    <row r="1950" spans="1:13" x14ac:dyDescent="0.35">
      <c r="A1950" s="14" t="s">
        <v>391</v>
      </c>
      <c r="B1950" s="14" t="s">
        <v>377</v>
      </c>
      <c r="C1950" t="s">
        <v>395</v>
      </c>
      <c r="D1950" s="18">
        <v>44204</v>
      </c>
      <c r="E1950" s="18">
        <v>44201</v>
      </c>
      <c r="F1950" s="34">
        <v>44207</v>
      </c>
      <c r="H1950" s="28" t="s">
        <v>39</v>
      </c>
      <c r="K1950" t="s">
        <v>381</v>
      </c>
      <c r="L1950">
        <v>50</v>
      </c>
      <c r="M1950" s="52">
        <v>10.390204917714792</v>
      </c>
    </row>
    <row r="1951" spans="1:13" x14ac:dyDescent="0.35">
      <c r="A1951" s="14" t="s">
        <v>391</v>
      </c>
      <c r="B1951" s="14" t="s">
        <v>377</v>
      </c>
      <c r="C1951" t="s">
        <v>395</v>
      </c>
      <c r="D1951" s="18">
        <v>44204</v>
      </c>
      <c r="E1951" s="18">
        <v>44201</v>
      </c>
      <c r="F1951" s="34">
        <v>44207</v>
      </c>
      <c r="H1951" s="28" t="s">
        <v>44</v>
      </c>
      <c r="M1951" s="52">
        <v>10.390204917714792</v>
      </c>
    </row>
    <row r="1952" spans="1:13" x14ac:dyDescent="0.35">
      <c r="A1952" s="14" t="s">
        <v>391</v>
      </c>
      <c r="B1952" s="14" t="s">
        <v>377</v>
      </c>
      <c r="C1952" t="s">
        <v>395</v>
      </c>
      <c r="D1952" s="18">
        <v>44204</v>
      </c>
      <c r="E1952" s="18">
        <v>44201</v>
      </c>
      <c r="F1952" s="34">
        <v>44207</v>
      </c>
      <c r="H1952" s="28" t="s">
        <v>55</v>
      </c>
      <c r="M1952" s="52">
        <v>10.390204917714792</v>
      </c>
    </row>
    <row r="1953" spans="1:13" x14ac:dyDescent="0.35">
      <c r="A1953" s="14" t="s">
        <v>391</v>
      </c>
      <c r="B1953" s="14" t="s">
        <v>377</v>
      </c>
      <c r="C1953" t="s">
        <v>395</v>
      </c>
      <c r="D1953" s="18">
        <v>44204</v>
      </c>
      <c r="E1953" s="18">
        <v>44201</v>
      </c>
      <c r="F1953" s="34">
        <v>44207</v>
      </c>
      <c r="H1953" s="28" t="s">
        <v>55</v>
      </c>
      <c r="M1953" s="52">
        <v>10.390204917714792</v>
      </c>
    </row>
    <row r="1954" spans="1:13" x14ac:dyDescent="0.35">
      <c r="A1954" s="14" t="s">
        <v>391</v>
      </c>
      <c r="B1954" s="14" t="s">
        <v>377</v>
      </c>
      <c r="C1954" t="s">
        <v>395</v>
      </c>
      <c r="D1954" s="18">
        <v>44204</v>
      </c>
      <c r="E1954" s="18">
        <v>44201</v>
      </c>
      <c r="F1954" s="34">
        <v>44207</v>
      </c>
      <c r="H1954" s="28" t="s">
        <v>125</v>
      </c>
      <c r="M1954" s="52">
        <v>10.390204917714792</v>
      </c>
    </row>
    <row r="1955" spans="1:13" x14ac:dyDescent="0.35">
      <c r="A1955" s="14" t="s">
        <v>391</v>
      </c>
      <c r="B1955" s="14" t="s">
        <v>377</v>
      </c>
      <c r="C1955" t="s">
        <v>395</v>
      </c>
      <c r="D1955" s="18">
        <v>44204</v>
      </c>
      <c r="E1955" s="18">
        <v>44201</v>
      </c>
      <c r="F1955" s="34">
        <v>44207</v>
      </c>
      <c r="H1955" s="28" t="s">
        <v>127</v>
      </c>
      <c r="M1955" s="52">
        <v>10.390204917714792</v>
      </c>
    </row>
    <row r="1956" spans="1:13" x14ac:dyDescent="0.35">
      <c r="A1956" s="14" t="s">
        <v>391</v>
      </c>
      <c r="B1956" s="14" t="s">
        <v>377</v>
      </c>
      <c r="C1956" t="s">
        <v>395</v>
      </c>
      <c r="D1956" s="18">
        <v>44204</v>
      </c>
      <c r="E1956" s="18">
        <v>44201</v>
      </c>
      <c r="F1956" s="34">
        <v>44207</v>
      </c>
      <c r="H1956" s="28" t="s">
        <v>25</v>
      </c>
      <c r="K1956" t="s">
        <v>381</v>
      </c>
      <c r="L1956">
        <v>50</v>
      </c>
      <c r="M1956" s="52">
        <v>10.390204917714792</v>
      </c>
    </row>
    <row r="1957" spans="1:13" x14ac:dyDescent="0.35">
      <c r="A1957" s="14" t="s">
        <v>391</v>
      </c>
      <c r="B1957" s="14" t="s">
        <v>377</v>
      </c>
      <c r="C1957" t="s">
        <v>395</v>
      </c>
      <c r="D1957" s="18">
        <v>44204</v>
      </c>
      <c r="E1957" s="18">
        <v>44201</v>
      </c>
      <c r="F1957" s="34">
        <v>44207</v>
      </c>
      <c r="H1957" s="28" t="s">
        <v>23</v>
      </c>
      <c r="K1957" t="s">
        <v>381</v>
      </c>
      <c r="L1957">
        <v>50</v>
      </c>
      <c r="M1957" s="52">
        <v>10.390204917714792</v>
      </c>
    </row>
    <row r="1958" spans="1:13" x14ac:dyDescent="0.35">
      <c r="A1958" s="14" t="s">
        <v>391</v>
      </c>
      <c r="B1958" s="14" t="s">
        <v>377</v>
      </c>
      <c r="C1958" t="s">
        <v>395</v>
      </c>
      <c r="D1958" s="18">
        <v>44204</v>
      </c>
      <c r="E1958" s="18">
        <v>44201</v>
      </c>
      <c r="F1958" s="34">
        <v>44207</v>
      </c>
      <c r="H1958" s="28" t="s">
        <v>23</v>
      </c>
      <c r="K1958" t="s">
        <v>380</v>
      </c>
      <c r="L1958">
        <v>10</v>
      </c>
      <c r="M1958" s="52">
        <v>10.390204917714792</v>
      </c>
    </row>
    <row r="1959" spans="1:13" x14ac:dyDescent="0.35">
      <c r="A1959" s="14" t="s">
        <v>391</v>
      </c>
      <c r="B1959" s="14" t="s">
        <v>377</v>
      </c>
      <c r="C1959" t="s">
        <v>395</v>
      </c>
      <c r="D1959" s="18">
        <v>44204</v>
      </c>
      <c r="E1959" s="18">
        <v>44201</v>
      </c>
      <c r="F1959" s="34">
        <v>44207</v>
      </c>
      <c r="H1959" s="28" t="s">
        <v>24</v>
      </c>
      <c r="K1959" t="s">
        <v>381</v>
      </c>
      <c r="L1959">
        <v>50</v>
      </c>
      <c r="M1959" s="52">
        <v>10.390204917714792</v>
      </c>
    </row>
    <row r="1960" spans="1:13" x14ac:dyDescent="0.35">
      <c r="A1960" s="14" t="s">
        <v>391</v>
      </c>
      <c r="B1960" s="14" t="s">
        <v>377</v>
      </c>
      <c r="C1960" t="s">
        <v>395</v>
      </c>
      <c r="D1960" s="18">
        <v>44204</v>
      </c>
      <c r="E1960" s="18">
        <v>44201</v>
      </c>
      <c r="F1960" s="34">
        <v>44207</v>
      </c>
      <c r="H1960" s="28" t="s">
        <v>24</v>
      </c>
      <c r="K1960" t="s">
        <v>380</v>
      </c>
      <c r="L1960">
        <v>10</v>
      </c>
      <c r="M1960" s="52">
        <v>10.390204917714792</v>
      </c>
    </row>
    <row r="1961" spans="1:13" x14ac:dyDescent="0.35">
      <c r="A1961" s="14" t="s">
        <v>391</v>
      </c>
      <c r="B1961" s="14" t="s">
        <v>377</v>
      </c>
      <c r="C1961" t="s">
        <v>395</v>
      </c>
      <c r="D1961" s="18">
        <v>44204</v>
      </c>
      <c r="E1961" s="18">
        <v>44201</v>
      </c>
      <c r="F1961" s="34">
        <v>44207</v>
      </c>
      <c r="H1961" s="28" t="s">
        <v>27</v>
      </c>
      <c r="K1961" t="s">
        <v>381</v>
      </c>
      <c r="L1961">
        <v>50</v>
      </c>
      <c r="M1961" s="52">
        <v>10.390204917714792</v>
      </c>
    </row>
    <row r="1962" spans="1:13" x14ac:dyDescent="0.35">
      <c r="A1962" s="14" t="s">
        <v>391</v>
      </c>
      <c r="B1962" s="14" t="s">
        <v>377</v>
      </c>
      <c r="C1962" t="s">
        <v>395</v>
      </c>
      <c r="D1962" s="18">
        <v>44204</v>
      </c>
      <c r="E1962" s="18">
        <v>44201</v>
      </c>
      <c r="F1962" s="34">
        <v>44207</v>
      </c>
      <c r="H1962" s="28" t="s">
        <v>27</v>
      </c>
      <c r="K1962" t="s">
        <v>380</v>
      </c>
      <c r="L1962">
        <v>25</v>
      </c>
      <c r="M1962" s="52">
        <v>10.390204917714792</v>
      </c>
    </row>
    <row r="1963" spans="1:13" x14ac:dyDescent="0.35">
      <c r="A1963" s="14" t="s">
        <v>391</v>
      </c>
      <c r="B1963" s="14" t="s">
        <v>377</v>
      </c>
      <c r="C1963" t="s">
        <v>395</v>
      </c>
      <c r="D1963" s="18">
        <v>44204</v>
      </c>
      <c r="E1963" s="18">
        <v>44201</v>
      </c>
      <c r="F1963" s="34">
        <v>44207</v>
      </c>
      <c r="H1963" s="28" t="s">
        <v>28</v>
      </c>
      <c r="K1963" t="s">
        <v>381</v>
      </c>
      <c r="L1963">
        <v>50</v>
      </c>
      <c r="M1963" s="52">
        <v>10.390204917714792</v>
      </c>
    </row>
    <row r="1964" spans="1:13" x14ac:dyDescent="0.35">
      <c r="A1964" s="14" t="s">
        <v>391</v>
      </c>
      <c r="B1964" s="14" t="s">
        <v>377</v>
      </c>
      <c r="C1964" t="s">
        <v>395</v>
      </c>
      <c r="D1964" s="18">
        <v>44204</v>
      </c>
      <c r="E1964" s="18">
        <v>44201</v>
      </c>
      <c r="F1964" s="34">
        <v>44207</v>
      </c>
      <c r="H1964" s="28" t="s">
        <v>28</v>
      </c>
      <c r="K1964" t="s">
        <v>380</v>
      </c>
      <c r="L1964">
        <v>25</v>
      </c>
      <c r="M1964" s="52">
        <v>10.390204917714792</v>
      </c>
    </row>
    <row r="1965" spans="1:13" x14ac:dyDescent="0.35">
      <c r="A1965" s="14" t="s">
        <v>391</v>
      </c>
      <c r="B1965" s="14" t="s">
        <v>377</v>
      </c>
      <c r="C1965" t="s">
        <v>395</v>
      </c>
      <c r="D1965" s="18">
        <v>44204</v>
      </c>
      <c r="E1965" s="18">
        <v>44201</v>
      </c>
      <c r="F1965" s="34">
        <v>44207</v>
      </c>
      <c r="H1965" s="28" t="s">
        <v>176</v>
      </c>
      <c r="M1965" s="52">
        <v>10.390204917714792</v>
      </c>
    </row>
    <row r="1966" spans="1:13" x14ac:dyDescent="0.35">
      <c r="A1966" s="14" t="s">
        <v>391</v>
      </c>
      <c r="B1966" s="14" t="s">
        <v>377</v>
      </c>
      <c r="C1966" t="s">
        <v>395</v>
      </c>
      <c r="D1966" s="18">
        <v>44204</v>
      </c>
      <c r="E1966" s="18">
        <v>44201</v>
      </c>
      <c r="F1966" s="34">
        <v>44207</v>
      </c>
      <c r="H1966" s="28" t="s">
        <v>176</v>
      </c>
      <c r="M1966" s="52">
        <v>10.390204917714792</v>
      </c>
    </row>
    <row r="1967" spans="1:13" x14ac:dyDescent="0.35">
      <c r="A1967" s="14" t="s">
        <v>391</v>
      </c>
      <c r="B1967" s="14" t="s">
        <v>377</v>
      </c>
      <c r="C1967" t="s">
        <v>395</v>
      </c>
      <c r="D1967" s="18">
        <v>44204</v>
      </c>
      <c r="E1967" s="18">
        <v>44201</v>
      </c>
      <c r="F1967" s="34">
        <v>44207</v>
      </c>
      <c r="H1967" s="28" t="s">
        <v>29</v>
      </c>
      <c r="K1967" t="s">
        <v>381</v>
      </c>
      <c r="L1967">
        <v>50</v>
      </c>
      <c r="M1967" s="52">
        <v>10.390204917714792</v>
      </c>
    </row>
    <row r="1968" spans="1:13" x14ac:dyDescent="0.35">
      <c r="A1968" s="14" t="s">
        <v>391</v>
      </c>
      <c r="B1968" s="14" t="s">
        <v>377</v>
      </c>
      <c r="C1968" t="s">
        <v>395</v>
      </c>
      <c r="D1968" s="18">
        <v>44204</v>
      </c>
      <c r="E1968" s="18">
        <v>44201</v>
      </c>
      <c r="F1968" s="34">
        <v>44207</v>
      </c>
      <c r="H1968" s="28" t="s">
        <v>29</v>
      </c>
      <c r="M1968" s="52">
        <v>10.390204917714792</v>
      </c>
    </row>
    <row r="1969" spans="1:13" x14ac:dyDescent="0.35">
      <c r="A1969" s="14" t="s">
        <v>391</v>
      </c>
      <c r="B1969" s="14" t="s">
        <v>377</v>
      </c>
      <c r="C1969" t="s">
        <v>395</v>
      </c>
      <c r="D1969" s="18">
        <v>44204</v>
      </c>
      <c r="E1969" s="18">
        <v>44201</v>
      </c>
      <c r="F1969" s="34">
        <v>44207</v>
      </c>
      <c r="H1969" s="28" t="s">
        <v>198</v>
      </c>
      <c r="M1969" s="52">
        <v>10.390204917714792</v>
      </c>
    </row>
    <row r="1970" spans="1:13" x14ac:dyDescent="0.35">
      <c r="A1970" s="14" t="s">
        <v>391</v>
      </c>
      <c r="B1970" s="14" t="s">
        <v>377</v>
      </c>
      <c r="C1970" t="s">
        <v>395</v>
      </c>
      <c r="D1970" s="18">
        <v>44204</v>
      </c>
      <c r="E1970" s="18">
        <v>44201</v>
      </c>
      <c r="F1970" s="34">
        <v>44207</v>
      </c>
      <c r="H1970" s="28" t="s">
        <v>393</v>
      </c>
      <c r="M1970" s="52">
        <v>10.390204917714792</v>
      </c>
    </row>
    <row r="1971" spans="1:13" x14ac:dyDescent="0.35">
      <c r="A1971" s="14" t="s">
        <v>391</v>
      </c>
      <c r="B1971" s="14" t="s">
        <v>377</v>
      </c>
      <c r="C1971" t="s">
        <v>395</v>
      </c>
      <c r="D1971" s="18">
        <v>44204</v>
      </c>
      <c r="E1971" s="18">
        <v>44201</v>
      </c>
      <c r="F1971" s="34">
        <v>44207</v>
      </c>
      <c r="H1971" s="28" t="s">
        <v>204</v>
      </c>
      <c r="M1971" s="52">
        <v>10.390204917714792</v>
      </c>
    </row>
    <row r="1972" spans="1:13" x14ac:dyDescent="0.35">
      <c r="A1972" s="14" t="s">
        <v>391</v>
      </c>
      <c r="B1972" s="14" t="s">
        <v>377</v>
      </c>
      <c r="C1972" t="s">
        <v>395</v>
      </c>
      <c r="D1972" s="18">
        <v>44204</v>
      </c>
      <c r="E1972" s="18">
        <v>44201</v>
      </c>
      <c r="F1972" s="34">
        <v>44207</v>
      </c>
      <c r="H1972" s="28" t="s">
        <v>210</v>
      </c>
      <c r="M1972" s="52">
        <v>10.390204917714792</v>
      </c>
    </row>
    <row r="1973" spans="1:13" x14ac:dyDescent="0.35">
      <c r="A1973" s="14" t="s">
        <v>391</v>
      </c>
      <c r="B1973" s="14" t="s">
        <v>377</v>
      </c>
      <c r="C1973" t="s">
        <v>395</v>
      </c>
      <c r="D1973" s="18">
        <v>44204</v>
      </c>
      <c r="E1973" s="18">
        <v>44201</v>
      </c>
      <c r="F1973" s="34">
        <v>44207</v>
      </c>
      <c r="H1973" s="28" t="s">
        <v>223</v>
      </c>
      <c r="M1973" s="52">
        <v>10.390204917714792</v>
      </c>
    </row>
    <row r="1974" spans="1:13" x14ac:dyDescent="0.35">
      <c r="A1974" s="14" t="s">
        <v>391</v>
      </c>
      <c r="B1974" s="14" t="s">
        <v>377</v>
      </c>
      <c r="C1974" t="s">
        <v>395</v>
      </c>
      <c r="D1974" s="18">
        <v>44204</v>
      </c>
      <c r="E1974" s="18">
        <v>44201</v>
      </c>
      <c r="F1974" s="34">
        <v>44207</v>
      </c>
      <c r="H1974" s="28" t="s">
        <v>284</v>
      </c>
      <c r="M1974" s="52">
        <v>10.390204917714792</v>
      </c>
    </row>
    <row r="1975" spans="1:13" x14ac:dyDescent="0.35">
      <c r="A1975" s="14" t="s">
        <v>391</v>
      </c>
      <c r="B1975" s="14" t="s">
        <v>377</v>
      </c>
      <c r="C1975" t="s">
        <v>395</v>
      </c>
      <c r="D1975" s="18">
        <v>44204</v>
      </c>
      <c r="E1975" s="18">
        <v>44201</v>
      </c>
      <c r="F1975" s="34">
        <v>44207</v>
      </c>
      <c r="H1975" s="28" t="s">
        <v>284</v>
      </c>
      <c r="M1975" s="52">
        <v>10.390204917714792</v>
      </c>
    </row>
    <row r="1976" spans="1:13" x14ac:dyDescent="0.35">
      <c r="A1976" s="14" t="s">
        <v>391</v>
      </c>
      <c r="B1976" s="14" t="s">
        <v>377</v>
      </c>
      <c r="C1976" t="s">
        <v>395</v>
      </c>
      <c r="D1976" s="18">
        <v>44204</v>
      </c>
      <c r="E1976" s="18">
        <v>44201</v>
      </c>
      <c r="F1976" s="34">
        <v>44207</v>
      </c>
      <c r="H1976" s="28" t="s">
        <v>313</v>
      </c>
      <c r="K1976" t="s">
        <v>381</v>
      </c>
      <c r="L1976">
        <v>75</v>
      </c>
      <c r="M1976" s="52">
        <v>10.390204917714792</v>
      </c>
    </row>
    <row r="1977" spans="1:13" x14ac:dyDescent="0.35">
      <c r="A1977" s="14" t="s">
        <v>391</v>
      </c>
      <c r="B1977" s="14" t="s">
        <v>377</v>
      </c>
      <c r="C1977" t="s">
        <v>395</v>
      </c>
      <c r="D1977" s="18">
        <v>44204</v>
      </c>
      <c r="E1977" s="18">
        <v>44201</v>
      </c>
      <c r="F1977" s="34">
        <v>44207</v>
      </c>
      <c r="H1977" s="28" t="s">
        <v>315</v>
      </c>
      <c r="K1977" t="s">
        <v>381</v>
      </c>
      <c r="L1977">
        <v>50</v>
      </c>
      <c r="M1977" s="52">
        <v>10.390204917714792</v>
      </c>
    </row>
    <row r="1978" spans="1:13" x14ac:dyDescent="0.35">
      <c r="A1978" s="14" t="s">
        <v>391</v>
      </c>
      <c r="B1978" s="14" t="s">
        <v>377</v>
      </c>
      <c r="C1978" t="s">
        <v>395</v>
      </c>
      <c r="D1978" s="18">
        <v>44204</v>
      </c>
      <c r="E1978" s="18">
        <v>44201</v>
      </c>
      <c r="F1978" s="34">
        <v>44207</v>
      </c>
      <c r="H1978" s="28" t="s">
        <v>32</v>
      </c>
      <c r="K1978" t="s">
        <v>380</v>
      </c>
      <c r="L1978">
        <v>10</v>
      </c>
      <c r="M1978" s="52">
        <v>10.390204917714792</v>
      </c>
    </row>
    <row r="1979" spans="1:13" x14ac:dyDescent="0.35">
      <c r="A1979" s="14" t="s">
        <v>391</v>
      </c>
      <c r="B1979" s="14" t="s">
        <v>377</v>
      </c>
      <c r="C1979" t="s">
        <v>395</v>
      </c>
      <c r="D1979" s="18">
        <v>44204</v>
      </c>
      <c r="E1979" s="18">
        <v>44201</v>
      </c>
      <c r="F1979" s="34">
        <v>44207</v>
      </c>
      <c r="H1979" s="28" t="s">
        <v>335</v>
      </c>
      <c r="M1979" s="52">
        <v>10.390204917714792</v>
      </c>
    </row>
    <row r="1980" spans="1:13" x14ac:dyDescent="0.35">
      <c r="A1980" s="14" t="s">
        <v>391</v>
      </c>
      <c r="B1980" s="14" t="s">
        <v>377</v>
      </c>
      <c r="C1980" t="s">
        <v>394</v>
      </c>
      <c r="D1980" s="18">
        <v>44207</v>
      </c>
      <c r="E1980" s="34">
        <v>44203</v>
      </c>
      <c r="F1980" s="34">
        <v>44209</v>
      </c>
      <c r="H1980" s="28" t="s">
        <v>68</v>
      </c>
      <c r="M1980" s="52">
        <v>54.490974481655471</v>
      </c>
    </row>
    <row r="1981" spans="1:13" x14ac:dyDescent="0.35">
      <c r="A1981" s="14" t="s">
        <v>391</v>
      </c>
      <c r="B1981" s="14" t="s">
        <v>377</v>
      </c>
      <c r="C1981" t="s">
        <v>394</v>
      </c>
      <c r="D1981" s="18">
        <v>44207</v>
      </c>
      <c r="E1981" s="34">
        <v>44203</v>
      </c>
      <c r="F1981" s="34">
        <v>44209</v>
      </c>
      <c r="H1981" s="28" t="s">
        <v>96</v>
      </c>
      <c r="M1981" s="52">
        <v>54.490974481655471</v>
      </c>
    </row>
    <row r="1982" spans="1:13" x14ac:dyDescent="0.35">
      <c r="A1982" s="14" t="s">
        <v>391</v>
      </c>
      <c r="B1982" s="14" t="s">
        <v>377</v>
      </c>
      <c r="C1982" t="s">
        <v>394</v>
      </c>
      <c r="D1982" s="18">
        <v>44207</v>
      </c>
      <c r="E1982" s="34">
        <v>44203</v>
      </c>
      <c r="F1982" s="34">
        <v>44209</v>
      </c>
      <c r="H1982" s="28" t="s">
        <v>72</v>
      </c>
      <c r="M1982" s="52">
        <v>54.490974481655471</v>
      </c>
    </row>
    <row r="1983" spans="1:13" x14ac:dyDescent="0.35">
      <c r="A1983" s="14" t="s">
        <v>391</v>
      </c>
      <c r="B1983" s="14" t="s">
        <v>377</v>
      </c>
      <c r="C1983" t="s">
        <v>394</v>
      </c>
      <c r="D1983" s="18">
        <v>44207</v>
      </c>
      <c r="E1983" s="34">
        <v>44203</v>
      </c>
      <c r="F1983" s="34">
        <v>44209</v>
      </c>
      <c r="H1983" s="28" t="s">
        <v>47</v>
      </c>
      <c r="K1983" t="s">
        <v>381</v>
      </c>
      <c r="L1983">
        <v>20</v>
      </c>
      <c r="M1983" s="52">
        <v>54.490974481655471</v>
      </c>
    </row>
    <row r="1984" spans="1:13" x14ac:dyDescent="0.35">
      <c r="A1984" s="14" t="s">
        <v>391</v>
      </c>
      <c r="B1984" s="14" t="s">
        <v>377</v>
      </c>
      <c r="C1984" t="s">
        <v>394</v>
      </c>
      <c r="D1984" s="18">
        <v>44207</v>
      </c>
      <c r="E1984" s="34">
        <v>44203</v>
      </c>
      <c r="F1984" s="34">
        <v>44209</v>
      </c>
      <c r="H1984" s="28" t="s">
        <v>50</v>
      </c>
      <c r="K1984" t="s">
        <v>381</v>
      </c>
      <c r="L1984">
        <v>50</v>
      </c>
      <c r="M1984" s="52">
        <v>54.490974481655471</v>
      </c>
    </row>
    <row r="1985" spans="1:13" x14ac:dyDescent="0.35">
      <c r="A1985" s="14" t="s">
        <v>391</v>
      </c>
      <c r="B1985" s="14" t="s">
        <v>377</v>
      </c>
      <c r="C1985" t="s">
        <v>394</v>
      </c>
      <c r="D1985" s="18">
        <v>44207</v>
      </c>
      <c r="E1985" s="34">
        <v>44203</v>
      </c>
      <c r="F1985" s="34">
        <v>44209</v>
      </c>
      <c r="H1985" s="28" t="s">
        <v>41</v>
      </c>
      <c r="K1985" t="s">
        <v>381</v>
      </c>
      <c r="L1985">
        <v>50</v>
      </c>
      <c r="M1985" s="52">
        <v>54.490974481655471</v>
      </c>
    </row>
    <row r="1986" spans="1:13" x14ac:dyDescent="0.35">
      <c r="A1986" s="14" t="s">
        <v>391</v>
      </c>
      <c r="B1986" s="14" t="s">
        <v>377</v>
      </c>
      <c r="C1986" t="s">
        <v>394</v>
      </c>
      <c r="D1986" s="18">
        <v>44207</v>
      </c>
      <c r="E1986" s="34">
        <v>44203</v>
      </c>
      <c r="F1986" s="34">
        <v>44209</v>
      </c>
      <c r="H1986" s="28" t="s">
        <v>39</v>
      </c>
      <c r="K1986" t="s">
        <v>381</v>
      </c>
      <c r="L1986">
        <v>25</v>
      </c>
      <c r="M1986" s="52">
        <v>54.490974481655471</v>
      </c>
    </row>
    <row r="1987" spans="1:13" x14ac:dyDescent="0.35">
      <c r="A1987" s="14" t="s">
        <v>391</v>
      </c>
      <c r="B1987" s="14" t="s">
        <v>377</v>
      </c>
      <c r="C1987" t="s">
        <v>394</v>
      </c>
      <c r="D1987" s="18">
        <v>44207</v>
      </c>
      <c r="E1987" s="34">
        <v>44203</v>
      </c>
      <c r="F1987" s="34">
        <v>44209</v>
      </c>
      <c r="H1987" s="28" t="s">
        <v>116</v>
      </c>
      <c r="K1987" t="s">
        <v>381</v>
      </c>
      <c r="L1987">
        <v>25</v>
      </c>
      <c r="M1987" s="52">
        <v>54.490974481655471</v>
      </c>
    </row>
    <row r="1988" spans="1:13" x14ac:dyDescent="0.35">
      <c r="A1988" s="14" t="s">
        <v>391</v>
      </c>
      <c r="B1988" s="14" t="s">
        <v>377</v>
      </c>
      <c r="C1988" t="s">
        <v>394</v>
      </c>
      <c r="D1988" s="18">
        <v>44207</v>
      </c>
      <c r="E1988" s="34">
        <v>44203</v>
      </c>
      <c r="F1988" s="34">
        <v>44209</v>
      </c>
      <c r="H1988" s="28" t="s">
        <v>123</v>
      </c>
      <c r="M1988" s="52">
        <v>54.490974481655471</v>
      </c>
    </row>
    <row r="1989" spans="1:13" x14ac:dyDescent="0.35">
      <c r="A1989" s="14" t="s">
        <v>391</v>
      </c>
      <c r="B1989" s="14" t="s">
        <v>377</v>
      </c>
      <c r="C1989" t="s">
        <v>394</v>
      </c>
      <c r="D1989" s="18">
        <v>44207</v>
      </c>
      <c r="E1989" s="34">
        <v>44203</v>
      </c>
      <c r="F1989" s="34">
        <v>44209</v>
      </c>
      <c r="H1989" s="28" t="s">
        <v>150</v>
      </c>
      <c r="M1989" s="52">
        <v>54.490974481655471</v>
      </c>
    </row>
    <row r="1990" spans="1:13" x14ac:dyDescent="0.35">
      <c r="A1990" s="14" t="s">
        <v>391</v>
      </c>
      <c r="B1990" s="14" t="s">
        <v>377</v>
      </c>
      <c r="C1990" t="s">
        <v>394</v>
      </c>
      <c r="D1990" s="18">
        <v>44207</v>
      </c>
      <c r="E1990" s="34">
        <v>44203</v>
      </c>
      <c r="F1990" s="34">
        <v>44209</v>
      </c>
      <c r="H1990" s="28" t="s">
        <v>125</v>
      </c>
      <c r="M1990" s="52">
        <v>54.490974481655471</v>
      </c>
    </row>
    <row r="1991" spans="1:13" x14ac:dyDescent="0.35">
      <c r="A1991" s="14" t="s">
        <v>391</v>
      </c>
      <c r="B1991" s="14" t="s">
        <v>377</v>
      </c>
      <c r="C1991" t="s">
        <v>394</v>
      </c>
      <c r="D1991" s="18">
        <v>44207</v>
      </c>
      <c r="E1991" s="34">
        <v>44203</v>
      </c>
      <c r="F1991" s="34">
        <v>44209</v>
      </c>
      <c r="H1991" s="28" t="s">
        <v>127</v>
      </c>
      <c r="M1991" s="52">
        <v>54.490974481655471</v>
      </c>
    </row>
    <row r="1992" spans="1:13" x14ac:dyDescent="0.35">
      <c r="A1992" s="14" t="s">
        <v>391</v>
      </c>
      <c r="B1992" s="14" t="s">
        <v>377</v>
      </c>
      <c r="C1992" t="s">
        <v>394</v>
      </c>
      <c r="D1992" s="18">
        <v>44207</v>
      </c>
      <c r="E1992" s="34">
        <v>44203</v>
      </c>
      <c r="F1992" s="34">
        <v>44209</v>
      </c>
      <c r="H1992" s="28" t="s">
        <v>42</v>
      </c>
      <c r="K1992" t="s">
        <v>380</v>
      </c>
      <c r="L1992">
        <v>6</v>
      </c>
      <c r="M1992" s="52">
        <v>54.490974481655471</v>
      </c>
    </row>
    <row r="1993" spans="1:13" x14ac:dyDescent="0.35">
      <c r="A1993" s="14" t="s">
        <v>391</v>
      </c>
      <c r="B1993" s="14" t="s">
        <v>377</v>
      </c>
      <c r="C1993" t="s">
        <v>394</v>
      </c>
      <c r="D1993" s="18">
        <v>44207</v>
      </c>
      <c r="E1993" s="34">
        <v>44203</v>
      </c>
      <c r="F1993" s="34">
        <v>44209</v>
      </c>
      <c r="H1993" s="28" t="s">
        <v>25</v>
      </c>
      <c r="K1993" t="s">
        <v>381</v>
      </c>
      <c r="L1993">
        <v>20</v>
      </c>
      <c r="M1993" s="52">
        <v>54.490974481655471</v>
      </c>
    </row>
    <row r="1994" spans="1:13" x14ac:dyDescent="0.35">
      <c r="A1994" s="14" t="s">
        <v>391</v>
      </c>
      <c r="B1994" s="14" t="s">
        <v>377</v>
      </c>
      <c r="C1994" t="s">
        <v>394</v>
      </c>
      <c r="D1994" s="18">
        <v>44207</v>
      </c>
      <c r="E1994" s="34">
        <v>44203</v>
      </c>
      <c r="F1994" s="34">
        <v>44209</v>
      </c>
      <c r="H1994" s="28" t="s">
        <v>23</v>
      </c>
      <c r="K1994" t="s">
        <v>380</v>
      </c>
      <c r="L1994">
        <v>6</v>
      </c>
      <c r="M1994" s="52">
        <v>54.490974481655471</v>
      </c>
    </row>
    <row r="1995" spans="1:13" x14ac:dyDescent="0.35">
      <c r="A1995" s="14" t="s">
        <v>391</v>
      </c>
      <c r="B1995" s="14" t="s">
        <v>377</v>
      </c>
      <c r="C1995" t="s">
        <v>394</v>
      </c>
      <c r="D1995" s="18">
        <v>44207</v>
      </c>
      <c r="E1995" s="34">
        <v>44203</v>
      </c>
      <c r="F1995" s="34">
        <v>44209</v>
      </c>
      <c r="H1995" s="28" t="s">
        <v>24</v>
      </c>
      <c r="K1995" t="s">
        <v>380</v>
      </c>
      <c r="L1995">
        <v>6</v>
      </c>
      <c r="M1995" s="52">
        <v>54.490974481655471</v>
      </c>
    </row>
    <row r="1996" spans="1:13" x14ac:dyDescent="0.35">
      <c r="A1996" s="14" t="s">
        <v>391</v>
      </c>
      <c r="B1996" s="14" t="s">
        <v>377</v>
      </c>
      <c r="C1996" t="s">
        <v>394</v>
      </c>
      <c r="D1996" s="18">
        <v>44207</v>
      </c>
      <c r="E1996" s="34">
        <v>44203</v>
      </c>
      <c r="F1996" s="34">
        <v>44209</v>
      </c>
      <c r="H1996" s="28" t="s">
        <v>24</v>
      </c>
      <c r="K1996" t="s">
        <v>380</v>
      </c>
      <c r="L1996">
        <v>15</v>
      </c>
      <c r="M1996" s="52">
        <v>54.490974481655471</v>
      </c>
    </row>
    <row r="1997" spans="1:13" x14ac:dyDescent="0.35">
      <c r="A1997" s="14" t="s">
        <v>391</v>
      </c>
      <c r="B1997" s="14" t="s">
        <v>377</v>
      </c>
      <c r="C1997" t="s">
        <v>394</v>
      </c>
      <c r="D1997" s="18">
        <v>44207</v>
      </c>
      <c r="E1997" s="34">
        <v>44203</v>
      </c>
      <c r="F1997" s="34">
        <v>44209</v>
      </c>
      <c r="H1997" s="28" t="s">
        <v>27</v>
      </c>
      <c r="K1997" t="s">
        <v>380</v>
      </c>
      <c r="L1997">
        <v>10</v>
      </c>
      <c r="M1997" s="52">
        <v>54.490974481655471</v>
      </c>
    </row>
    <row r="1998" spans="1:13" x14ac:dyDescent="0.35">
      <c r="A1998" s="14" t="s">
        <v>391</v>
      </c>
      <c r="B1998" s="14" t="s">
        <v>377</v>
      </c>
      <c r="C1998" t="s">
        <v>394</v>
      </c>
      <c r="D1998" s="18">
        <v>44207</v>
      </c>
      <c r="E1998" s="34">
        <v>44203</v>
      </c>
      <c r="F1998" s="34">
        <v>44209</v>
      </c>
      <c r="H1998" s="28" t="s">
        <v>28</v>
      </c>
      <c r="K1998" t="s">
        <v>380</v>
      </c>
      <c r="L1998">
        <v>15</v>
      </c>
      <c r="M1998" s="52">
        <v>54.490974481655471</v>
      </c>
    </row>
    <row r="1999" spans="1:13" x14ac:dyDescent="0.35">
      <c r="A1999" s="14" t="s">
        <v>391</v>
      </c>
      <c r="B1999" s="14" t="s">
        <v>377</v>
      </c>
      <c r="C1999" t="s">
        <v>394</v>
      </c>
      <c r="D1999" s="18">
        <v>44207</v>
      </c>
      <c r="E1999" s="34">
        <v>44203</v>
      </c>
      <c r="F1999" s="34">
        <v>44209</v>
      </c>
      <c r="H1999" s="28" t="s">
        <v>30</v>
      </c>
      <c r="K1999" t="s">
        <v>381</v>
      </c>
      <c r="L1999">
        <v>33</v>
      </c>
      <c r="M1999" s="52">
        <v>54.490974481655471</v>
      </c>
    </row>
    <row r="2000" spans="1:13" x14ac:dyDescent="0.35">
      <c r="A2000" s="14" t="s">
        <v>391</v>
      </c>
      <c r="B2000" s="14" t="s">
        <v>377</v>
      </c>
      <c r="C2000" t="s">
        <v>394</v>
      </c>
      <c r="D2000" s="18">
        <v>44207</v>
      </c>
      <c r="E2000" s="34">
        <v>44203</v>
      </c>
      <c r="F2000" s="34">
        <v>44209</v>
      </c>
      <c r="H2000" s="28" t="s">
        <v>29</v>
      </c>
      <c r="K2000" t="s">
        <v>381</v>
      </c>
      <c r="L2000">
        <v>33</v>
      </c>
      <c r="M2000" s="52">
        <v>54.490974481655471</v>
      </c>
    </row>
    <row r="2001" spans="1:13" x14ac:dyDescent="0.35">
      <c r="A2001" s="14" t="s">
        <v>391</v>
      </c>
      <c r="B2001" s="14" t="s">
        <v>377</v>
      </c>
      <c r="C2001" t="s">
        <v>394</v>
      </c>
      <c r="D2001" s="18">
        <v>44207</v>
      </c>
      <c r="E2001" s="34">
        <v>44203</v>
      </c>
      <c r="F2001" s="34">
        <v>44209</v>
      </c>
      <c r="H2001" s="28" t="s">
        <v>188</v>
      </c>
      <c r="M2001" s="52">
        <v>54.490974481655471</v>
      </c>
    </row>
    <row r="2002" spans="1:13" x14ac:dyDescent="0.35">
      <c r="A2002" s="14" t="s">
        <v>391</v>
      </c>
      <c r="B2002" s="14" t="s">
        <v>377</v>
      </c>
      <c r="C2002" t="s">
        <v>394</v>
      </c>
      <c r="D2002" s="18">
        <v>44207</v>
      </c>
      <c r="E2002" s="34">
        <v>44203</v>
      </c>
      <c r="F2002" s="34">
        <v>44209</v>
      </c>
      <c r="H2002" s="28" t="s">
        <v>190</v>
      </c>
      <c r="M2002" s="52">
        <v>54.490974481655471</v>
      </c>
    </row>
    <row r="2003" spans="1:13" x14ac:dyDescent="0.35">
      <c r="A2003" s="14" t="s">
        <v>391</v>
      </c>
      <c r="B2003" s="14" t="s">
        <v>377</v>
      </c>
      <c r="C2003" t="s">
        <v>394</v>
      </c>
      <c r="D2003" s="18">
        <v>44207</v>
      </c>
      <c r="E2003" s="34">
        <v>44203</v>
      </c>
      <c r="F2003" s="34">
        <v>44209</v>
      </c>
      <c r="H2003" s="28" t="s">
        <v>192</v>
      </c>
      <c r="M2003" s="52">
        <v>54.490974481655471</v>
      </c>
    </row>
    <row r="2004" spans="1:13" x14ac:dyDescent="0.35">
      <c r="A2004" s="14" t="s">
        <v>391</v>
      </c>
      <c r="B2004" s="14" t="s">
        <v>377</v>
      </c>
      <c r="C2004" t="s">
        <v>394</v>
      </c>
      <c r="D2004" s="18">
        <v>44207</v>
      </c>
      <c r="E2004" s="34">
        <v>44203</v>
      </c>
      <c r="F2004" s="34">
        <v>44209</v>
      </c>
      <c r="H2004" s="28" t="s">
        <v>198</v>
      </c>
      <c r="M2004" s="52">
        <v>54.490974481655471</v>
      </c>
    </row>
    <row r="2005" spans="1:13" x14ac:dyDescent="0.35">
      <c r="A2005" s="14" t="s">
        <v>391</v>
      </c>
      <c r="B2005" s="14" t="s">
        <v>377</v>
      </c>
      <c r="C2005" t="s">
        <v>394</v>
      </c>
      <c r="D2005" s="18">
        <v>44207</v>
      </c>
      <c r="E2005" s="34">
        <v>44203</v>
      </c>
      <c r="F2005" s="34">
        <v>44209</v>
      </c>
      <c r="H2005" s="28" t="s">
        <v>393</v>
      </c>
      <c r="M2005" s="52">
        <v>54.490974481655471</v>
      </c>
    </row>
    <row r="2006" spans="1:13" x14ac:dyDescent="0.35">
      <c r="A2006" s="14" t="s">
        <v>391</v>
      </c>
      <c r="B2006" s="14" t="s">
        <v>377</v>
      </c>
      <c r="C2006" t="s">
        <v>394</v>
      </c>
      <c r="D2006" s="18">
        <v>44207</v>
      </c>
      <c r="E2006" s="34">
        <v>44203</v>
      </c>
      <c r="F2006" s="34">
        <v>44209</v>
      </c>
      <c r="H2006" s="28" t="s">
        <v>204</v>
      </c>
      <c r="M2006" s="52">
        <v>54.490974481655471</v>
      </c>
    </row>
    <row r="2007" spans="1:13" x14ac:dyDescent="0.35">
      <c r="A2007" s="14" t="s">
        <v>391</v>
      </c>
      <c r="B2007" s="14" t="s">
        <v>377</v>
      </c>
      <c r="C2007" t="s">
        <v>394</v>
      </c>
      <c r="D2007" s="18">
        <v>44207</v>
      </c>
      <c r="E2007" s="34">
        <v>44203</v>
      </c>
      <c r="F2007" s="34">
        <v>44209</v>
      </c>
      <c r="H2007" s="28" t="s">
        <v>208</v>
      </c>
      <c r="M2007" s="52">
        <v>54.490974481655471</v>
      </c>
    </row>
    <row r="2008" spans="1:13" x14ac:dyDescent="0.35">
      <c r="A2008" s="14" t="s">
        <v>391</v>
      </c>
      <c r="B2008" s="14" t="s">
        <v>377</v>
      </c>
      <c r="C2008" t="s">
        <v>394</v>
      </c>
      <c r="D2008" s="18">
        <v>44207</v>
      </c>
      <c r="E2008" s="34">
        <v>44203</v>
      </c>
      <c r="F2008" s="34">
        <v>44209</v>
      </c>
      <c r="H2008" s="28" t="s">
        <v>210</v>
      </c>
      <c r="M2008" s="52">
        <v>54.490974481655471</v>
      </c>
    </row>
    <row r="2009" spans="1:13" x14ac:dyDescent="0.35">
      <c r="A2009" s="14" t="s">
        <v>391</v>
      </c>
      <c r="B2009" s="14" t="s">
        <v>377</v>
      </c>
      <c r="C2009" t="s">
        <v>394</v>
      </c>
      <c r="D2009" s="18">
        <v>44207</v>
      </c>
      <c r="E2009" s="34">
        <v>44203</v>
      </c>
      <c r="F2009" s="34">
        <v>44209</v>
      </c>
      <c r="H2009" s="28" t="s">
        <v>403</v>
      </c>
      <c r="M2009" s="52">
        <v>54.490974481655471</v>
      </c>
    </row>
    <row r="2010" spans="1:13" x14ac:dyDescent="0.35">
      <c r="A2010" s="14" t="s">
        <v>391</v>
      </c>
      <c r="B2010" s="14" t="s">
        <v>377</v>
      </c>
      <c r="C2010" t="s">
        <v>394</v>
      </c>
      <c r="D2010" s="18">
        <v>44207</v>
      </c>
      <c r="E2010" s="34">
        <v>44203</v>
      </c>
      <c r="F2010" s="34">
        <v>44209</v>
      </c>
      <c r="H2010" s="28" t="s">
        <v>223</v>
      </c>
      <c r="M2010" s="52">
        <v>54.490974481655471</v>
      </c>
    </row>
    <row r="2011" spans="1:13" x14ac:dyDescent="0.35">
      <c r="A2011" s="14" t="s">
        <v>391</v>
      </c>
      <c r="B2011" s="14" t="s">
        <v>377</v>
      </c>
      <c r="C2011" t="s">
        <v>394</v>
      </c>
      <c r="D2011" s="18">
        <v>44207</v>
      </c>
      <c r="E2011" s="34">
        <v>44203</v>
      </c>
      <c r="F2011" s="34">
        <v>44209</v>
      </c>
      <c r="H2011" s="28" t="s">
        <v>31</v>
      </c>
      <c r="K2011" t="s">
        <v>381</v>
      </c>
      <c r="L2011">
        <v>30</v>
      </c>
      <c r="M2011" s="52">
        <v>54.490974481655471</v>
      </c>
    </row>
    <row r="2012" spans="1:13" x14ac:dyDescent="0.35">
      <c r="A2012" s="14" t="s">
        <v>391</v>
      </c>
      <c r="B2012" s="14" t="s">
        <v>377</v>
      </c>
      <c r="C2012" t="s">
        <v>394</v>
      </c>
      <c r="D2012" s="18">
        <v>44207</v>
      </c>
      <c r="E2012" s="34">
        <v>44203</v>
      </c>
      <c r="F2012" s="34">
        <v>44209</v>
      </c>
      <c r="H2012" s="28" t="s">
        <v>56</v>
      </c>
      <c r="K2012" t="s">
        <v>381</v>
      </c>
      <c r="L2012">
        <v>50</v>
      </c>
      <c r="M2012" s="52">
        <v>54.490974481655471</v>
      </c>
    </row>
    <row r="2013" spans="1:13" x14ac:dyDescent="0.35">
      <c r="A2013" s="14" t="s">
        <v>391</v>
      </c>
      <c r="B2013" s="14" t="s">
        <v>377</v>
      </c>
      <c r="C2013" t="s">
        <v>394</v>
      </c>
      <c r="D2013" s="18">
        <v>44207</v>
      </c>
      <c r="E2013" s="34">
        <v>44203</v>
      </c>
      <c r="F2013" s="34">
        <v>44209</v>
      </c>
      <c r="H2013" s="28" t="s">
        <v>263</v>
      </c>
      <c r="M2013" s="52">
        <v>54.490974481655471</v>
      </c>
    </row>
    <row r="2014" spans="1:13" x14ac:dyDescent="0.35">
      <c r="A2014" s="14" t="s">
        <v>391</v>
      </c>
      <c r="B2014" s="14" t="s">
        <v>377</v>
      </c>
      <c r="C2014" t="s">
        <v>394</v>
      </c>
      <c r="D2014" s="18">
        <v>44207</v>
      </c>
      <c r="E2014" s="34">
        <v>44203</v>
      </c>
      <c r="F2014" s="34">
        <v>44209</v>
      </c>
      <c r="H2014" s="28" t="s">
        <v>287</v>
      </c>
      <c r="M2014" s="52">
        <v>54.490974481655471</v>
      </c>
    </row>
    <row r="2015" spans="1:13" x14ac:dyDescent="0.35">
      <c r="A2015" s="14" t="s">
        <v>391</v>
      </c>
      <c r="B2015" s="14" t="s">
        <v>377</v>
      </c>
      <c r="C2015" t="s">
        <v>394</v>
      </c>
      <c r="D2015" s="18">
        <v>44207</v>
      </c>
      <c r="E2015" s="34">
        <v>44203</v>
      </c>
      <c r="F2015" s="34">
        <v>44209</v>
      </c>
      <c r="H2015" s="28" t="s">
        <v>287</v>
      </c>
      <c r="M2015" s="52">
        <v>54.490974481655471</v>
      </c>
    </row>
    <row r="2016" spans="1:13" x14ac:dyDescent="0.35">
      <c r="A2016" s="14" t="s">
        <v>391</v>
      </c>
      <c r="B2016" s="14" t="s">
        <v>377</v>
      </c>
      <c r="C2016" t="s">
        <v>394</v>
      </c>
      <c r="D2016" s="18">
        <v>44207</v>
      </c>
      <c r="E2016" s="34">
        <v>44203</v>
      </c>
      <c r="F2016" s="34">
        <v>44209</v>
      </c>
      <c r="H2016" s="28" t="s">
        <v>307</v>
      </c>
      <c r="M2016" s="52">
        <v>54.490974481655471</v>
      </c>
    </row>
    <row r="2017" spans="1:13" x14ac:dyDescent="0.35">
      <c r="A2017" s="14" t="s">
        <v>391</v>
      </c>
      <c r="B2017" s="14" t="s">
        <v>377</v>
      </c>
      <c r="C2017" t="s">
        <v>394</v>
      </c>
      <c r="D2017" s="18">
        <v>44207</v>
      </c>
      <c r="E2017" s="34">
        <v>44203</v>
      </c>
      <c r="F2017" s="34">
        <v>44209</v>
      </c>
      <c r="H2017" s="28" t="s">
        <v>309</v>
      </c>
      <c r="M2017" s="52">
        <v>54.490974481655471</v>
      </c>
    </row>
    <row r="2018" spans="1:13" x14ac:dyDescent="0.35">
      <c r="A2018" s="14" t="s">
        <v>391</v>
      </c>
      <c r="B2018" s="14" t="s">
        <v>377</v>
      </c>
      <c r="C2018" t="s">
        <v>394</v>
      </c>
      <c r="D2018" s="18">
        <v>44207</v>
      </c>
      <c r="E2018" s="34">
        <v>44203</v>
      </c>
      <c r="F2018" s="34">
        <v>44209</v>
      </c>
      <c r="H2018" s="28" t="s">
        <v>311</v>
      </c>
      <c r="M2018" s="52">
        <v>54.490974481655471</v>
      </c>
    </row>
    <row r="2019" spans="1:13" x14ac:dyDescent="0.35">
      <c r="A2019" s="14" t="s">
        <v>391</v>
      </c>
      <c r="B2019" s="14" t="s">
        <v>377</v>
      </c>
      <c r="C2019" t="s">
        <v>394</v>
      </c>
      <c r="D2019" s="18">
        <v>44207</v>
      </c>
      <c r="E2019" s="34">
        <v>44203</v>
      </c>
      <c r="F2019" s="34">
        <v>44209</v>
      </c>
      <c r="H2019" s="28" t="s">
        <v>313</v>
      </c>
      <c r="K2019" t="s">
        <v>381</v>
      </c>
      <c r="L2019">
        <v>50</v>
      </c>
      <c r="M2019" s="52">
        <v>54.490974481655471</v>
      </c>
    </row>
    <row r="2020" spans="1:13" x14ac:dyDescent="0.35">
      <c r="A2020" s="14" t="s">
        <v>391</v>
      </c>
      <c r="B2020" s="14" t="s">
        <v>377</v>
      </c>
      <c r="C2020" t="s">
        <v>394</v>
      </c>
      <c r="D2020" s="18">
        <v>44207</v>
      </c>
      <c r="E2020" s="34">
        <v>44203</v>
      </c>
      <c r="F2020" s="34">
        <v>44209</v>
      </c>
      <c r="H2020" s="28" t="s">
        <v>315</v>
      </c>
      <c r="K2020" t="s">
        <v>381</v>
      </c>
      <c r="L2020">
        <v>30</v>
      </c>
      <c r="M2020" s="52">
        <v>54.490974481655471</v>
      </c>
    </row>
    <row r="2021" spans="1:13" x14ac:dyDescent="0.35">
      <c r="A2021" s="14" t="s">
        <v>391</v>
      </c>
      <c r="B2021" s="14" t="s">
        <v>377</v>
      </c>
      <c r="C2021" t="s">
        <v>394</v>
      </c>
      <c r="D2021" s="18">
        <v>44207</v>
      </c>
      <c r="E2021" s="34">
        <v>44203</v>
      </c>
      <c r="F2021" s="34">
        <v>44209</v>
      </c>
      <c r="H2021" s="28" t="s">
        <v>32</v>
      </c>
      <c r="K2021" t="s">
        <v>380</v>
      </c>
      <c r="L2021">
        <v>6</v>
      </c>
      <c r="M2021" s="52">
        <v>54.490974481655471</v>
      </c>
    </row>
    <row r="2022" spans="1:13" x14ac:dyDescent="0.35">
      <c r="A2022" s="14" t="s">
        <v>391</v>
      </c>
      <c r="B2022" s="14" t="s">
        <v>377</v>
      </c>
      <c r="C2022" t="s">
        <v>394</v>
      </c>
      <c r="D2022" s="18">
        <v>44207</v>
      </c>
      <c r="E2022" s="34">
        <v>44203</v>
      </c>
      <c r="F2022" s="34">
        <v>44209</v>
      </c>
      <c r="H2022" s="28" t="s">
        <v>60</v>
      </c>
      <c r="K2022" t="s">
        <v>380</v>
      </c>
      <c r="L2022">
        <v>6</v>
      </c>
      <c r="M2022" s="52">
        <v>54.490974481655471</v>
      </c>
    </row>
    <row r="2023" spans="1:13" x14ac:dyDescent="0.35">
      <c r="A2023" s="14" t="s">
        <v>391</v>
      </c>
      <c r="B2023" s="14" t="s">
        <v>377</v>
      </c>
      <c r="C2023" t="s">
        <v>394</v>
      </c>
      <c r="D2023" s="18">
        <v>44207</v>
      </c>
      <c r="E2023" s="34">
        <v>44203</v>
      </c>
      <c r="F2023" s="34">
        <v>44209</v>
      </c>
      <c r="H2023" s="28" t="s">
        <v>327</v>
      </c>
      <c r="K2023" t="s">
        <v>380</v>
      </c>
      <c r="L2023">
        <v>6</v>
      </c>
      <c r="M2023" s="52">
        <v>54.490974481655471</v>
      </c>
    </row>
    <row r="2024" spans="1:13" x14ac:dyDescent="0.35">
      <c r="A2024" s="14" t="s">
        <v>391</v>
      </c>
      <c r="B2024" s="14" t="s">
        <v>377</v>
      </c>
      <c r="C2024" t="s">
        <v>394</v>
      </c>
      <c r="D2024" s="18">
        <v>44207</v>
      </c>
      <c r="E2024" s="34">
        <v>44203</v>
      </c>
      <c r="F2024" s="34">
        <v>44209</v>
      </c>
      <c r="H2024" s="28" t="s">
        <v>335</v>
      </c>
      <c r="M2024" s="52">
        <v>54.490974481655471</v>
      </c>
    </row>
    <row r="2025" spans="1:13" x14ac:dyDescent="0.35">
      <c r="A2025" s="14" t="s">
        <v>391</v>
      </c>
      <c r="B2025" s="14" t="s">
        <v>377</v>
      </c>
      <c r="C2025" t="s">
        <v>394</v>
      </c>
      <c r="D2025" s="18">
        <v>44207</v>
      </c>
      <c r="E2025" s="34">
        <v>44203</v>
      </c>
      <c r="F2025" s="34">
        <v>44209</v>
      </c>
      <c r="H2025" s="28" t="s">
        <v>339</v>
      </c>
      <c r="M2025" s="52">
        <v>54.490974481655471</v>
      </c>
    </row>
    <row r="2026" spans="1:13" x14ac:dyDescent="0.35">
      <c r="A2026" s="14" t="s">
        <v>391</v>
      </c>
      <c r="B2026" s="14" t="s">
        <v>377</v>
      </c>
      <c r="C2026" t="s">
        <v>394</v>
      </c>
      <c r="D2026" s="18">
        <v>44207</v>
      </c>
      <c r="E2026" s="34">
        <v>44203</v>
      </c>
      <c r="F2026" s="34">
        <v>44209</v>
      </c>
      <c r="H2026" s="28" t="s">
        <v>341</v>
      </c>
      <c r="M2026" s="52">
        <v>54.490974481655471</v>
      </c>
    </row>
    <row r="2027" spans="1:13" x14ac:dyDescent="0.35">
      <c r="A2027" s="14" t="s">
        <v>391</v>
      </c>
      <c r="B2027" s="14" t="s">
        <v>377</v>
      </c>
      <c r="C2027" t="s">
        <v>394</v>
      </c>
      <c r="D2027" s="18">
        <v>44207</v>
      </c>
      <c r="E2027" s="34">
        <v>44203</v>
      </c>
      <c r="F2027" s="34">
        <v>44209</v>
      </c>
      <c r="H2027" s="28" t="s">
        <v>345</v>
      </c>
      <c r="K2027" t="s">
        <v>381</v>
      </c>
      <c r="L2027">
        <v>50</v>
      </c>
      <c r="M2027" s="52">
        <v>54.490974481655471</v>
      </c>
    </row>
    <row r="2028" spans="1:13" x14ac:dyDescent="0.35">
      <c r="A2028" s="14" t="s">
        <v>391</v>
      </c>
      <c r="B2028" s="14" t="s">
        <v>377</v>
      </c>
      <c r="C2028" t="s">
        <v>394</v>
      </c>
      <c r="D2028" s="18">
        <v>44207</v>
      </c>
      <c r="E2028" s="34">
        <v>44203</v>
      </c>
      <c r="F2028" s="34">
        <v>44209</v>
      </c>
      <c r="H2028" s="28" t="s">
        <v>59</v>
      </c>
      <c r="M2028" s="52">
        <v>54.490974481655471</v>
      </c>
    </row>
    <row r="2029" spans="1:13" x14ac:dyDescent="0.35">
      <c r="A2029" s="14" t="s">
        <v>391</v>
      </c>
      <c r="B2029" s="14" t="s">
        <v>377</v>
      </c>
      <c r="C2029" t="s">
        <v>394</v>
      </c>
      <c r="D2029" s="18">
        <v>44207</v>
      </c>
      <c r="E2029" s="34">
        <v>44203</v>
      </c>
      <c r="F2029" s="34">
        <v>44209</v>
      </c>
      <c r="H2029" s="28" t="s">
        <v>360</v>
      </c>
      <c r="M2029" s="52">
        <v>54.490974481655471</v>
      </c>
    </row>
    <row r="2030" spans="1:13" x14ac:dyDescent="0.35">
      <c r="A2030" s="14" t="s">
        <v>391</v>
      </c>
      <c r="B2030" s="14" t="s">
        <v>377</v>
      </c>
      <c r="C2030" t="s">
        <v>392</v>
      </c>
      <c r="D2030" s="18">
        <v>44207</v>
      </c>
      <c r="E2030" s="34">
        <v>44204</v>
      </c>
      <c r="F2030" s="34">
        <v>44207</v>
      </c>
      <c r="H2030" s="28" t="s">
        <v>96</v>
      </c>
      <c r="M2030" s="52">
        <v>12.501511130555922</v>
      </c>
    </row>
    <row r="2031" spans="1:13" x14ac:dyDescent="0.35">
      <c r="A2031" s="14" t="s">
        <v>391</v>
      </c>
      <c r="B2031" s="14" t="s">
        <v>377</v>
      </c>
      <c r="C2031" t="s">
        <v>392</v>
      </c>
      <c r="D2031" s="18">
        <v>44207</v>
      </c>
      <c r="E2031" s="34">
        <v>44204</v>
      </c>
      <c r="F2031" s="34">
        <v>44207</v>
      </c>
      <c r="H2031" s="28" t="s">
        <v>72</v>
      </c>
      <c r="M2031" s="52">
        <v>12.501511130555922</v>
      </c>
    </row>
    <row r="2032" spans="1:13" x14ac:dyDescent="0.35">
      <c r="A2032" s="14" t="s">
        <v>391</v>
      </c>
      <c r="B2032" s="14" t="s">
        <v>377</v>
      </c>
      <c r="C2032" t="s">
        <v>392</v>
      </c>
      <c r="D2032" s="18">
        <v>44207</v>
      </c>
      <c r="E2032" s="34">
        <v>44204</v>
      </c>
      <c r="F2032" s="34">
        <v>44207</v>
      </c>
      <c r="H2032" s="28" t="s">
        <v>47</v>
      </c>
      <c r="K2032" t="s">
        <v>381</v>
      </c>
      <c r="L2032">
        <v>20</v>
      </c>
      <c r="M2032" s="52">
        <v>12.501511130555922</v>
      </c>
    </row>
    <row r="2033" spans="1:13" x14ac:dyDescent="0.35">
      <c r="A2033" s="14" t="s">
        <v>391</v>
      </c>
      <c r="B2033" s="14" t="s">
        <v>377</v>
      </c>
      <c r="C2033" t="s">
        <v>392</v>
      </c>
      <c r="D2033" s="18">
        <v>44207</v>
      </c>
      <c r="E2033" s="34">
        <v>44204</v>
      </c>
      <c r="F2033" s="34">
        <v>44207</v>
      </c>
      <c r="H2033" s="28" t="s">
        <v>50</v>
      </c>
      <c r="K2033" t="s">
        <v>381</v>
      </c>
      <c r="L2033">
        <v>50</v>
      </c>
      <c r="M2033" s="52">
        <v>12.501511130555922</v>
      </c>
    </row>
    <row r="2034" spans="1:13" x14ac:dyDescent="0.35">
      <c r="A2034" s="14" t="s">
        <v>391</v>
      </c>
      <c r="B2034" s="14" t="s">
        <v>377</v>
      </c>
      <c r="C2034" t="s">
        <v>392</v>
      </c>
      <c r="D2034" s="18">
        <v>44207</v>
      </c>
      <c r="E2034" s="34">
        <v>44204</v>
      </c>
      <c r="F2034" s="34">
        <v>44207</v>
      </c>
      <c r="H2034" s="28" t="s">
        <v>41</v>
      </c>
      <c r="K2034" t="s">
        <v>381</v>
      </c>
      <c r="L2034">
        <v>50</v>
      </c>
      <c r="M2034" s="52">
        <v>12.501511130555922</v>
      </c>
    </row>
    <row r="2035" spans="1:13" x14ac:dyDescent="0.35">
      <c r="A2035" s="14" t="s">
        <v>391</v>
      </c>
      <c r="B2035" s="14" t="s">
        <v>377</v>
      </c>
      <c r="C2035" t="s">
        <v>392</v>
      </c>
      <c r="D2035" s="18">
        <v>44207</v>
      </c>
      <c r="E2035" s="34">
        <v>44204</v>
      </c>
      <c r="F2035" s="34">
        <v>44207</v>
      </c>
      <c r="H2035" s="28" t="s">
        <v>116</v>
      </c>
      <c r="K2035" t="s">
        <v>381</v>
      </c>
      <c r="L2035">
        <v>25</v>
      </c>
      <c r="M2035" s="52">
        <v>12.501511130555922</v>
      </c>
    </row>
    <row r="2036" spans="1:13" x14ac:dyDescent="0.35">
      <c r="A2036" s="14" t="s">
        <v>391</v>
      </c>
      <c r="B2036" s="14" t="s">
        <v>377</v>
      </c>
      <c r="C2036" t="s">
        <v>392</v>
      </c>
      <c r="D2036" s="18">
        <v>44207</v>
      </c>
      <c r="E2036" s="34">
        <v>44204</v>
      </c>
      <c r="F2036" s="34">
        <v>44207</v>
      </c>
      <c r="H2036" s="28" t="s">
        <v>42</v>
      </c>
      <c r="K2036" t="s">
        <v>380</v>
      </c>
      <c r="L2036">
        <v>6</v>
      </c>
      <c r="M2036" s="52">
        <v>12.501511130555922</v>
      </c>
    </row>
    <row r="2037" spans="1:13" x14ac:dyDescent="0.35">
      <c r="A2037" s="14" t="s">
        <v>391</v>
      </c>
      <c r="B2037" s="14" t="s">
        <v>377</v>
      </c>
      <c r="C2037" t="s">
        <v>392</v>
      </c>
      <c r="D2037" s="18">
        <v>44207</v>
      </c>
      <c r="E2037" s="34">
        <v>44204</v>
      </c>
      <c r="F2037" s="34">
        <v>44207</v>
      </c>
      <c r="H2037" s="28" t="s">
        <v>25</v>
      </c>
      <c r="K2037" t="s">
        <v>381</v>
      </c>
      <c r="L2037">
        <v>40</v>
      </c>
      <c r="M2037" s="52">
        <v>12.501511130555922</v>
      </c>
    </row>
    <row r="2038" spans="1:13" x14ac:dyDescent="0.35">
      <c r="A2038" s="14" t="s">
        <v>391</v>
      </c>
      <c r="B2038" s="14" t="s">
        <v>377</v>
      </c>
      <c r="C2038" t="s">
        <v>392</v>
      </c>
      <c r="D2038" s="18">
        <v>44207</v>
      </c>
      <c r="E2038" s="34">
        <v>44204</v>
      </c>
      <c r="F2038" s="34">
        <v>44207</v>
      </c>
      <c r="H2038" s="28" t="s">
        <v>23</v>
      </c>
      <c r="K2038" t="s">
        <v>380</v>
      </c>
      <c r="L2038">
        <v>6</v>
      </c>
      <c r="M2038" s="52">
        <v>12.501511130555922</v>
      </c>
    </row>
    <row r="2039" spans="1:13" x14ac:dyDescent="0.35">
      <c r="A2039" s="14" t="s">
        <v>391</v>
      </c>
      <c r="B2039" s="14" t="s">
        <v>377</v>
      </c>
      <c r="C2039" t="s">
        <v>392</v>
      </c>
      <c r="D2039" s="18">
        <v>44207</v>
      </c>
      <c r="E2039" s="34">
        <v>44204</v>
      </c>
      <c r="F2039" s="34">
        <v>44207</v>
      </c>
      <c r="H2039" s="28" t="s">
        <v>24</v>
      </c>
      <c r="K2039" t="s">
        <v>380</v>
      </c>
      <c r="L2039">
        <v>6</v>
      </c>
      <c r="M2039" s="52">
        <v>12.501511130555922</v>
      </c>
    </row>
    <row r="2040" spans="1:13" x14ac:dyDescent="0.35">
      <c r="A2040" s="14" t="s">
        <v>391</v>
      </c>
      <c r="B2040" s="14" t="s">
        <v>377</v>
      </c>
      <c r="C2040" t="s">
        <v>392</v>
      </c>
      <c r="D2040" s="18">
        <v>44207</v>
      </c>
      <c r="E2040" s="34">
        <v>44204</v>
      </c>
      <c r="F2040" s="34">
        <v>44207</v>
      </c>
      <c r="H2040" s="28" t="s">
        <v>30</v>
      </c>
      <c r="K2040" t="s">
        <v>381</v>
      </c>
      <c r="L2040">
        <v>33</v>
      </c>
      <c r="M2040" s="52">
        <v>12.501511130555922</v>
      </c>
    </row>
    <row r="2041" spans="1:13" x14ac:dyDescent="0.35">
      <c r="A2041" s="14" t="s">
        <v>391</v>
      </c>
      <c r="B2041" s="14" t="s">
        <v>377</v>
      </c>
      <c r="C2041" t="s">
        <v>392</v>
      </c>
      <c r="D2041" s="18">
        <v>44207</v>
      </c>
      <c r="E2041" s="34">
        <v>44204</v>
      </c>
      <c r="F2041" s="34">
        <v>44207</v>
      </c>
      <c r="H2041" s="28" t="s">
        <v>29</v>
      </c>
      <c r="K2041" t="s">
        <v>381</v>
      </c>
      <c r="L2041">
        <v>33</v>
      </c>
      <c r="M2041" s="52">
        <v>12.501511130555922</v>
      </c>
    </row>
    <row r="2042" spans="1:13" x14ac:dyDescent="0.35">
      <c r="A2042" s="14" t="s">
        <v>391</v>
      </c>
      <c r="B2042" s="14" t="s">
        <v>377</v>
      </c>
      <c r="C2042" t="s">
        <v>392</v>
      </c>
      <c r="D2042" s="18">
        <v>44207</v>
      </c>
      <c r="E2042" s="34">
        <v>44204</v>
      </c>
      <c r="F2042" s="34">
        <v>44207</v>
      </c>
      <c r="H2042" s="28" t="s">
        <v>188</v>
      </c>
      <c r="M2042" s="52">
        <v>12.501511130555922</v>
      </c>
    </row>
    <row r="2043" spans="1:13" x14ac:dyDescent="0.35">
      <c r="A2043" s="14" t="s">
        <v>391</v>
      </c>
      <c r="B2043" s="14" t="s">
        <v>377</v>
      </c>
      <c r="C2043" t="s">
        <v>392</v>
      </c>
      <c r="D2043" s="18">
        <v>44207</v>
      </c>
      <c r="E2043" s="34">
        <v>44204</v>
      </c>
      <c r="F2043" s="34">
        <v>44207</v>
      </c>
      <c r="H2043" s="28" t="s">
        <v>192</v>
      </c>
      <c r="M2043" s="52">
        <v>12.501511130555922</v>
      </c>
    </row>
    <row r="2044" spans="1:13" x14ac:dyDescent="0.35">
      <c r="A2044" s="14" t="s">
        <v>391</v>
      </c>
      <c r="B2044" s="14" t="s">
        <v>377</v>
      </c>
      <c r="C2044" t="s">
        <v>392</v>
      </c>
      <c r="D2044" s="18">
        <v>44207</v>
      </c>
      <c r="E2044" s="34">
        <v>44204</v>
      </c>
      <c r="F2044" s="34">
        <v>44207</v>
      </c>
      <c r="H2044" s="28" t="s">
        <v>198</v>
      </c>
      <c r="M2044" s="52">
        <v>12.501511130555922</v>
      </c>
    </row>
    <row r="2045" spans="1:13" x14ac:dyDescent="0.35">
      <c r="A2045" s="14" t="s">
        <v>391</v>
      </c>
      <c r="B2045" s="14" t="s">
        <v>377</v>
      </c>
      <c r="C2045" t="s">
        <v>392</v>
      </c>
      <c r="D2045" s="18">
        <v>44207</v>
      </c>
      <c r="E2045" s="34">
        <v>44204</v>
      </c>
      <c r="F2045" s="34">
        <v>44207</v>
      </c>
      <c r="H2045" s="28" t="s">
        <v>393</v>
      </c>
      <c r="M2045" s="52">
        <v>12.501511130555922</v>
      </c>
    </row>
    <row r="2046" spans="1:13" x14ac:dyDescent="0.35">
      <c r="A2046" s="14" t="s">
        <v>391</v>
      </c>
      <c r="B2046" s="14" t="s">
        <v>377</v>
      </c>
      <c r="C2046" t="s">
        <v>392</v>
      </c>
      <c r="D2046" s="18">
        <v>44207</v>
      </c>
      <c r="E2046" s="34">
        <v>44204</v>
      </c>
      <c r="F2046" s="34">
        <v>44207</v>
      </c>
      <c r="H2046" s="28" t="s">
        <v>204</v>
      </c>
      <c r="M2046" s="52">
        <v>12.501511130555922</v>
      </c>
    </row>
    <row r="2047" spans="1:13" x14ac:dyDescent="0.35">
      <c r="A2047" s="14" t="s">
        <v>391</v>
      </c>
      <c r="B2047" s="14" t="s">
        <v>377</v>
      </c>
      <c r="C2047" t="s">
        <v>392</v>
      </c>
      <c r="D2047" s="18">
        <v>44207</v>
      </c>
      <c r="E2047" s="34">
        <v>44204</v>
      </c>
      <c r="F2047" s="34">
        <v>44207</v>
      </c>
      <c r="H2047" s="28" t="s">
        <v>208</v>
      </c>
      <c r="M2047" s="52">
        <v>12.501511130555922</v>
      </c>
    </row>
    <row r="2048" spans="1:13" x14ac:dyDescent="0.35">
      <c r="A2048" s="14" t="s">
        <v>391</v>
      </c>
      <c r="B2048" s="14" t="s">
        <v>377</v>
      </c>
      <c r="C2048" t="s">
        <v>392</v>
      </c>
      <c r="D2048" s="18">
        <v>44207</v>
      </c>
      <c r="E2048" s="34">
        <v>44204</v>
      </c>
      <c r="F2048" s="34">
        <v>44207</v>
      </c>
      <c r="H2048" s="28" t="s">
        <v>210</v>
      </c>
      <c r="M2048" s="52">
        <v>12.501511130555922</v>
      </c>
    </row>
    <row r="2049" spans="1:13" x14ac:dyDescent="0.35">
      <c r="A2049" s="14" t="s">
        <v>391</v>
      </c>
      <c r="B2049" s="14" t="s">
        <v>377</v>
      </c>
      <c r="C2049" t="s">
        <v>392</v>
      </c>
      <c r="D2049" s="18">
        <v>44207</v>
      </c>
      <c r="E2049" s="34">
        <v>44204</v>
      </c>
      <c r="F2049" s="34">
        <v>44207</v>
      </c>
      <c r="H2049" s="28" t="s">
        <v>31</v>
      </c>
      <c r="K2049" t="s">
        <v>381</v>
      </c>
      <c r="L2049">
        <v>30</v>
      </c>
      <c r="M2049" s="52">
        <v>12.501511130555922</v>
      </c>
    </row>
    <row r="2050" spans="1:13" x14ac:dyDescent="0.35">
      <c r="A2050" s="14" t="s">
        <v>391</v>
      </c>
      <c r="B2050" s="14" t="s">
        <v>377</v>
      </c>
      <c r="C2050" t="s">
        <v>392</v>
      </c>
      <c r="D2050" s="18">
        <v>44207</v>
      </c>
      <c r="E2050" s="34">
        <v>44204</v>
      </c>
      <c r="F2050" s="34">
        <v>44207</v>
      </c>
      <c r="H2050" s="28" t="s">
        <v>56</v>
      </c>
      <c r="K2050" t="s">
        <v>381</v>
      </c>
      <c r="L2050">
        <v>50</v>
      </c>
      <c r="M2050" s="52">
        <v>12.501511130555922</v>
      </c>
    </row>
    <row r="2051" spans="1:13" x14ac:dyDescent="0.35">
      <c r="A2051" s="14" t="s">
        <v>391</v>
      </c>
      <c r="B2051" s="14" t="s">
        <v>377</v>
      </c>
      <c r="C2051" t="s">
        <v>392</v>
      </c>
      <c r="D2051" s="18">
        <v>44207</v>
      </c>
      <c r="E2051" s="34">
        <v>44204</v>
      </c>
      <c r="F2051" s="34">
        <v>44207</v>
      </c>
      <c r="H2051" s="28" t="s">
        <v>263</v>
      </c>
      <c r="M2051" s="52">
        <v>12.501511130555922</v>
      </c>
    </row>
    <row r="2052" spans="1:13" x14ac:dyDescent="0.35">
      <c r="A2052" s="14" t="s">
        <v>391</v>
      </c>
      <c r="B2052" s="14" t="s">
        <v>377</v>
      </c>
      <c r="C2052" t="s">
        <v>392</v>
      </c>
      <c r="D2052" s="18">
        <v>44207</v>
      </c>
      <c r="E2052" s="34">
        <v>44204</v>
      </c>
      <c r="F2052" s="34">
        <v>44207</v>
      </c>
      <c r="H2052" s="28" t="s">
        <v>287</v>
      </c>
      <c r="M2052" s="52">
        <v>12.501511130555922</v>
      </c>
    </row>
    <row r="2053" spans="1:13" x14ac:dyDescent="0.35">
      <c r="A2053" s="14" t="s">
        <v>391</v>
      </c>
      <c r="B2053" s="14" t="s">
        <v>377</v>
      </c>
      <c r="C2053" t="s">
        <v>392</v>
      </c>
      <c r="D2053" s="18">
        <v>44207</v>
      </c>
      <c r="E2053" s="34">
        <v>44204</v>
      </c>
      <c r="F2053" s="34">
        <v>44207</v>
      </c>
      <c r="H2053" s="28" t="s">
        <v>307</v>
      </c>
      <c r="M2053" s="52">
        <v>12.501511130555922</v>
      </c>
    </row>
    <row r="2054" spans="1:13" x14ac:dyDescent="0.35">
      <c r="A2054" s="14" t="s">
        <v>391</v>
      </c>
      <c r="B2054" s="14" t="s">
        <v>377</v>
      </c>
      <c r="C2054" t="s">
        <v>392</v>
      </c>
      <c r="D2054" s="18">
        <v>44207</v>
      </c>
      <c r="E2054" s="34">
        <v>44204</v>
      </c>
      <c r="F2054" s="34">
        <v>44207</v>
      </c>
      <c r="H2054" s="28" t="s">
        <v>311</v>
      </c>
      <c r="M2054" s="52">
        <v>12.501511130555922</v>
      </c>
    </row>
    <row r="2055" spans="1:13" x14ac:dyDescent="0.35">
      <c r="A2055" s="14" t="s">
        <v>391</v>
      </c>
      <c r="B2055" s="14" t="s">
        <v>377</v>
      </c>
      <c r="C2055" t="s">
        <v>392</v>
      </c>
      <c r="D2055" s="18">
        <v>44207</v>
      </c>
      <c r="E2055" s="34">
        <v>44204</v>
      </c>
      <c r="F2055" s="34">
        <v>44207</v>
      </c>
      <c r="H2055" s="28" t="s">
        <v>313</v>
      </c>
      <c r="K2055" t="s">
        <v>381</v>
      </c>
      <c r="L2055">
        <v>50</v>
      </c>
      <c r="M2055" s="52">
        <v>12.501511130555922</v>
      </c>
    </row>
    <row r="2056" spans="1:13" x14ac:dyDescent="0.35">
      <c r="A2056" s="14" t="s">
        <v>391</v>
      </c>
      <c r="B2056" s="14" t="s">
        <v>377</v>
      </c>
      <c r="C2056" t="s">
        <v>392</v>
      </c>
      <c r="D2056" s="18">
        <v>44207</v>
      </c>
      <c r="E2056" s="34">
        <v>44204</v>
      </c>
      <c r="F2056" s="34">
        <v>44207</v>
      </c>
      <c r="H2056" s="28" t="s">
        <v>327</v>
      </c>
      <c r="K2056" t="s">
        <v>380</v>
      </c>
      <c r="L2056">
        <v>6</v>
      </c>
      <c r="M2056" s="52">
        <v>12.501511130555922</v>
      </c>
    </row>
    <row r="2057" spans="1:13" x14ac:dyDescent="0.35">
      <c r="A2057" s="14" t="s">
        <v>391</v>
      </c>
      <c r="B2057" s="14" t="s">
        <v>377</v>
      </c>
      <c r="C2057" t="s">
        <v>392</v>
      </c>
      <c r="D2057" s="18">
        <v>44207</v>
      </c>
      <c r="E2057" s="34">
        <v>44204</v>
      </c>
      <c r="F2057" s="34">
        <v>44207</v>
      </c>
      <c r="H2057" s="28" t="s">
        <v>335</v>
      </c>
      <c r="M2057" s="52">
        <v>12.501511130555922</v>
      </c>
    </row>
    <row r="2058" spans="1:13" x14ac:dyDescent="0.35">
      <c r="A2058" s="14" t="s">
        <v>391</v>
      </c>
      <c r="B2058" s="14" t="s">
        <v>377</v>
      </c>
      <c r="C2058" t="s">
        <v>392</v>
      </c>
      <c r="D2058" s="18">
        <v>44207</v>
      </c>
      <c r="E2058" s="34">
        <v>44204</v>
      </c>
      <c r="F2058" s="34">
        <v>44207</v>
      </c>
      <c r="H2058" s="28" t="s">
        <v>339</v>
      </c>
      <c r="M2058" s="52">
        <v>12.501511130555922</v>
      </c>
    </row>
    <row r="2059" spans="1:13" x14ac:dyDescent="0.35">
      <c r="A2059" s="14" t="s">
        <v>391</v>
      </c>
      <c r="B2059" s="14" t="s">
        <v>377</v>
      </c>
      <c r="C2059" t="s">
        <v>392</v>
      </c>
      <c r="D2059" s="18">
        <v>44207</v>
      </c>
      <c r="E2059" s="34">
        <v>44204</v>
      </c>
      <c r="F2059" s="34">
        <v>44207</v>
      </c>
      <c r="H2059" s="28" t="s">
        <v>345</v>
      </c>
      <c r="K2059" t="s">
        <v>381</v>
      </c>
      <c r="L2059">
        <v>50</v>
      </c>
      <c r="M2059" s="52">
        <v>12.501511130555922</v>
      </c>
    </row>
    <row r="2060" spans="1:13" x14ac:dyDescent="0.35">
      <c r="A2060" s="14" t="s">
        <v>391</v>
      </c>
      <c r="B2060" s="14" t="s">
        <v>377</v>
      </c>
      <c r="C2060" t="s">
        <v>392</v>
      </c>
      <c r="D2060" s="18">
        <v>44207</v>
      </c>
      <c r="E2060" s="34">
        <v>44204</v>
      </c>
      <c r="F2060" s="34">
        <v>44207</v>
      </c>
      <c r="H2060" s="28" t="s">
        <v>59</v>
      </c>
      <c r="M2060" s="52">
        <v>12.501511130555922</v>
      </c>
    </row>
    <row r="2061" spans="1:13" x14ac:dyDescent="0.35">
      <c r="A2061" s="14" t="s">
        <v>391</v>
      </c>
      <c r="B2061" s="14" t="s">
        <v>377</v>
      </c>
      <c r="C2061" t="s">
        <v>400</v>
      </c>
      <c r="D2061" s="18">
        <v>44209</v>
      </c>
      <c r="E2061" s="18">
        <v>44204</v>
      </c>
      <c r="F2061" s="34">
        <v>44208</v>
      </c>
      <c r="H2061" s="28" t="s">
        <v>68</v>
      </c>
      <c r="M2061" s="52">
        <v>63.107373888043028</v>
      </c>
    </row>
    <row r="2062" spans="1:13" x14ac:dyDescent="0.35">
      <c r="A2062" s="14" t="s">
        <v>391</v>
      </c>
      <c r="B2062" s="14" t="s">
        <v>377</v>
      </c>
      <c r="C2062" t="s">
        <v>400</v>
      </c>
      <c r="D2062" s="18">
        <v>44209</v>
      </c>
      <c r="E2062" s="18">
        <v>44204</v>
      </c>
      <c r="F2062" s="34">
        <v>44208</v>
      </c>
      <c r="H2062" s="28" t="s">
        <v>72</v>
      </c>
      <c r="M2062" s="52">
        <v>63.107373888043028</v>
      </c>
    </row>
    <row r="2063" spans="1:13" x14ac:dyDescent="0.35">
      <c r="A2063" s="14" t="s">
        <v>391</v>
      </c>
      <c r="B2063" s="14" t="s">
        <v>377</v>
      </c>
      <c r="C2063" t="s">
        <v>400</v>
      </c>
      <c r="D2063" s="18">
        <v>44209</v>
      </c>
      <c r="E2063" s="18">
        <v>44204</v>
      </c>
      <c r="F2063" s="34">
        <v>44208</v>
      </c>
      <c r="H2063" s="28" t="s">
        <v>41</v>
      </c>
      <c r="K2063" t="s">
        <v>381</v>
      </c>
      <c r="L2063">
        <v>50</v>
      </c>
      <c r="M2063" s="52">
        <v>63.107373888043028</v>
      </c>
    </row>
    <row r="2064" spans="1:13" x14ac:dyDescent="0.35">
      <c r="A2064" s="14" t="s">
        <v>391</v>
      </c>
      <c r="B2064" s="14" t="s">
        <v>377</v>
      </c>
      <c r="C2064" t="s">
        <v>400</v>
      </c>
      <c r="D2064" s="18">
        <v>44209</v>
      </c>
      <c r="E2064" s="18">
        <v>44204</v>
      </c>
      <c r="F2064" s="34">
        <v>44208</v>
      </c>
      <c r="H2064" s="28" t="s">
        <v>39</v>
      </c>
      <c r="K2064" t="s">
        <v>381</v>
      </c>
      <c r="L2064">
        <v>25</v>
      </c>
      <c r="M2064" s="52">
        <v>63.107373888043028</v>
      </c>
    </row>
    <row r="2065" spans="1:13" x14ac:dyDescent="0.35">
      <c r="A2065" s="14" t="s">
        <v>391</v>
      </c>
      <c r="B2065" s="14" t="s">
        <v>377</v>
      </c>
      <c r="C2065" t="s">
        <v>400</v>
      </c>
      <c r="D2065" s="18">
        <v>44209</v>
      </c>
      <c r="E2065" s="18">
        <v>44204</v>
      </c>
      <c r="F2065" s="34">
        <v>44208</v>
      </c>
      <c r="H2065" s="28" t="s">
        <v>123</v>
      </c>
      <c r="M2065" s="52">
        <v>63.107373888043028</v>
      </c>
    </row>
    <row r="2066" spans="1:13" x14ac:dyDescent="0.35">
      <c r="A2066" s="14" t="s">
        <v>391</v>
      </c>
      <c r="B2066" s="14" t="s">
        <v>377</v>
      </c>
      <c r="C2066" t="s">
        <v>400</v>
      </c>
      <c r="D2066" s="18">
        <v>44209</v>
      </c>
      <c r="E2066" s="18">
        <v>44204</v>
      </c>
      <c r="F2066" s="34">
        <v>44208</v>
      </c>
      <c r="H2066" s="28" t="s">
        <v>150</v>
      </c>
      <c r="M2066" s="52">
        <v>63.107373888043028</v>
      </c>
    </row>
    <row r="2067" spans="1:13" x14ac:dyDescent="0.35">
      <c r="A2067" s="14" t="s">
        <v>391</v>
      </c>
      <c r="B2067" s="14" t="s">
        <v>377</v>
      </c>
      <c r="C2067" t="s">
        <v>400</v>
      </c>
      <c r="D2067" s="18">
        <v>44209</v>
      </c>
      <c r="E2067" s="18">
        <v>44204</v>
      </c>
      <c r="F2067" s="34">
        <v>44208</v>
      </c>
      <c r="H2067" s="28" t="s">
        <v>127</v>
      </c>
      <c r="M2067" s="52">
        <v>63.107373888043028</v>
      </c>
    </row>
    <row r="2068" spans="1:13" x14ac:dyDescent="0.35">
      <c r="A2068" s="14" t="s">
        <v>391</v>
      </c>
      <c r="B2068" s="14" t="s">
        <v>377</v>
      </c>
      <c r="C2068" t="s">
        <v>400</v>
      </c>
      <c r="D2068" s="18">
        <v>44209</v>
      </c>
      <c r="E2068" s="18">
        <v>44204</v>
      </c>
      <c r="F2068" s="34">
        <v>44208</v>
      </c>
      <c r="H2068" s="28" t="s">
        <v>25</v>
      </c>
      <c r="K2068" t="s">
        <v>381</v>
      </c>
      <c r="L2068">
        <v>20</v>
      </c>
      <c r="M2068" s="52">
        <v>63.107373888043028</v>
      </c>
    </row>
    <row r="2069" spans="1:13" x14ac:dyDescent="0.35">
      <c r="A2069" s="14" t="s">
        <v>391</v>
      </c>
      <c r="B2069" s="14" t="s">
        <v>377</v>
      </c>
      <c r="C2069" t="s">
        <v>400</v>
      </c>
      <c r="D2069" s="18">
        <v>44209</v>
      </c>
      <c r="E2069" s="18">
        <v>44204</v>
      </c>
      <c r="F2069" s="34">
        <v>44208</v>
      </c>
      <c r="H2069" s="28" t="s">
        <v>23</v>
      </c>
      <c r="K2069" t="s">
        <v>380</v>
      </c>
      <c r="L2069">
        <v>10</v>
      </c>
      <c r="M2069" s="52">
        <v>63.107373888043028</v>
      </c>
    </row>
    <row r="2070" spans="1:13" x14ac:dyDescent="0.35">
      <c r="A2070" s="14" t="s">
        <v>391</v>
      </c>
      <c r="B2070" s="14" t="s">
        <v>377</v>
      </c>
      <c r="C2070" t="s">
        <v>400</v>
      </c>
      <c r="D2070" s="18">
        <v>44209</v>
      </c>
      <c r="E2070" s="18">
        <v>44204</v>
      </c>
      <c r="F2070" s="34">
        <v>44208</v>
      </c>
      <c r="H2070" s="28" t="s">
        <v>24</v>
      </c>
      <c r="K2070" t="s">
        <v>380</v>
      </c>
      <c r="L2070">
        <v>15</v>
      </c>
      <c r="M2070" s="52">
        <v>63.107373888043028</v>
      </c>
    </row>
    <row r="2071" spans="1:13" x14ac:dyDescent="0.35">
      <c r="A2071" s="14" t="s">
        <v>391</v>
      </c>
      <c r="B2071" s="14" t="s">
        <v>377</v>
      </c>
      <c r="C2071" t="s">
        <v>400</v>
      </c>
      <c r="D2071" s="18">
        <v>44209</v>
      </c>
      <c r="E2071" s="18">
        <v>44204</v>
      </c>
      <c r="F2071" s="34">
        <v>44208</v>
      </c>
      <c r="H2071" s="28" t="s">
        <v>27</v>
      </c>
      <c r="K2071" t="s">
        <v>380</v>
      </c>
      <c r="L2071">
        <v>10</v>
      </c>
      <c r="M2071" s="52">
        <v>63.107373888043028</v>
      </c>
    </row>
    <row r="2072" spans="1:13" x14ac:dyDescent="0.35">
      <c r="A2072" s="14" t="s">
        <v>391</v>
      </c>
      <c r="B2072" s="14" t="s">
        <v>377</v>
      </c>
      <c r="C2072" t="s">
        <v>400</v>
      </c>
      <c r="D2072" s="18">
        <v>44209</v>
      </c>
      <c r="E2072" s="18">
        <v>44204</v>
      </c>
      <c r="F2072" s="34">
        <v>44208</v>
      </c>
      <c r="H2072" s="28" t="s">
        <v>28</v>
      </c>
      <c r="K2072" t="s">
        <v>380</v>
      </c>
      <c r="L2072">
        <v>15</v>
      </c>
      <c r="M2072" s="52">
        <v>63.107373888043028</v>
      </c>
    </row>
    <row r="2073" spans="1:13" x14ac:dyDescent="0.35">
      <c r="A2073" s="14" t="s">
        <v>391</v>
      </c>
      <c r="B2073" s="14" t="s">
        <v>377</v>
      </c>
      <c r="C2073" t="s">
        <v>400</v>
      </c>
      <c r="D2073" s="18">
        <v>44209</v>
      </c>
      <c r="E2073" s="18">
        <v>44204</v>
      </c>
      <c r="F2073" s="34">
        <v>44208</v>
      </c>
      <c r="H2073" s="28" t="s">
        <v>30</v>
      </c>
      <c r="M2073" s="52">
        <v>63.107373888043028</v>
      </c>
    </row>
    <row r="2074" spans="1:13" x14ac:dyDescent="0.35">
      <c r="A2074" s="14" t="s">
        <v>391</v>
      </c>
      <c r="B2074" s="14" t="s">
        <v>377</v>
      </c>
      <c r="C2074" t="s">
        <v>400</v>
      </c>
      <c r="D2074" s="18">
        <v>44209</v>
      </c>
      <c r="E2074" s="18">
        <v>44204</v>
      </c>
      <c r="F2074" s="34">
        <v>44208</v>
      </c>
      <c r="H2074" s="28" t="s">
        <v>29</v>
      </c>
      <c r="K2074" t="s">
        <v>381</v>
      </c>
      <c r="L2074">
        <v>33</v>
      </c>
      <c r="M2074" s="52">
        <v>63.107373888043028</v>
      </c>
    </row>
    <row r="2075" spans="1:13" x14ac:dyDescent="0.35">
      <c r="A2075" s="14" t="s">
        <v>391</v>
      </c>
      <c r="B2075" s="14" t="s">
        <v>377</v>
      </c>
      <c r="C2075" t="s">
        <v>400</v>
      </c>
      <c r="D2075" s="18">
        <v>44209</v>
      </c>
      <c r="E2075" s="18">
        <v>44204</v>
      </c>
      <c r="F2075" s="34">
        <v>44208</v>
      </c>
      <c r="H2075" s="28" t="s">
        <v>190</v>
      </c>
      <c r="M2075" s="52">
        <v>63.107373888043028</v>
      </c>
    </row>
    <row r="2076" spans="1:13" x14ac:dyDescent="0.35">
      <c r="A2076" s="14" t="s">
        <v>391</v>
      </c>
      <c r="B2076" s="14" t="s">
        <v>377</v>
      </c>
      <c r="C2076" t="s">
        <v>400</v>
      </c>
      <c r="D2076" s="18">
        <v>44209</v>
      </c>
      <c r="E2076" s="18">
        <v>44204</v>
      </c>
      <c r="F2076" s="34">
        <v>44208</v>
      </c>
      <c r="H2076" s="28" t="s">
        <v>198</v>
      </c>
      <c r="M2076" s="52">
        <v>63.107373888043028</v>
      </c>
    </row>
    <row r="2077" spans="1:13" x14ac:dyDescent="0.35">
      <c r="A2077" s="14" t="s">
        <v>391</v>
      </c>
      <c r="B2077" s="14" t="s">
        <v>377</v>
      </c>
      <c r="C2077" t="s">
        <v>400</v>
      </c>
      <c r="D2077" s="18">
        <v>44209</v>
      </c>
      <c r="E2077" s="18">
        <v>44204</v>
      </c>
      <c r="F2077" s="34">
        <v>44208</v>
      </c>
      <c r="H2077" s="28" t="s">
        <v>393</v>
      </c>
      <c r="M2077" s="52">
        <v>63.107373888043028</v>
      </c>
    </row>
    <row r="2078" spans="1:13" x14ac:dyDescent="0.35">
      <c r="A2078" s="14" t="s">
        <v>391</v>
      </c>
      <c r="B2078" s="14" t="s">
        <v>377</v>
      </c>
      <c r="C2078" t="s">
        <v>400</v>
      </c>
      <c r="D2078" s="18">
        <v>44209</v>
      </c>
      <c r="E2078" s="18">
        <v>44204</v>
      </c>
      <c r="F2078" s="34">
        <v>44208</v>
      </c>
      <c r="H2078" s="28" t="s">
        <v>204</v>
      </c>
      <c r="M2078" s="52">
        <v>63.107373888043028</v>
      </c>
    </row>
    <row r="2079" spans="1:13" x14ac:dyDescent="0.35">
      <c r="A2079" s="14" t="s">
        <v>391</v>
      </c>
      <c r="B2079" s="14" t="s">
        <v>377</v>
      </c>
      <c r="C2079" t="s">
        <v>400</v>
      </c>
      <c r="D2079" s="18">
        <v>44209</v>
      </c>
      <c r="E2079" s="18">
        <v>44204</v>
      </c>
      <c r="F2079" s="34">
        <v>44208</v>
      </c>
      <c r="H2079" s="28" t="s">
        <v>208</v>
      </c>
      <c r="M2079" s="52">
        <v>63.107373888043028</v>
      </c>
    </row>
    <row r="2080" spans="1:13" x14ac:dyDescent="0.35">
      <c r="A2080" s="14" t="s">
        <v>391</v>
      </c>
      <c r="B2080" s="14" t="s">
        <v>377</v>
      </c>
      <c r="C2080" t="s">
        <v>400</v>
      </c>
      <c r="D2080" s="18">
        <v>44209</v>
      </c>
      <c r="E2080" s="18">
        <v>44204</v>
      </c>
      <c r="F2080" s="34">
        <v>44208</v>
      </c>
      <c r="H2080" s="28" t="s">
        <v>403</v>
      </c>
      <c r="M2080" s="52">
        <v>63.107373888043028</v>
      </c>
    </row>
    <row r="2081" spans="1:13" x14ac:dyDescent="0.35">
      <c r="A2081" s="14" t="s">
        <v>391</v>
      </c>
      <c r="B2081" s="14" t="s">
        <v>377</v>
      </c>
      <c r="C2081" t="s">
        <v>400</v>
      </c>
      <c r="D2081" s="18">
        <v>44209</v>
      </c>
      <c r="E2081" s="18">
        <v>44204</v>
      </c>
      <c r="F2081" s="34">
        <v>44208</v>
      </c>
      <c r="H2081" s="28" t="s">
        <v>223</v>
      </c>
      <c r="M2081" s="52">
        <v>63.107373888043028</v>
      </c>
    </row>
    <row r="2082" spans="1:13" x14ac:dyDescent="0.35">
      <c r="A2082" s="14" t="s">
        <v>391</v>
      </c>
      <c r="B2082" s="14" t="s">
        <v>377</v>
      </c>
      <c r="C2082" t="s">
        <v>400</v>
      </c>
      <c r="D2082" s="18">
        <v>44209</v>
      </c>
      <c r="E2082" s="18">
        <v>44204</v>
      </c>
      <c r="F2082" s="34">
        <v>44208</v>
      </c>
      <c r="H2082" s="28" t="s">
        <v>56</v>
      </c>
      <c r="K2082" t="s">
        <v>381</v>
      </c>
      <c r="L2082">
        <v>30</v>
      </c>
      <c r="M2082" s="52">
        <v>63.107373888043028</v>
      </c>
    </row>
    <row r="2083" spans="1:13" x14ac:dyDescent="0.35">
      <c r="A2083" s="14" t="s">
        <v>391</v>
      </c>
      <c r="B2083" s="14" t="s">
        <v>377</v>
      </c>
      <c r="C2083" t="s">
        <v>400</v>
      </c>
      <c r="D2083" s="18">
        <v>44209</v>
      </c>
      <c r="E2083" s="18">
        <v>44204</v>
      </c>
      <c r="F2083" s="34">
        <v>44208</v>
      </c>
      <c r="H2083" s="28" t="s">
        <v>263</v>
      </c>
      <c r="M2083" s="52">
        <v>63.107373888043028</v>
      </c>
    </row>
    <row r="2084" spans="1:13" x14ac:dyDescent="0.35">
      <c r="A2084" s="14" t="s">
        <v>391</v>
      </c>
      <c r="B2084" s="14" t="s">
        <v>377</v>
      </c>
      <c r="C2084" t="s">
        <v>400</v>
      </c>
      <c r="D2084" s="18">
        <v>44209</v>
      </c>
      <c r="E2084" s="18">
        <v>44204</v>
      </c>
      <c r="F2084" s="34">
        <v>44208</v>
      </c>
      <c r="H2084" s="28" t="s">
        <v>287</v>
      </c>
      <c r="M2084" s="52">
        <v>63.107373888043028</v>
      </c>
    </row>
    <row r="2085" spans="1:13" x14ac:dyDescent="0.35">
      <c r="A2085" s="14" t="s">
        <v>391</v>
      </c>
      <c r="B2085" s="14" t="s">
        <v>377</v>
      </c>
      <c r="C2085" t="s">
        <v>400</v>
      </c>
      <c r="D2085" s="18">
        <v>44209</v>
      </c>
      <c r="E2085" s="18">
        <v>44204</v>
      </c>
      <c r="F2085" s="34">
        <v>44208</v>
      </c>
      <c r="H2085" s="28" t="s">
        <v>309</v>
      </c>
      <c r="M2085" s="52">
        <v>63.107373888043028</v>
      </c>
    </row>
    <row r="2086" spans="1:13" x14ac:dyDescent="0.35">
      <c r="A2086" s="14" t="s">
        <v>391</v>
      </c>
      <c r="B2086" s="14" t="s">
        <v>377</v>
      </c>
      <c r="C2086" t="s">
        <v>400</v>
      </c>
      <c r="D2086" s="18">
        <v>44209</v>
      </c>
      <c r="E2086" s="18">
        <v>44204</v>
      </c>
      <c r="F2086" s="34">
        <v>44208</v>
      </c>
      <c r="H2086" s="28" t="s">
        <v>311</v>
      </c>
      <c r="M2086" s="52">
        <v>63.107373888043028</v>
      </c>
    </row>
    <row r="2087" spans="1:13" x14ac:dyDescent="0.35">
      <c r="A2087" s="14" t="s">
        <v>391</v>
      </c>
      <c r="B2087" s="14" t="s">
        <v>377</v>
      </c>
      <c r="C2087" t="s">
        <v>400</v>
      </c>
      <c r="D2087" s="18">
        <v>44209</v>
      </c>
      <c r="E2087" s="18">
        <v>44204</v>
      </c>
      <c r="F2087" s="34">
        <v>44208</v>
      </c>
      <c r="H2087" s="28" t="s">
        <v>315</v>
      </c>
      <c r="K2087" t="s">
        <v>381</v>
      </c>
      <c r="L2087">
        <v>30</v>
      </c>
      <c r="M2087" s="52">
        <v>63.107373888043028</v>
      </c>
    </row>
    <row r="2088" spans="1:13" x14ac:dyDescent="0.35">
      <c r="A2088" s="14" t="s">
        <v>391</v>
      </c>
      <c r="B2088" s="14" t="s">
        <v>377</v>
      </c>
      <c r="C2088" t="s">
        <v>400</v>
      </c>
      <c r="D2088" s="18">
        <v>44209</v>
      </c>
      <c r="E2088" s="18">
        <v>44204</v>
      </c>
      <c r="F2088" s="34">
        <v>44208</v>
      </c>
      <c r="H2088" s="28" t="s">
        <v>401</v>
      </c>
      <c r="K2088" t="s">
        <v>381</v>
      </c>
      <c r="L2088">
        <v>50</v>
      </c>
      <c r="M2088" s="52">
        <v>63.107373888043028</v>
      </c>
    </row>
    <row r="2089" spans="1:13" x14ac:dyDescent="0.35">
      <c r="A2089" s="14" t="s">
        <v>391</v>
      </c>
      <c r="B2089" s="14" t="s">
        <v>377</v>
      </c>
      <c r="C2089" t="s">
        <v>400</v>
      </c>
      <c r="D2089" s="18">
        <v>44209</v>
      </c>
      <c r="E2089" s="18">
        <v>44204</v>
      </c>
      <c r="F2089" s="34">
        <v>44208</v>
      </c>
      <c r="H2089" s="28" t="s">
        <v>402</v>
      </c>
      <c r="K2089" t="s">
        <v>380</v>
      </c>
      <c r="L2089">
        <v>6</v>
      </c>
      <c r="M2089" s="52">
        <v>63.107373888043028</v>
      </c>
    </row>
    <row r="2090" spans="1:13" x14ac:dyDescent="0.35">
      <c r="A2090" s="14" t="s">
        <v>391</v>
      </c>
      <c r="B2090" s="14" t="s">
        <v>377</v>
      </c>
      <c r="C2090" t="s">
        <v>400</v>
      </c>
      <c r="D2090" s="18">
        <v>44209</v>
      </c>
      <c r="E2090" s="18">
        <v>44204</v>
      </c>
      <c r="F2090" s="34">
        <v>44208</v>
      </c>
      <c r="H2090" s="28" t="s">
        <v>60</v>
      </c>
      <c r="K2090" t="s">
        <v>380</v>
      </c>
      <c r="L2090">
        <v>6</v>
      </c>
      <c r="M2090" s="52">
        <v>63.107373888043028</v>
      </c>
    </row>
    <row r="2091" spans="1:13" x14ac:dyDescent="0.35">
      <c r="A2091" s="14" t="s">
        <v>391</v>
      </c>
      <c r="B2091" s="14" t="s">
        <v>377</v>
      </c>
      <c r="C2091" t="s">
        <v>400</v>
      </c>
      <c r="D2091" s="18">
        <v>44209</v>
      </c>
      <c r="E2091" s="18">
        <v>44204</v>
      </c>
      <c r="F2091" s="34">
        <v>44208</v>
      </c>
      <c r="H2091" s="28" t="s">
        <v>60</v>
      </c>
      <c r="K2091" t="s">
        <v>380</v>
      </c>
      <c r="L2091">
        <v>6</v>
      </c>
      <c r="M2091" s="52">
        <v>63.107373888043028</v>
      </c>
    </row>
    <row r="2092" spans="1:13" x14ac:dyDescent="0.35">
      <c r="A2092" s="14" t="s">
        <v>391</v>
      </c>
      <c r="B2092" s="14" t="s">
        <v>377</v>
      </c>
      <c r="C2092" t="s">
        <v>400</v>
      </c>
      <c r="D2092" s="18">
        <v>44209</v>
      </c>
      <c r="E2092" s="18">
        <v>44204</v>
      </c>
      <c r="F2092" s="34">
        <v>44208</v>
      </c>
      <c r="H2092" s="28" t="s">
        <v>335</v>
      </c>
      <c r="M2092" s="52">
        <v>63.107373888043028</v>
      </c>
    </row>
    <row r="2093" spans="1:13" x14ac:dyDescent="0.35">
      <c r="A2093" s="14" t="s">
        <v>391</v>
      </c>
      <c r="B2093" s="14" t="s">
        <v>377</v>
      </c>
      <c r="C2093" t="s">
        <v>400</v>
      </c>
      <c r="D2093" s="18">
        <v>44209</v>
      </c>
      <c r="E2093" s="18">
        <v>44204</v>
      </c>
      <c r="F2093" s="34">
        <v>44208</v>
      </c>
      <c r="H2093" s="28" t="s">
        <v>339</v>
      </c>
      <c r="M2093" s="52">
        <v>63.107373888043028</v>
      </c>
    </row>
    <row r="2094" spans="1:13" x14ac:dyDescent="0.35">
      <c r="A2094" s="14" t="s">
        <v>391</v>
      </c>
      <c r="B2094" s="14" t="s">
        <v>377</v>
      </c>
      <c r="C2094" t="s">
        <v>400</v>
      </c>
      <c r="D2094" s="18">
        <v>44209</v>
      </c>
      <c r="E2094" s="18">
        <v>44204</v>
      </c>
      <c r="F2094" s="34">
        <v>44208</v>
      </c>
      <c r="H2094" s="28" t="s">
        <v>341</v>
      </c>
      <c r="M2094" s="52">
        <v>63.107373888043028</v>
      </c>
    </row>
    <row r="2095" spans="1:13" x14ac:dyDescent="0.35">
      <c r="A2095" s="14" t="s">
        <v>391</v>
      </c>
      <c r="B2095" s="14" t="s">
        <v>377</v>
      </c>
      <c r="C2095" t="s">
        <v>400</v>
      </c>
      <c r="D2095" s="18">
        <v>44209</v>
      </c>
      <c r="E2095" s="18">
        <v>44204</v>
      </c>
      <c r="F2095" s="34">
        <v>44208</v>
      </c>
      <c r="H2095" s="28" t="s">
        <v>345</v>
      </c>
      <c r="K2095" t="s">
        <v>381</v>
      </c>
      <c r="L2095">
        <v>50</v>
      </c>
      <c r="M2095" s="52">
        <v>63.107373888043028</v>
      </c>
    </row>
    <row r="2096" spans="1:13" x14ac:dyDescent="0.35">
      <c r="A2096" s="14" t="s">
        <v>391</v>
      </c>
      <c r="B2096" s="14" t="s">
        <v>377</v>
      </c>
      <c r="C2096" t="s">
        <v>400</v>
      </c>
      <c r="D2096" s="18">
        <v>44209</v>
      </c>
      <c r="E2096" s="18">
        <v>44204</v>
      </c>
      <c r="F2096" s="34">
        <v>44208</v>
      </c>
      <c r="H2096" s="28" t="s">
        <v>59</v>
      </c>
      <c r="M2096" s="52">
        <v>63.107373888043028</v>
      </c>
    </row>
    <row r="2097" spans="1:13" x14ac:dyDescent="0.35">
      <c r="A2097" s="14" t="s">
        <v>391</v>
      </c>
      <c r="B2097" s="14" t="s">
        <v>377</v>
      </c>
      <c r="C2097" t="s">
        <v>400</v>
      </c>
      <c r="D2097" s="18">
        <v>44209</v>
      </c>
      <c r="E2097" s="18">
        <v>44204</v>
      </c>
      <c r="F2097" s="34">
        <v>44208</v>
      </c>
      <c r="H2097" s="28" t="s">
        <v>360</v>
      </c>
      <c r="M2097" s="52">
        <v>63.107373888043028</v>
      </c>
    </row>
    <row r="2098" spans="1:13" x14ac:dyDescent="0.35">
      <c r="A2098" s="14" t="s">
        <v>391</v>
      </c>
      <c r="B2098" s="14" t="s">
        <v>377</v>
      </c>
      <c r="C2098" t="s">
        <v>395</v>
      </c>
      <c r="D2098" s="18">
        <v>44208</v>
      </c>
      <c r="E2098" s="34">
        <v>44207</v>
      </c>
      <c r="F2098" s="34">
        <v>44209</v>
      </c>
      <c r="H2098" s="28" t="s">
        <v>68</v>
      </c>
      <c r="M2098" s="52">
        <v>43.704269830308576</v>
      </c>
    </row>
    <row r="2099" spans="1:13" x14ac:dyDescent="0.35">
      <c r="A2099" s="14" t="s">
        <v>391</v>
      </c>
      <c r="B2099" s="14" t="s">
        <v>377</v>
      </c>
      <c r="C2099" t="s">
        <v>395</v>
      </c>
      <c r="D2099" s="18">
        <v>44208</v>
      </c>
      <c r="E2099" s="34">
        <v>44207</v>
      </c>
      <c r="F2099" s="34">
        <v>44209</v>
      </c>
      <c r="H2099" s="28" t="s">
        <v>96</v>
      </c>
      <c r="M2099" s="52">
        <v>43.704269830308576</v>
      </c>
    </row>
    <row r="2100" spans="1:13" x14ac:dyDescent="0.35">
      <c r="A2100" s="14" t="s">
        <v>391</v>
      </c>
      <c r="B2100" s="14" t="s">
        <v>377</v>
      </c>
      <c r="C2100" t="s">
        <v>395</v>
      </c>
      <c r="D2100" s="18">
        <v>44208</v>
      </c>
      <c r="E2100" s="34">
        <v>44207</v>
      </c>
      <c r="F2100" s="34">
        <v>44209</v>
      </c>
      <c r="H2100" s="28" t="s">
        <v>96</v>
      </c>
      <c r="M2100" s="52">
        <v>43.704269830308576</v>
      </c>
    </row>
    <row r="2101" spans="1:13" x14ac:dyDescent="0.35">
      <c r="A2101" s="14" t="s">
        <v>391</v>
      </c>
      <c r="B2101" s="14" t="s">
        <v>377</v>
      </c>
      <c r="C2101" t="s">
        <v>395</v>
      </c>
      <c r="D2101" s="18">
        <v>44208</v>
      </c>
      <c r="E2101" s="34">
        <v>44207</v>
      </c>
      <c r="F2101" s="34">
        <v>44209</v>
      </c>
      <c r="H2101" s="28" t="s">
        <v>72</v>
      </c>
      <c r="M2101" s="52">
        <v>43.704269830308576</v>
      </c>
    </row>
    <row r="2102" spans="1:13" x14ac:dyDescent="0.35">
      <c r="A2102" s="14" t="s">
        <v>391</v>
      </c>
      <c r="B2102" s="14" t="s">
        <v>377</v>
      </c>
      <c r="C2102" t="s">
        <v>395</v>
      </c>
      <c r="D2102" s="18">
        <v>44208</v>
      </c>
      <c r="E2102" s="34">
        <v>44207</v>
      </c>
      <c r="F2102" s="34">
        <v>44209</v>
      </c>
      <c r="H2102" s="28" t="s">
        <v>72</v>
      </c>
      <c r="M2102" s="52">
        <v>43.704269830308576</v>
      </c>
    </row>
    <row r="2103" spans="1:13" x14ac:dyDescent="0.35">
      <c r="A2103" s="14" t="s">
        <v>391</v>
      </c>
      <c r="B2103" s="14" t="s">
        <v>377</v>
      </c>
      <c r="C2103" t="s">
        <v>395</v>
      </c>
      <c r="D2103" s="18">
        <v>44208</v>
      </c>
      <c r="E2103" s="34">
        <v>44207</v>
      </c>
      <c r="F2103" s="34">
        <v>44209</v>
      </c>
      <c r="H2103" s="28" t="s">
        <v>41</v>
      </c>
      <c r="K2103" t="s">
        <v>381</v>
      </c>
      <c r="L2103">
        <v>75</v>
      </c>
      <c r="M2103" s="52">
        <v>43.704269830308576</v>
      </c>
    </row>
    <row r="2104" spans="1:13" x14ac:dyDescent="0.35">
      <c r="A2104" s="14" t="s">
        <v>391</v>
      </c>
      <c r="B2104" s="14" t="s">
        <v>377</v>
      </c>
      <c r="C2104" t="s">
        <v>395</v>
      </c>
      <c r="D2104" s="18">
        <v>44208</v>
      </c>
      <c r="E2104" s="34">
        <v>44207</v>
      </c>
      <c r="F2104" s="34">
        <v>44209</v>
      </c>
      <c r="H2104" s="28" t="s">
        <v>39</v>
      </c>
      <c r="K2104" t="s">
        <v>381</v>
      </c>
      <c r="L2104">
        <v>50</v>
      </c>
      <c r="M2104" s="52">
        <v>43.704269830308576</v>
      </c>
    </row>
    <row r="2105" spans="1:13" x14ac:dyDescent="0.35">
      <c r="A2105" s="14" t="s">
        <v>391</v>
      </c>
      <c r="B2105" s="14" t="s">
        <v>377</v>
      </c>
      <c r="C2105" t="s">
        <v>395</v>
      </c>
      <c r="D2105" s="18">
        <v>44208</v>
      </c>
      <c r="E2105" s="34">
        <v>44207</v>
      </c>
      <c r="F2105" s="34">
        <v>44209</v>
      </c>
      <c r="H2105" s="28" t="s">
        <v>44</v>
      </c>
      <c r="M2105" s="52">
        <v>43.704269830308576</v>
      </c>
    </row>
    <row r="2106" spans="1:13" x14ac:dyDescent="0.35">
      <c r="A2106" s="14" t="s">
        <v>391</v>
      </c>
      <c r="B2106" s="14" t="s">
        <v>377</v>
      </c>
      <c r="C2106" t="s">
        <v>395</v>
      </c>
      <c r="D2106" s="18">
        <v>44208</v>
      </c>
      <c r="E2106" s="34">
        <v>44207</v>
      </c>
      <c r="F2106" s="34">
        <v>44209</v>
      </c>
      <c r="H2106" s="28" t="s">
        <v>55</v>
      </c>
      <c r="M2106" s="52">
        <v>43.704269830308576</v>
      </c>
    </row>
    <row r="2107" spans="1:13" x14ac:dyDescent="0.35">
      <c r="A2107" s="14" t="s">
        <v>391</v>
      </c>
      <c r="B2107" s="14" t="s">
        <v>377</v>
      </c>
      <c r="C2107" t="s">
        <v>395</v>
      </c>
      <c r="D2107" s="18">
        <v>44208</v>
      </c>
      <c r="E2107" s="34">
        <v>44207</v>
      </c>
      <c r="F2107" s="34">
        <v>44209</v>
      </c>
      <c r="H2107" s="28" t="s">
        <v>55</v>
      </c>
      <c r="M2107" s="52">
        <v>43.704269830308576</v>
      </c>
    </row>
    <row r="2108" spans="1:13" x14ac:dyDescent="0.35">
      <c r="A2108" s="14" t="s">
        <v>391</v>
      </c>
      <c r="B2108" s="14" t="s">
        <v>377</v>
      </c>
      <c r="C2108" t="s">
        <v>395</v>
      </c>
      <c r="D2108" s="18">
        <v>44208</v>
      </c>
      <c r="E2108" s="34">
        <v>44207</v>
      </c>
      <c r="F2108" s="34">
        <v>44209</v>
      </c>
      <c r="H2108" s="28" t="s">
        <v>125</v>
      </c>
      <c r="M2108" s="52">
        <v>43.704269830308576</v>
      </c>
    </row>
    <row r="2109" spans="1:13" x14ac:dyDescent="0.35">
      <c r="A2109" s="14" t="s">
        <v>391</v>
      </c>
      <c r="B2109" s="14" t="s">
        <v>377</v>
      </c>
      <c r="C2109" t="s">
        <v>395</v>
      </c>
      <c r="D2109" s="18">
        <v>44208</v>
      </c>
      <c r="E2109" s="34">
        <v>44207</v>
      </c>
      <c r="F2109" s="34">
        <v>44209</v>
      </c>
      <c r="H2109" s="28" t="s">
        <v>127</v>
      </c>
      <c r="M2109" s="52">
        <v>43.704269830308576</v>
      </c>
    </row>
    <row r="2110" spans="1:13" x14ac:dyDescent="0.35">
      <c r="A2110" s="14" t="s">
        <v>391</v>
      </c>
      <c r="B2110" s="14" t="s">
        <v>377</v>
      </c>
      <c r="C2110" t="s">
        <v>395</v>
      </c>
      <c r="D2110" s="18">
        <v>44208</v>
      </c>
      <c r="E2110" s="34">
        <v>44207</v>
      </c>
      <c r="F2110" s="34">
        <v>44209</v>
      </c>
      <c r="H2110" s="28" t="s">
        <v>25</v>
      </c>
      <c r="K2110" t="s">
        <v>381</v>
      </c>
      <c r="L2110">
        <v>50</v>
      </c>
      <c r="M2110" s="52">
        <v>43.704269830308576</v>
      </c>
    </row>
    <row r="2111" spans="1:13" x14ac:dyDescent="0.35">
      <c r="A2111" s="14" t="s">
        <v>391</v>
      </c>
      <c r="B2111" s="14" t="s">
        <v>377</v>
      </c>
      <c r="C2111" t="s">
        <v>395</v>
      </c>
      <c r="D2111" s="18">
        <v>44208</v>
      </c>
      <c r="E2111" s="34">
        <v>44207</v>
      </c>
      <c r="F2111" s="34">
        <v>44209</v>
      </c>
      <c r="H2111" s="28" t="s">
        <v>23</v>
      </c>
      <c r="K2111" t="s">
        <v>381</v>
      </c>
      <c r="L2111">
        <v>50</v>
      </c>
      <c r="M2111" s="52">
        <v>43.704269830308576</v>
      </c>
    </row>
    <row r="2112" spans="1:13" x14ac:dyDescent="0.35">
      <c r="A2112" s="14" t="s">
        <v>391</v>
      </c>
      <c r="B2112" s="14" t="s">
        <v>377</v>
      </c>
      <c r="C2112" t="s">
        <v>395</v>
      </c>
      <c r="D2112" s="18">
        <v>44208</v>
      </c>
      <c r="E2112" s="34">
        <v>44207</v>
      </c>
      <c r="F2112" s="34">
        <v>44209</v>
      </c>
      <c r="H2112" s="28" t="s">
        <v>23</v>
      </c>
      <c r="K2112" t="s">
        <v>380</v>
      </c>
      <c r="L2112">
        <v>10</v>
      </c>
      <c r="M2112" s="52">
        <v>43.704269830308576</v>
      </c>
    </row>
    <row r="2113" spans="1:13" x14ac:dyDescent="0.35">
      <c r="A2113" s="14" t="s">
        <v>391</v>
      </c>
      <c r="B2113" s="14" t="s">
        <v>377</v>
      </c>
      <c r="C2113" t="s">
        <v>395</v>
      </c>
      <c r="D2113" s="18">
        <v>44208</v>
      </c>
      <c r="E2113" s="34">
        <v>44207</v>
      </c>
      <c r="F2113" s="34">
        <v>44209</v>
      </c>
      <c r="H2113" s="28" t="s">
        <v>24</v>
      </c>
      <c r="K2113" t="s">
        <v>381</v>
      </c>
      <c r="L2113">
        <v>50</v>
      </c>
      <c r="M2113" s="52">
        <v>43.704269830308576</v>
      </c>
    </row>
    <row r="2114" spans="1:13" x14ac:dyDescent="0.35">
      <c r="A2114" s="14" t="s">
        <v>391</v>
      </c>
      <c r="B2114" s="14" t="s">
        <v>377</v>
      </c>
      <c r="C2114" t="s">
        <v>395</v>
      </c>
      <c r="D2114" s="18">
        <v>44208</v>
      </c>
      <c r="E2114" s="34">
        <v>44207</v>
      </c>
      <c r="F2114" s="34">
        <v>44209</v>
      </c>
      <c r="H2114" s="28" t="s">
        <v>24</v>
      </c>
      <c r="K2114" t="s">
        <v>380</v>
      </c>
      <c r="L2114">
        <v>10</v>
      </c>
      <c r="M2114" s="52">
        <v>43.704269830308576</v>
      </c>
    </row>
    <row r="2115" spans="1:13" x14ac:dyDescent="0.35">
      <c r="A2115" s="14" t="s">
        <v>391</v>
      </c>
      <c r="B2115" s="14" t="s">
        <v>377</v>
      </c>
      <c r="C2115" t="s">
        <v>395</v>
      </c>
      <c r="D2115" s="18">
        <v>44208</v>
      </c>
      <c r="E2115" s="34">
        <v>44207</v>
      </c>
      <c r="F2115" s="34">
        <v>44209</v>
      </c>
      <c r="H2115" s="28" t="s">
        <v>27</v>
      </c>
      <c r="K2115" t="s">
        <v>381</v>
      </c>
      <c r="L2115">
        <v>50</v>
      </c>
      <c r="M2115" s="52">
        <v>43.704269830308576</v>
      </c>
    </row>
    <row r="2116" spans="1:13" x14ac:dyDescent="0.35">
      <c r="A2116" s="14" t="s">
        <v>391</v>
      </c>
      <c r="B2116" s="14" t="s">
        <v>377</v>
      </c>
      <c r="C2116" t="s">
        <v>395</v>
      </c>
      <c r="D2116" s="18">
        <v>44208</v>
      </c>
      <c r="E2116" s="34">
        <v>44207</v>
      </c>
      <c r="F2116" s="34">
        <v>44209</v>
      </c>
      <c r="H2116" s="28" t="s">
        <v>27</v>
      </c>
      <c r="K2116" t="s">
        <v>380</v>
      </c>
      <c r="L2116">
        <v>25</v>
      </c>
      <c r="M2116" s="52">
        <v>43.704269830308576</v>
      </c>
    </row>
    <row r="2117" spans="1:13" x14ac:dyDescent="0.35">
      <c r="A2117" s="14" t="s">
        <v>391</v>
      </c>
      <c r="B2117" s="14" t="s">
        <v>377</v>
      </c>
      <c r="C2117" t="s">
        <v>395</v>
      </c>
      <c r="D2117" s="18">
        <v>44208</v>
      </c>
      <c r="E2117" s="34">
        <v>44207</v>
      </c>
      <c r="F2117" s="34">
        <v>44209</v>
      </c>
      <c r="H2117" s="28" t="s">
        <v>28</v>
      </c>
      <c r="K2117" t="s">
        <v>381</v>
      </c>
      <c r="L2117">
        <v>50</v>
      </c>
      <c r="M2117" s="52">
        <v>43.704269830308576</v>
      </c>
    </row>
    <row r="2118" spans="1:13" x14ac:dyDescent="0.35">
      <c r="A2118" s="14" t="s">
        <v>391</v>
      </c>
      <c r="B2118" s="14" t="s">
        <v>377</v>
      </c>
      <c r="C2118" t="s">
        <v>395</v>
      </c>
      <c r="D2118" s="18">
        <v>44208</v>
      </c>
      <c r="E2118" s="34">
        <v>44207</v>
      </c>
      <c r="F2118" s="34">
        <v>44209</v>
      </c>
      <c r="H2118" s="28" t="s">
        <v>28</v>
      </c>
      <c r="K2118" t="s">
        <v>380</v>
      </c>
      <c r="L2118">
        <v>25</v>
      </c>
      <c r="M2118" s="52">
        <v>43.704269830308576</v>
      </c>
    </row>
    <row r="2119" spans="1:13" x14ac:dyDescent="0.35">
      <c r="A2119" s="14" t="s">
        <v>391</v>
      </c>
      <c r="B2119" s="14" t="s">
        <v>377</v>
      </c>
      <c r="C2119" t="s">
        <v>395</v>
      </c>
      <c r="D2119" s="18">
        <v>44208</v>
      </c>
      <c r="E2119" s="34">
        <v>44207</v>
      </c>
      <c r="F2119" s="34">
        <v>44209</v>
      </c>
      <c r="H2119" s="28" t="s">
        <v>176</v>
      </c>
      <c r="M2119" s="52">
        <v>43.704269830308576</v>
      </c>
    </row>
    <row r="2120" spans="1:13" x14ac:dyDescent="0.35">
      <c r="A2120" s="14" t="s">
        <v>391</v>
      </c>
      <c r="B2120" s="14" t="s">
        <v>377</v>
      </c>
      <c r="C2120" t="s">
        <v>395</v>
      </c>
      <c r="D2120" s="18">
        <v>44208</v>
      </c>
      <c r="E2120" s="34">
        <v>44207</v>
      </c>
      <c r="F2120" s="34">
        <v>44209</v>
      </c>
      <c r="H2120" s="28" t="s">
        <v>176</v>
      </c>
      <c r="M2120" s="52">
        <v>43.704269830308576</v>
      </c>
    </row>
    <row r="2121" spans="1:13" x14ac:dyDescent="0.35">
      <c r="A2121" s="14" t="s">
        <v>391</v>
      </c>
      <c r="B2121" s="14" t="s">
        <v>377</v>
      </c>
      <c r="C2121" t="s">
        <v>395</v>
      </c>
      <c r="D2121" s="18">
        <v>44208</v>
      </c>
      <c r="E2121" s="34">
        <v>44207</v>
      </c>
      <c r="F2121" s="34">
        <v>44209</v>
      </c>
      <c r="H2121" s="28" t="s">
        <v>29</v>
      </c>
      <c r="K2121" t="s">
        <v>381</v>
      </c>
      <c r="L2121">
        <v>50</v>
      </c>
      <c r="M2121" s="52">
        <v>43.704269830308576</v>
      </c>
    </row>
    <row r="2122" spans="1:13" x14ac:dyDescent="0.35">
      <c r="A2122" s="14" t="s">
        <v>391</v>
      </c>
      <c r="B2122" s="14" t="s">
        <v>377</v>
      </c>
      <c r="C2122" t="s">
        <v>395</v>
      </c>
      <c r="D2122" s="18">
        <v>44208</v>
      </c>
      <c r="E2122" s="34">
        <v>44207</v>
      </c>
      <c r="F2122" s="34">
        <v>44209</v>
      </c>
      <c r="H2122" s="28" t="s">
        <v>29</v>
      </c>
      <c r="M2122" s="52">
        <v>43.704269830308576</v>
      </c>
    </row>
    <row r="2123" spans="1:13" x14ac:dyDescent="0.35">
      <c r="A2123" s="14" t="s">
        <v>391</v>
      </c>
      <c r="B2123" s="14" t="s">
        <v>377</v>
      </c>
      <c r="C2123" t="s">
        <v>395</v>
      </c>
      <c r="D2123" s="18">
        <v>44208</v>
      </c>
      <c r="E2123" s="34">
        <v>44207</v>
      </c>
      <c r="F2123" s="34">
        <v>44209</v>
      </c>
      <c r="H2123" s="28" t="s">
        <v>198</v>
      </c>
      <c r="M2123" s="52">
        <v>43.704269830308576</v>
      </c>
    </row>
    <row r="2124" spans="1:13" x14ac:dyDescent="0.35">
      <c r="A2124" s="14" t="s">
        <v>391</v>
      </c>
      <c r="B2124" s="14" t="s">
        <v>377</v>
      </c>
      <c r="C2124" t="s">
        <v>395</v>
      </c>
      <c r="D2124" s="18">
        <v>44208</v>
      </c>
      <c r="E2124" s="34">
        <v>44207</v>
      </c>
      <c r="F2124" s="34">
        <v>44209</v>
      </c>
      <c r="H2124" s="28" t="s">
        <v>393</v>
      </c>
      <c r="M2124" s="52">
        <v>43.704269830308576</v>
      </c>
    </row>
    <row r="2125" spans="1:13" x14ac:dyDescent="0.35">
      <c r="A2125" s="14" t="s">
        <v>391</v>
      </c>
      <c r="B2125" s="14" t="s">
        <v>377</v>
      </c>
      <c r="C2125" t="s">
        <v>395</v>
      </c>
      <c r="D2125" s="18">
        <v>44208</v>
      </c>
      <c r="E2125" s="34">
        <v>44207</v>
      </c>
      <c r="F2125" s="34">
        <v>44209</v>
      </c>
      <c r="H2125" s="28" t="s">
        <v>204</v>
      </c>
      <c r="M2125" s="52">
        <v>43.704269830308576</v>
      </c>
    </row>
    <row r="2126" spans="1:13" x14ac:dyDescent="0.35">
      <c r="A2126" s="14" t="s">
        <v>391</v>
      </c>
      <c r="B2126" s="14" t="s">
        <v>377</v>
      </c>
      <c r="C2126" t="s">
        <v>395</v>
      </c>
      <c r="D2126" s="18">
        <v>44208</v>
      </c>
      <c r="E2126" s="34">
        <v>44207</v>
      </c>
      <c r="F2126" s="34">
        <v>44209</v>
      </c>
      <c r="H2126" s="28" t="s">
        <v>210</v>
      </c>
      <c r="M2126" s="52">
        <v>43.704269830308576</v>
      </c>
    </row>
    <row r="2127" spans="1:13" x14ac:dyDescent="0.35">
      <c r="A2127" s="14" t="s">
        <v>391</v>
      </c>
      <c r="B2127" s="14" t="s">
        <v>377</v>
      </c>
      <c r="C2127" t="s">
        <v>395</v>
      </c>
      <c r="D2127" s="18">
        <v>44208</v>
      </c>
      <c r="E2127" s="34">
        <v>44207</v>
      </c>
      <c r="F2127" s="34">
        <v>44209</v>
      </c>
      <c r="H2127" s="28" t="s">
        <v>223</v>
      </c>
      <c r="M2127" s="52">
        <v>43.704269830308576</v>
      </c>
    </row>
    <row r="2128" spans="1:13" x14ac:dyDescent="0.35">
      <c r="A2128" s="14" t="s">
        <v>391</v>
      </c>
      <c r="B2128" s="14" t="s">
        <v>377</v>
      </c>
      <c r="C2128" t="s">
        <v>395</v>
      </c>
      <c r="D2128" s="18">
        <v>44208</v>
      </c>
      <c r="E2128" s="34">
        <v>44207</v>
      </c>
      <c r="F2128" s="34">
        <v>44209</v>
      </c>
      <c r="H2128" s="28" t="s">
        <v>284</v>
      </c>
      <c r="M2128" s="52">
        <v>43.704269830308576</v>
      </c>
    </row>
    <row r="2129" spans="1:13" x14ac:dyDescent="0.35">
      <c r="A2129" s="14" t="s">
        <v>391</v>
      </c>
      <c r="B2129" s="14" t="s">
        <v>377</v>
      </c>
      <c r="C2129" t="s">
        <v>395</v>
      </c>
      <c r="D2129" s="18">
        <v>44208</v>
      </c>
      <c r="E2129" s="34">
        <v>44207</v>
      </c>
      <c r="F2129" s="34">
        <v>44209</v>
      </c>
      <c r="H2129" s="28" t="s">
        <v>284</v>
      </c>
      <c r="M2129" s="52">
        <v>43.704269830308576</v>
      </c>
    </row>
    <row r="2130" spans="1:13" x14ac:dyDescent="0.35">
      <c r="A2130" s="14" t="s">
        <v>391</v>
      </c>
      <c r="B2130" s="14" t="s">
        <v>377</v>
      </c>
      <c r="C2130" t="s">
        <v>395</v>
      </c>
      <c r="D2130" s="18">
        <v>44208</v>
      </c>
      <c r="E2130" s="34">
        <v>44207</v>
      </c>
      <c r="F2130" s="34">
        <v>44209</v>
      </c>
      <c r="H2130" s="28" t="s">
        <v>313</v>
      </c>
      <c r="K2130" t="s">
        <v>381</v>
      </c>
      <c r="L2130">
        <v>75</v>
      </c>
      <c r="M2130" s="52">
        <v>43.704269830308576</v>
      </c>
    </row>
    <row r="2131" spans="1:13" x14ac:dyDescent="0.35">
      <c r="A2131" s="14" t="s">
        <v>391</v>
      </c>
      <c r="B2131" s="14" t="s">
        <v>377</v>
      </c>
      <c r="C2131" t="s">
        <v>395</v>
      </c>
      <c r="D2131" s="18">
        <v>44208</v>
      </c>
      <c r="E2131" s="34">
        <v>44207</v>
      </c>
      <c r="F2131" s="34">
        <v>44209</v>
      </c>
      <c r="H2131" s="28" t="s">
        <v>315</v>
      </c>
      <c r="K2131" t="s">
        <v>381</v>
      </c>
      <c r="L2131">
        <v>50</v>
      </c>
      <c r="M2131" s="52">
        <v>43.704269830308576</v>
      </c>
    </row>
    <row r="2132" spans="1:13" x14ac:dyDescent="0.35">
      <c r="A2132" s="14" t="s">
        <v>391</v>
      </c>
      <c r="B2132" s="14" t="s">
        <v>377</v>
      </c>
      <c r="C2132" t="s">
        <v>395</v>
      </c>
      <c r="D2132" s="18">
        <v>44208</v>
      </c>
      <c r="E2132" s="34">
        <v>44207</v>
      </c>
      <c r="F2132" s="34">
        <v>44209</v>
      </c>
      <c r="H2132" s="28" t="s">
        <v>32</v>
      </c>
      <c r="K2132" t="s">
        <v>380</v>
      </c>
      <c r="L2132">
        <v>10</v>
      </c>
      <c r="M2132" s="52">
        <v>43.704269830308576</v>
      </c>
    </row>
    <row r="2133" spans="1:13" x14ac:dyDescent="0.35">
      <c r="A2133" s="14" t="s">
        <v>391</v>
      </c>
      <c r="B2133" s="14" t="s">
        <v>377</v>
      </c>
      <c r="C2133" t="s">
        <v>395</v>
      </c>
      <c r="D2133" s="18">
        <v>44208</v>
      </c>
      <c r="E2133" s="34">
        <v>44207</v>
      </c>
      <c r="F2133" s="34">
        <v>44209</v>
      </c>
      <c r="H2133" s="28" t="s">
        <v>335</v>
      </c>
      <c r="M2133" s="52">
        <v>43.704269830308576</v>
      </c>
    </row>
    <row r="2134" spans="1:13" x14ac:dyDescent="0.35">
      <c r="A2134" s="14" t="s">
        <v>391</v>
      </c>
      <c r="B2134" s="14" t="s">
        <v>377</v>
      </c>
      <c r="C2134" t="s">
        <v>392</v>
      </c>
      <c r="D2134" s="18">
        <v>44209</v>
      </c>
      <c r="E2134" s="34">
        <v>44207</v>
      </c>
      <c r="F2134" s="34">
        <v>44209</v>
      </c>
      <c r="H2134" s="28" t="s">
        <v>96</v>
      </c>
      <c r="M2134" s="52">
        <v>24.180823321493744</v>
      </c>
    </row>
    <row r="2135" spans="1:13" x14ac:dyDescent="0.35">
      <c r="A2135" s="14" t="s">
        <v>391</v>
      </c>
      <c r="B2135" s="14" t="s">
        <v>377</v>
      </c>
      <c r="C2135" t="s">
        <v>392</v>
      </c>
      <c r="D2135" s="18">
        <v>44209</v>
      </c>
      <c r="E2135" s="34">
        <v>44207</v>
      </c>
      <c r="F2135" s="34">
        <v>44209</v>
      </c>
      <c r="H2135" s="28" t="s">
        <v>72</v>
      </c>
      <c r="M2135" s="52">
        <v>24.180823321493744</v>
      </c>
    </row>
    <row r="2136" spans="1:13" x14ac:dyDescent="0.35">
      <c r="A2136" s="14" t="s">
        <v>391</v>
      </c>
      <c r="B2136" s="14" t="s">
        <v>377</v>
      </c>
      <c r="C2136" t="s">
        <v>392</v>
      </c>
      <c r="D2136" s="18">
        <v>44209</v>
      </c>
      <c r="E2136" s="34">
        <v>44207</v>
      </c>
      <c r="F2136" s="34">
        <v>44209</v>
      </c>
      <c r="H2136" s="28" t="s">
        <v>47</v>
      </c>
      <c r="K2136" t="s">
        <v>381</v>
      </c>
      <c r="L2136">
        <v>20</v>
      </c>
      <c r="M2136" s="52">
        <v>24.180823321493744</v>
      </c>
    </row>
    <row r="2137" spans="1:13" x14ac:dyDescent="0.35">
      <c r="A2137" s="14" t="s">
        <v>391</v>
      </c>
      <c r="B2137" s="14" t="s">
        <v>377</v>
      </c>
      <c r="C2137" t="s">
        <v>392</v>
      </c>
      <c r="D2137" s="18">
        <v>44209</v>
      </c>
      <c r="E2137" s="34">
        <v>44207</v>
      </c>
      <c r="F2137" s="34">
        <v>44209</v>
      </c>
      <c r="H2137" s="28" t="s">
        <v>50</v>
      </c>
      <c r="K2137" t="s">
        <v>381</v>
      </c>
      <c r="L2137">
        <v>50</v>
      </c>
      <c r="M2137" s="52">
        <v>24.180823321493744</v>
      </c>
    </row>
    <row r="2138" spans="1:13" x14ac:dyDescent="0.35">
      <c r="A2138" s="14" t="s">
        <v>391</v>
      </c>
      <c r="B2138" s="14" t="s">
        <v>377</v>
      </c>
      <c r="C2138" t="s">
        <v>392</v>
      </c>
      <c r="D2138" s="18">
        <v>44209</v>
      </c>
      <c r="E2138" s="34">
        <v>44207</v>
      </c>
      <c r="F2138" s="34">
        <v>44209</v>
      </c>
      <c r="H2138" s="28" t="s">
        <v>41</v>
      </c>
      <c r="K2138" t="s">
        <v>381</v>
      </c>
      <c r="L2138">
        <v>50</v>
      </c>
      <c r="M2138" s="52">
        <v>24.180823321493744</v>
      </c>
    </row>
    <row r="2139" spans="1:13" x14ac:dyDescent="0.35">
      <c r="A2139" s="14" t="s">
        <v>391</v>
      </c>
      <c r="B2139" s="14" t="s">
        <v>377</v>
      </c>
      <c r="C2139" t="s">
        <v>392</v>
      </c>
      <c r="D2139" s="18">
        <v>44209</v>
      </c>
      <c r="E2139" s="34">
        <v>44207</v>
      </c>
      <c r="F2139" s="34">
        <v>44209</v>
      </c>
      <c r="H2139" s="28" t="s">
        <v>116</v>
      </c>
      <c r="K2139" t="s">
        <v>381</v>
      </c>
      <c r="L2139">
        <v>25</v>
      </c>
      <c r="M2139" s="52">
        <v>24.180823321493744</v>
      </c>
    </row>
    <row r="2140" spans="1:13" x14ac:dyDescent="0.35">
      <c r="A2140" s="14" t="s">
        <v>391</v>
      </c>
      <c r="B2140" s="14" t="s">
        <v>377</v>
      </c>
      <c r="C2140" t="s">
        <v>392</v>
      </c>
      <c r="D2140" s="18">
        <v>44209</v>
      </c>
      <c r="E2140" s="34">
        <v>44207</v>
      </c>
      <c r="F2140" s="34">
        <v>44209</v>
      </c>
      <c r="H2140" s="28" t="s">
        <v>42</v>
      </c>
      <c r="K2140" t="s">
        <v>380</v>
      </c>
      <c r="L2140">
        <v>6</v>
      </c>
      <c r="M2140" s="52">
        <v>24.180823321493744</v>
      </c>
    </row>
    <row r="2141" spans="1:13" x14ac:dyDescent="0.35">
      <c r="A2141" s="14" t="s">
        <v>391</v>
      </c>
      <c r="B2141" s="14" t="s">
        <v>377</v>
      </c>
      <c r="C2141" t="s">
        <v>392</v>
      </c>
      <c r="D2141" s="18">
        <v>44209</v>
      </c>
      <c r="E2141" s="34">
        <v>44207</v>
      </c>
      <c r="F2141" s="34">
        <v>44209</v>
      </c>
      <c r="H2141" s="28" t="s">
        <v>25</v>
      </c>
      <c r="K2141" t="s">
        <v>381</v>
      </c>
      <c r="L2141">
        <v>40</v>
      </c>
      <c r="M2141" s="52">
        <v>24.180823321493744</v>
      </c>
    </row>
    <row r="2142" spans="1:13" x14ac:dyDescent="0.35">
      <c r="A2142" s="14" t="s">
        <v>391</v>
      </c>
      <c r="B2142" s="14" t="s">
        <v>377</v>
      </c>
      <c r="C2142" t="s">
        <v>392</v>
      </c>
      <c r="D2142" s="18">
        <v>44209</v>
      </c>
      <c r="E2142" s="34">
        <v>44207</v>
      </c>
      <c r="F2142" s="34">
        <v>44209</v>
      </c>
      <c r="H2142" s="28" t="s">
        <v>23</v>
      </c>
      <c r="K2142" t="s">
        <v>380</v>
      </c>
      <c r="L2142">
        <v>6</v>
      </c>
      <c r="M2142" s="52">
        <v>24.180823321493744</v>
      </c>
    </row>
    <row r="2143" spans="1:13" x14ac:dyDescent="0.35">
      <c r="A2143" s="14" t="s">
        <v>391</v>
      </c>
      <c r="B2143" s="14" t="s">
        <v>377</v>
      </c>
      <c r="C2143" t="s">
        <v>392</v>
      </c>
      <c r="D2143" s="18">
        <v>44209</v>
      </c>
      <c r="E2143" s="34">
        <v>44207</v>
      </c>
      <c r="F2143" s="34">
        <v>44209</v>
      </c>
      <c r="H2143" s="28" t="s">
        <v>24</v>
      </c>
      <c r="K2143" t="s">
        <v>380</v>
      </c>
      <c r="L2143">
        <v>6</v>
      </c>
      <c r="M2143" s="52">
        <v>24.180823321493744</v>
      </c>
    </row>
    <row r="2144" spans="1:13" x14ac:dyDescent="0.35">
      <c r="A2144" s="14" t="s">
        <v>391</v>
      </c>
      <c r="B2144" s="14" t="s">
        <v>377</v>
      </c>
      <c r="C2144" t="s">
        <v>392</v>
      </c>
      <c r="D2144" s="18">
        <v>44209</v>
      </c>
      <c r="E2144" s="34">
        <v>44207</v>
      </c>
      <c r="F2144" s="34">
        <v>44209</v>
      </c>
      <c r="H2144" s="28" t="s">
        <v>30</v>
      </c>
      <c r="K2144" t="s">
        <v>381</v>
      </c>
      <c r="L2144">
        <v>33</v>
      </c>
      <c r="M2144" s="52">
        <v>24.180823321493744</v>
      </c>
    </row>
    <row r="2145" spans="1:13" x14ac:dyDescent="0.35">
      <c r="A2145" s="14" t="s">
        <v>391</v>
      </c>
      <c r="B2145" s="14" t="s">
        <v>377</v>
      </c>
      <c r="C2145" t="s">
        <v>392</v>
      </c>
      <c r="D2145" s="18">
        <v>44209</v>
      </c>
      <c r="E2145" s="34">
        <v>44207</v>
      </c>
      <c r="F2145" s="34">
        <v>44209</v>
      </c>
      <c r="H2145" s="28" t="s">
        <v>29</v>
      </c>
      <c r="K2145" t="s">
        <v>381</v>
      </c>
      <c r="L2145">
        <v>33</v>
      </c>
      <c r="M2145" s="52">
        <v>24.180823321493744</v>
      </c>
    </row>
    <row r="2146" spans="1:13" x14ac:dyDescent="0.35">
      <c r="A2146" s="14" t="s">
        <v>391</v>
      </c>
      <c r="B2146" s="14" t="s">
        <v>377</v>
      </c>
      <c r="C2146" t="s">
        <v>392</v>
      </c>
      <c r="D2146" s="18">
        <v>44209</v>
      </c>
      <c r="E2146" s="34">
        <v>44207</v>
      </c>
      <c r="F2146" s="34">
        <v>44209</v>
      </c>
      <c r="H2146" s="28" t="s">
        <v>188</v>
      </c>
      <c r="M2146" s="52">
        <v>24.180823321493744</v>
      </c>
    </row>
    <row r="2147" spans="1:13" x14ac:dyDescent="0.35">
      <c r="A2147" s="14" t="s">
        <v>391</v>
      </c>
      <c r="B2147" s="14" t="s">
        <v>377</v>
      </c>
      <c r="C2147" t="s">
        <v>392</v>
      </c>
      <c r="D2147" s="18">
        <v>44209</v>
      </c>
      <c r="E2147" s="34">
        <v>44207</v>
      </c>
      <c r="F2147" s="34">
        <v>44209</v>
      </c>
      <c r="H2147" s="28" t="s">
        <v>192</v>
      </c>
      <c r="M2147" s="52">
        <v>24.180823321493744</v>
      </c>
    </row>
    <row r="2148" spans="1:13" x14ac:dyDescent="0.35">
      <c r="A2148" s="14" t="s">
        <v>391</v>
      </c>
      <c r="B2148" s="14" t="s">
        <v>377</v>
      </c>
      <c r="C2148" t="s">
        <v>392</v>
      </c>
      <c r="D2148" s="18">
        <v>44209</v>
      </c>
      <c r="E2148" s="34">
        <v>44207</v>
      </c>
      <c r="F2148" s="34">
        <v>44209</v>
      </c>
      <c r="H2148" s="28" t="s">
        <v>198</v>
      </c>
      <c r="M2148" s="52">
        <v>24.180823321493744</v>
      </c>
    </row>
    <row r="2149" spans="1:13" x14ac:dyDescent="0.35">
      <c r="A2149" s="14" t="s">
        <v>391</v>
      </c>
      <c r="B2149" s="14" t="s">
        <v>377</v>
      </c>
      <c r="C2149" t="s">
        <v>392</v>
      </c>
      <c r="D2149" s="18">
        <v>44209</v>
      </c>
      <c r="E2149" s="34">
        <v>44207</v>
      </c>
      <c r="F2149" s="34">
        <v>44209</v>
      </c>
      <c r="H2149" s="28" t="s">
        <v>393</v>
      </c>
      <c r="M2149" s="52">
        <v>24.180823321493744</v>
      </c>
    </row>
    <row r="2150" spans="1:13" x14ac:dyDescent="0.35">
      <c r="A2150" s="14" t="s">
        <v>391</v>
      </c>
      <c r="B2150" s="14" t="s">
        <v>377</v>
      </c>
      <c r="C2150" t="s">
        <v>392</v>
      </c>
      <c r="D2150" s="18">
        <v>44209</v>
      </c>
      <c r="E2150" s="34">
        <v>44207</v>
      </c>
      <c r="F2150" s="34">
        <v>44209</v>
      </c>
      <c r="H2150" s="28" t="s">
        <v>204</v>
      </c>
      <c r="M2150" s="52">
        <v>24.180823321493744</v>
      </c>
    </row>
    <row r="2151" spans="1:13" x14ac:dyDescent="0.35">
      <c r="A2151" s="14" t="s">
        <v>391</v>
      </c>
      <c r="B2151" s="14" t="s">
        <v>377</v>
      </c>
      <c r="C2151" t="s">
        <v>392</v>
      </c>
      <c r="D2151" s="18">
        <v>44209</v>
      </c>
      <c r="E2151" s="34">
        <v>44207</v>
      </c>
      <c r="F2151" s="34">
        <v>44209</v>
      </c>
      <c r="H2151" s="28" t="s">
        <v>208</v>
      </c>
      <c r="M2151" s="52">
        <v>24.180823321493744</v>
      </c>
    </row>
    <row r="2152" spans="1:13" x14ac:dyDescent="0.35">
      <c r="A2152" s="14" t="s">
        <v>391</v>
      </c>
      <c r="B2152" s="14" t="s">
        <v>377</v>
      </c>
      <c r="C2152" t="s">
        <v>392</v>
      </c>
      <c r="D2152" s="18">
        <v>44209</v>
      </c>
      <c r="E2152" s="34">
        <v>44207</v>
      </c>
      <c r="F2152" s="34">
        <v>44209</v>
      </c>
      <c r="H2152" s="28" t="s">
        <v>210</v>
      </c>
      <c r="M2152" s="52">
        <v>24.180823321493744</v>
      </c>
    </row>
    <row r="2153" spans="1:13" x14ac:dyDescent="0.35">
      <c r="A2153" s="14" t="s">
        <v>391</v>
      </c>
      <c r="B2153" s="14" t="s">
        <v>377</v>
      </c>
      <c r="C2153" t="s">
        <v>392</v>
      </c>
      <c r="D2153" s="18">
        <v>44209</v>
      </c>
      <c r="E2153" s="34">
        <v>44207</v>
      </c>
      <c r="F2153" s="34">
        <v>44209</v>
      </c>
      <c r="H2153" s="28" t="s">
        <v>31</v>
      </c>
      <c r="K2153" t="s">
        <v>381</v>
      </c>
      <c r="L2153">
        <v>30</v>
      </c>
      <c r="M2153" s="52">
        <v>24.180823321493744</v>
      </c>
    </row>
    <row r="2154" spans="1:13" x14ac:dyDescent="0.35">
      <c r="A2154" s="14" t="s">
        <v>391</v>
      </c>
      <c r="B2154" s="14" t="s">
        <v>377</v>
      </c>
      <c r="C2154" t="s">
        <v>392</v>
      </c>
      <c r="D2154" s="18">
        <v>44209</v>
      </c>
      <c r="E2154" s="34">
        <v>44207</v>
      </c>
      <c r="F2154" s="34">
        <v>44209</v>
      </c>
      <c r="H2154" s="28" t="s">
        <v>56</v>
      </c>
      <c r="K2154" t="s">
        <v>381</v>
      </c>
      <c r="L2154">
        <v>50</v>
      </c>
      <c r="M2154" s="52">
        <v>24.180823321493744</v>
      </c>
    </row>
    <row r="2155" spans="1:13" x14ac:dyDescent="0.35">
      <c r="A2155" s="14" t="s">
        <v>391</v>
      </c>
      <c r="B2155" s="14" t="s">
        <v>377</v>
      </c>
      <c r="C2155" t="s">
        <v>392</v>
      </c>
      <c r="D2155" s="18">
        <v>44209</v>
      </c>
      <c r="E2155" s="34">
        <v>44207</v>
      </c>
      <c r="F2155" s="34">
        <v>44209</v>
      </c>
      <c r="H2155" s="28" t="s">
        <v>263</v>
      </c>
      <c r="M2155" s="52">
        <v>24.180823321493744</v>
      </c>
    </row>
    <row r="2156" spans="1:13" x14ac:dyDescent="0.35">
      <c r="A2156" s="14" t="s">
        <v>391</v>
      </c>
      <c r="B2156" s="14" t="s">
        <v>377</v>
      </c>
      <c r="C2156" t="s">
        <v>392</v>
      </c>
      <c r="D2156" s="18">
        <v>44209</v>
      </c>
      <c r="E2156" s="34">
        <v>44207</v>
      </c>
      <c r="F2156" s="34">
        <v>44209</v>
      </c>
      <c r="H2156" s="28" t="s">
        <v>287</v>
      </c>
      <c r="M2156" s="52">
        <v>24.180823321493744</v>
      </c>
    </row>
    <row r="2157" spans="1:13" x14ac:dyDescent="0.35">
      <c r="A2157" s="14" t="s">
        <v>391</v>
      </c>
      <c r="B2157" s="14" t="s">
        <v>377</v>
      </c>
      <c r="C2157" t="s">
        <v>392</v>
      </c>
      <c r="D2157" s="18">
        <v>44209</v>
      </c>
      <c r="E2157" s="34">
        <v>44207</v>
      </c>
      <c r="F2157" s="34">
        <v>44209</v>
      </c>
      <c r="H2157" s="28" t="s">
        <v>307</v>
      </c>
      <c r="M2157" s="52">
        <v>24.180823321493744</v>
      </c>
    </row>
    <row r="2158" spans="1:13" x14ac:dyDescent="0.35">
      <c r="A2158" s="14" t="s">
        <v>391</v>
      </c>
      <c r="B2158" s="14" t="s">
        <v>377</v>
      </c>
      <c r="C2158" t="s">
        <v>392</v>
      </c>
      <c r="D2158" s="18">
        <v>44209</v>
      </c>
      <c r="E2158" s="34">
        <v>44207</v>
      </c>
      <c r="F2158" s="34">
        <v>44209</v>
      </c>
      <c r="H2158" s="28" t="s">
        <v>311</v>
      </c>
      <c r="M2158" s="52">
        <v>24.180823321493744</v>
      </c>
    </row>
    <row r="2159" spans="1:13" x14ac:dyDescent="0.35">
      <c r="A2159" s="14" t="s">
        <v>391</v>
      </c>
      <c r="B2159" s="14" t="s">
        <v>377</v>
      </c>
      <c r="C2159" t="s">
        <v>392</v>
      </c>
      <c r="D2159" s="18">
        <v>44209</v>
      </c>
      <c r="E2159" s="34">
        <v>44207</v>
      </c>
      <c r="F2159" s="34">
        <v>44209</v>
      </c>
      <c r="H2159" s="28" t="s">
        <v>313</v>
      </c>
      <c r="K2159" t="s">
        <v>381</v>
      </c>
      <c r="L2159">
        <v>50</v>
      </c>
      <c r="M2159" s="52">
        <v>24.180823321493744</v>
      </c>
    </row>
    <row r="2160" spans="1:13" x14ac:dyDescent="0.35">
      <c r="A2160" s="14" t="s">
        <v>391</v>
      </c>
      <c r="B2160" s="14" t="s">
        <v>377</v>
      </c>
      <c r="C2160" t="s">
        <v>392</v>
      </c>
      <c r="D2160" s="18">
        <v>44209</v>
      </c>
      <c r="E2160" s="34">
        <v>44207</v>
      </c>
      <c r="F2160" s="34">
        <v>44209</v>
      </c>
      <c r="H2160" s="28" t="s">
        <v>327</v>
      </c>
      <c r="K2160" t="s">
        <v>380</v>
      </c>
      <c r="L2160">
        <v>6</v>
      </c>
      <c r="M2160" s="52">
        <v>24.180823321493744</v>
      </c>
    </row>
    <row r="2161" spans="1:13" x14ac:dyDescent="0.35">
      <c r="A2161" s="14" t="s">
        <v>391</v>
      </c>
      <c r="B2161" s="14" t="s">
        <v>377</v>
      </c>
      <c r="C2161" t="s">
        <v>392</v>
      </c>
      <c r="D2161" s="18">
        <v>44209</v>
      </c>
      <c r="E2161" s="34">
        <v>44207</v>
      </c>
      <c r="F2161" s="34">
        <v>44209</v>
      </c>
      <c r="H2161" s="28" t="s">
        <v>335</v>
      </c>
      <c r="M2161" s="52">
        <v>24.180823321493744</v>
      </c>
    </row>
    <row r="2162" spans="1:13" x14ac:dyDescent="0.35">
      <c r="A2162" s="14" t="s">
        <v>391</v>
      </c>
      <c r="B2162" s="14" t="s">
        <v>377</v>
      </c>
      <c r="C2162" t="s">
        <v>392</v>
      </c>
      <c r="D2162" s="18">
        <v>44209</v>
      </c>
      <c r="E2162" s="34">
        <v>44207</v>
      </c>
      <c r="F2162" s="34">
        <v>44209</v>
      </c>
      <c r="H2162" s="28" t="s">
        <v>339</v>
      </c>
      <c r="M2162" s="52">
        <v>24.180823321493744</v>
      </c>
    </row>
    <row r="2163" spans="1:13" x14ac:dyDescent="0.35">
      <c r="A2163" s="14" t="s">
        <v>391</v>
      </c>
      <c r="B2163" s="14" t="s">
        <v>377</v>
      </c>
      <c r="C2163" t="s">
        <v>392</v>
      </c>
      <c r="D2163" s="18">
        <v>44209</v>
      </c>
      <c r="E2163" s="34">
        <v>44207</v>
      </c>
      <c r="F2163" s="34">
        <v>44209</v>
      </c>
      <c r="H2163" s="28" t="s">
        <v>345</v>
      </c>
      <c r="K2163" t="s">
        <v>381</v>
      </c>
      <c r="L2163">
        <v>50</v>
      </c>
      <c r="M2163" s="52">
        <v>24.180823321493744</v>
      </c>
    </row>
    <row r="2164" spans="1:13" x14ac:dyDescent="0.35">
      <c r="A2164" s="14" t="s">
        <v>391</v>
      </c>
      <c r="B2164" s="14" t="s">
        <v>377</v>
      </c>
      <c r="C2164" t="s">
        <v>392</v>
      </c>
      <c r="D2164" s="18">
        <v>44209</v>
      </c>
      <c r="E2164" s="34">
        <v>44207</v>
      </c>
      <c r="F2164" s="34">
        <v>44209</v>
      </c>
      <c r="H2164" s="28" t="s">
        <v>59</v>
      </c>
      <c r="M2164" s="52">
        <v>24.180823321493744</v>
      </c>
    </row>
    <row r="2165" spans="1:13" x14ac:dyDescent="0.35">
      <c r="A2165" s="14" t="s">
        <v>391</v>
      </c>
      <c r="B2165" s="14" t="s">
        <v>377</v>
      </c>
      <c r="C2165" t="s">
        <v>397</v>
      </c>
      <c r="D2165" s="18">
        <v>44210</v>
      </c>
      <c r="E2165" s="34">
        <v>44208</v>
      </c>
      <c r="F2165" s="18">
        <v>44209</v>
      </c>
      <c r="H2165" s="28" t="s">
        <v>68</v>
      </c>
      <c r="M2165" s="52">
        <v>50.578365906208454</v>
      </c>
    </row>
    <row r="2166" spans="1:13" x14ac:dyDescent="0.35">
      <c r="A2166" s="14" t="s">
        <v>391</v>
      </c>
      <c r="B2166" s="14" t="s">
        <v>377</v>
      </c>
      <c r="C2166" t="s">
        <v>397</v>
      </c>
      <c r="D2166" s="18">
        <v>44210</v>
      </c>
      <c r="E2166" s="34">
        <v>44208</v>
      </c>
      <c r="F2166" s="18">
        <v>44209</v>
      </c>
      <c r="H2166" s="28" t="s">
        <v>72</v>
      </c>
      <c r="M2166" s="52">
        <v>50.578365906208454</v>
      </c>
    </row>
    <row r="2167" spans="1:13" x14ac:dyDescent="0.35">
      <c r="A2167" s="14" t="s">
        <v>391</v>
      </c>
      <c r="B2167" s="14" t="s">
        <v>377</v>
      </c>
      <c r="C2167" t="s">
        <v>397</v>
      </c>
      <c r="D2167" s="18">
        <v>44210</v>
      </c>
      <c r="E2167" s="34">
        <v>44208</v>
      </c>
      <c r="F2167" s="18">
        <v>44209</v>
      </c>
      <c r="H2167" s="28" t="s">
        <v>41</v>
      </c>
      <c r="K2167" t="s">
        <v>381</v>
      </c>
      <c r="L2167">
        <v>50</v>
      </c>
      <c r="M2167" s="52">
        <v>50.578365906208454</v>
      </c>
    </row>
    <row r="2168" spans="1:13" x14ac:dyDescent="0.35">
      <c r="A2168" s="14" t="s">
        <v>391</v>
      </c>
      <c r="B2168" s="14" t="s">
        <v>377</v>
      </c>
      <c r="C2168" t="s">
        <v>397</v>
      </c>
      <c r="D2168" s="18">
        <v>44210</v>
      </c>
      <c r="E2168" s="34">
        <v>44208</v>
      </c>
      <c r="F2168" s="18">
        <v>44209</v>
      </c>
      <c r="H2168" s="28" t="s">
        <v>39</v>
      </c>
      <c r="K2168" t="s">
        <v>381</v>
      </c>
      <c r="L2168">
        <v>25</v>
      </c>
      <c r="M2168" s="52">
        <v>50.578365906208454</v>
      </c>
    </row>
    <row r="2169" spans="1:13" x14ac:dyDescent="0.35">
      <c r="A2169" s="14" t="s">
        <v>391</v>
      </c>
      <c r="B2169" s="14" t="s">
        <v>377</v>
      </c>
      <c r="C2169" t="s">
        <v>397</v>
      </c>
      <c r="D2169" s="18">
        <v>44210</v>
      </c>
      <c r="E2169" s="34">
        <v>44208</v>
      </c>
      <c r="F2169" s="18">
        <v>44209</v>
      </c>
      <c r="H2169" s="28" t="s">
        <v>123</v>
      </c>
      <c r="M2169" s="52">
        <v>50.578365906208454</v>
      </c>
    </row>
    <row r="2170" spans="1:13" x14ac:dyDescent="0.35">
      <c r="A2170" s="14" t="s">
        <v>391</v>
      </c>
      <c r="B2170" s="14" t="s">
        <v>377</v>
      </c>
      <c r="C2170" t="s">
        <v>397</v>
      </c>
      <c r="D2170" s="18">
        <v>44210</v>
      </c>
      <c r="E2170" s="34">
        <v>44208</v>
      </c>
      <c r="F2170" s="18">
        <v>44209</v>
      </c>
      <c r="H2170" s="28" t="s">
        <v>150</v>
      </c>
      <c r="M2170" s="52">
        <v>50.578365906208454</v>
      </c>
    </row>
    <row r="2171" spans="1:13" x14ac:dyDescent="0.35">
      <c r="A2171" s="14" t="s">
        <v>391</v>
      </c>
      <c r="B2171" s="14" t="s">
        <v>377</v>
      </c>
      <c r="C2171" t="s">
        <v>397</v>
      </c>
      <c r="D2171" s="18">
        <v>44210</v>
      </c>
      <c r="E2171" s="34">
        <v>44208</v>
      </c>
      <c r="F2171" s="18">
        <v>44209</v>
      </c>
      <c r="H2171" s="28" t="s">
        <v>127</v>
      </c>
      <c r="M2171" s="52">
        <v>50.578365906208454</v>
      </c>
    </row>
    <row r="2172" spans="1:13" x14ac:dyDescent="0.35">
      <c r="A2172" s="14" t="s">
        <v>391</v>
      </c>
      <c r="B2172" s="14" t="s">
        <v>377</v>
      </c>
      <c r="C2172" t="s">
        <v>397</v>
      </c>
      <c r="D2172" s="18">
        <v>44210</v>
      </c>
      <c r="E2172" s="34">
        <v>44208</v>
      </c>
      <c r="F2172" s="18">
        <v>44209</v>
      </c>
      <c r="H2172" s="28" t="s">
        <v>25</v>
      </c>
      <c r="K2172" t="s">
        <v>381</v>
      </c>
      <c r="L2172">
        <v>20</v>
      </c>
      <c r="M2172" s="52">
        <v>50.578365906208454</v>
      </c>
    </row>
    <row r="2173" spans="1:13" x14ac:dyDescent="0.35">
      <c r="A2173" s="14" t="s">
        <v>391</v>
      </c>
      <c r="B2173" s="14" t="s">
        <v>377</v>
      </c>
      <c r="C2173" t="s">
        <v>397</v>
      </c>
      <c r="D2173" s="18">
        <v>44210</v>
      </c>
      <c r="E2173" s="34">
        <v>44208</v>
      </c>
      <c r="F2173" s="18">
        <v>44209</v>
      </c>
      <c r="H2173" s="28" t="s">
        <v>23</v>
      </c>
      <c r="K2173" t="s">
        <v>380</v>
      </c>
      <c r="L2173">
        <v>10</v>
      </c>
      <c r="M2173" s="52">
        <v>50.578365906208454</v>
      </c>
    </row>
    <row r="2174" spans="1:13" x14ac:dyDescent="0.35">
      <c r="A2174" s="14" t="s">
        <v>391</v>
      </c>
      <c r="B2174" s="14" t="s">
        <v>377</v>
      </c>
      <c r="C2174" t="s">
        <v>397</v>
      </c>
      <c r="D2174" s="18">
        <v>44210</v>
      </c>
      <c r="E2174" s="34">
        <v>44208</v>
      </c>
      <c r="F2174" s="18">
        <v>44209</v>
      </c>
      <c r="H2174" s="28" t="s">
        <v>24</v>
      </c>
      <c r="K2174" t="s">
        <v>380</v>
      </c>
      <c r="L2174">
        <v>15</v>
      </c>
      <c r="M2174" s="52">
        <v>50.578365906208454</v>
      </c>
    </row>
    <row r="2175" spans="1:13" x14ac:dyDescent="0.35">
      <c r="A2175" s="14" t="s">
        <v>391</v>
      </c>
      <c r="B2175" s="14" t="s">
        <v>377</v>
      </c>
      <c r="C2175" t="s">
        <v>397</v>
      </c>
      <c r="D2175" s="18">
        <v>44210</v>
      </c>
      <c r="E2175" s="34">
        <v>44208</v>
      </c>
      <c r="F2175" s="18">
        <v>44209</v>
      </c>
      <c r="H2175" s="28" t="s">
        <v>27</v>
      </c>
      <c r="K2175" t="s">
        <v>380</v>
      </c>
      <c r="L2175">
        <v>10</v>
      </c>
      <c r="M2175" s="52">
        <v>50.578365906208454</v>
      </c>
    </row>
    <row r="2176" spans="1:13" x14ac:dyDescent="0.35">
      <c r="A2176" s="14" t="s">
        <v>391</v>
      </c>
      <c r="B2176" s="14" t="s">
        <v>377</v>
      </c>
      <c r="C2176" t="s">
        <v>397</v>
      </c>
      <c r="D2176" s="18">
        <v>44210</v>
      </c>
      <c r="E2176" s="34">
        <v>44208</v>
      </c>
      <c r="F2176" s="18">
        <v>44209</v>
      </c>
      <c r="H2176" s="28" t="s">
        <v>28</v>
      </c>
      <c r="K2176" t="s">
        <v>380</v>
      </c>
      <c r="L2176">
        <v>15</v>
      </c>
      <c r="M2176" s="52">
        <v>50.578365906208454</v>
      </c>
    </row>
    <row r="2177" spans="1:13" x14ac:dyDescent="0.35">
      <c r="A2177" s="14" t="s">
        <v>391</v>
      </c>
      <c r="B2177" s="14" t="s">
        <v>377</v>
      </c>
      <c r="C2177" t="s">
        <v>397</v>
      </c>
      <c r="D2177" s="18">
        <v>44210</v>
      </c>
      <c r="E2177" s="34">
        <v>44208</v>
      </c>
      <c r="F2177" s="18">
        <v>44209</v>
      </c>
      <c r="H2177" s="28" t="s">
        <v>30</v>
      </c>
      <c r="M2177" s="52">
        <v>50.578365906208454</v>
      </c>
    </row>
    <row r="2178" spans="1:13" x14ac:dyDescent="0.35">
      <c r="A2178" s="14" t="s">
        <v>391</v>
      </c>
      <c r="B2178" s="14" t="s">
        <v>377</v>
      </c>
      <c r="C2178" t="s">
        <v>397</v>
      </c>
      <c r="D2178" s="18">
        <v>44210</v>
      </c>
      <c r="E2178" s="34">
        <v>44208</v>
      </c>
      <c r="F2178" s="18">
        <v>44209</v>
      </c>
      <c r="H2178" s="28" t="s">
        <v>29</v>
      </c>
      <c r="K2178" t="s">
        <v>381</v>
      </c>
      <c r="L2178">
        <v>33</v>
      </c>
      <c r="M2178" s="52">
        <v>50.578365906208454</v>
      </c>
    </row>
    <row r="2179" spans="1:13" x14ac:dyDescent="0.35">
      <c r="A2179" s="14" t="s">
        <v>391</v>
      </c>
      <c r="B2179" s="14" t="s">
        <v>377</v>
      </c>
      <c r="C2179" t="s">
        <v>397</v>
      </c>
      <c r="D2179" s="18">
        <v>44210</v>
      </c>
      <c r="E2179" s="34">
        <v>44208</v>
      </c>
      <c r="F2179" s="18">
        <v>44209</v>
      </c>
      <c r="H2179" s="28" t="s">
        <v>190</v>
      </c>
      <c r="M2179" s="52">
        <v>50.578365906208454</v>
      </c>
    </row>
    <row r="2180" spans="1:13" x14ac:dyDescent="0.35">
      <c r="A2180" s="14" t="s">
        <v>391</v>
      </c>
      <c r="B2180" s="14" t="s">
        <v>377</v>
      </c>
      <c r="C2180" t="s">
        <v>397</v>
      </c>
      <c r="D2180" s="18">
        <v>44210</v>
      </c>
      <c r="E2180" s="34">
        <v>44208</v>
      </c>
      <c r="F2180" s="18">
        <v>44209</v>
      </c>
      <c r="H2180" s="28" t="s">
        <v>198</v>
      </c>
      <c r="M2180" s="52">
        <v>50.578365906208454</v>
      </c>
    </row>
    <row r="2181" spans="1:13" x14ac:dyDescent="0.35">
      <c r="A2181" s="14" t="s">
        <v>391</v>
      </c>
      <c r="B2181" s="14" t="s">
        <v>377</v>
      </c>
      <c r="C2181" t="s">
        <v>397</v>
      </c>
      <c r="D2181" s="18">
        <v>44210</v>
      </c>
      <c r="E2181" s="34">
        <v>44208</v>
      </c>
      <c r="F2181" s="18">
        <v>44209</v>
      </c>
      <c r="H2181" s="28" t="s">
        <v>393</v>
      </c>
      <c r="M2181" s="52">
        <v>50.578365906208454</v>
      </c>
    </row>
    <row r="2182" spans="1:13" x14ac:dyDescent="0.35">
      <c r="A2182" s="14" t="s">
        <v>391</v>
      </c>
      <c r="B2182" s="14" t="s">
        <v>377</v>
      </c>
      <c r="C2182" t="s">
        <v>397</v>
      </c>
      <c r="D2182" s="18">
        <v>44210</v>
      </c>
      <c r="E2182" s="34">
        <v>44208</v>
      </c>
      <c r="F2182" s="18">
        <v>44209</v>
      </c>
      <c r="H2182" s="28" t="s">
        <v>204</v>
      </c>
      <c r="M2182" s="52">
        <v>50.578365906208454</v>
      </c>
    </row>
    <row r="2183" spans="1:13" x14ac:dyDescent="0.35">
      <c r="A2183" s="14" t="s">
        <v>391</v>
      </c>
      <c r="B2183" s="14" t="s">
        <v>377</v>
      </c>
      <c r="C2183" t="s">
        <v>397</v>
      </c>
      <c r="D2183" s="18">
        <v>44210</v>
      </c>
      <c r="E2183" s="34">
        <v>44208</v>
      </c>
      <c r="F2183" s="18">
        <v>44209</v>
      </c>
      <c r="H2183" s="28" t="s">
        <v>208</v>
      </c>
      <c r="M2183" s="52">
        <v>50.578365906208454</v>
      </c>
    </row>
    <row r="2184" spans="1:13" x14ac:dyDescent="0.35">
      <c r="A2184" s="14" t="s">
        <v>391</v>
      </c>
      <c r="B2184" s="14" t="s">
        <v>377</v>
      </c>
      <c r="C2184" t="s">
        <v>397</v>
      </c>
      <c r="D2184" s="18">
        <v>44210</v>
      </c>
      <c r="E2184" s="34">
        <v>44208</v>
      </c>
      <c r="F2184" s="18">
        <v>44209</v>
      </c>
      <c r="H2184" s="28" t="s">
        <v>210</v>
      </c>
      <c r="M2184" s="52">
        <v>50.578365906208454</v>
      </c>
    </row>
    <row r="2185" spans="1:13" x14ac:dyDescent="0.35">
      <c r="A2185" s="14" t="s">
        <v>391</v>
      </c>
      <c r="B2185" s="14" t="s">
        <v>377</v>
      </c>
      <c r="C2185" t="s">
        <v>397</v>
      </c>
      <c r="D2185" s="18">
        <v>44210</v>
      </c>
      <c r="E2185" s="34">
        <v>44208</v>
      </c>
      <c r="F2185" s="18">
        <v>44209</v>
      </c>
      <c r="H2185" s="28" t="s">
        <v>223</v>
      </c>
      <c r="M2185" s="52">
        <v>50.578365906208454</v>
      </c>
    </row>
    <row r="2186" spans="1:13" x14ac:dyDescent="0.35">
      <c r="A2186" s="14" t="s">
        <v>391</v>
      </c>
      <c r="B2186" s="14" t="s">
        <v>377</v>
      </c>
      <c r="C2186" t="s">
        <v>397</v>
      </c>
      <c r="D2186" s="18">
        <v>44210</v>
      </c>
      <c r="E2186" s="34">
        <v>44208</v>
      </c>
      <c r="F2186" s="18">
        <v>44209</v>
      </c>
      <c r="H2186" s="28" t="s">
        <v>56</v>
      </c>
      <c r="K2186" t="s">
        <v>381</v>
      </c>
      <c r="L2186">
        <v>30</v>
      </c>
      <c r="M2186" s="52">
        <v>50.578365906208454</v>
      </c>
    </row>
    <row r="2187" spans="1:13" x14ac:dyDescent="0.35">
      <c r="A2187" s="14" t="s">
        <v>391</v>
      </c>
      <c r="B2187" s="14" t="s">
        <v>377</v>
      </c>
      <c r="C2187" t="s">
        <v>397</v>
      </c>
      <c r="D2187" s="18">
        <v>44210</v>
      </c>
      <c r="E2187" s="34">
        <v>44208</v>
      </c>
      <c r="F2187" s="18">
        <v>44209</v>
      </c>
      <c r="H2187" s="28" t="s">
        <v>263</v>
      </c>
      <c r="M2187" s="52">
        <v>50.578365906208454</v>
      </c>
    </row>
    <row r="2188" spans="1:13" x14ac:dyDescent="0.35">
      <c r="A2188" s="14" t="s">
        <v>391</v>
      </c>
      <c r="B2188" s="14" t="s">
        <v>377</v>
      </c>
      <c r="C2188" t="s">
        <v>397</v>
      </c>
      <c r="D2188" s="18">
        <v>44210</v>
      </c>
      <c r="E2188" s="34">
        <v>44208</v>
      </c>
      <c r="F2188" s="18">
        <v>44209</v>
      </c>
      <c r="H2188" s="28" t="s">
        <v>287</v>
      </c>
      <c r="M2188" s="52">
        <v>50.578365906208454</v>
      </c>
    </row>
    <row r="2189" spans="1:13" x14ac:dyDescent="0.35">
      <c r="A2189" s="14" t="s">
        <v>391</v>
      </c>
      <c r="B2189" s="14" t="s">
        <v>377</v>
      </c>
      <c r="C2189" t="s">
        <v>397</v>
      </c>
      <c r="D2189" s="18">
        <v>44210</v>
      </c>
      <c r="E2189" s="34">
        <v>44208</v>
      </c>
      <c r="F2189" s="18">
        <v>44209</v>
      </c>
      <c r="H2189" s="28" t="s">
        <v>309</v>
      </c>
      <c r="M2189" s="52">
        <v>50.578365906208454</v>
      </c>
    </row>
    <row r="2190" spans="1:13" x14ac:dyDescent="0.35">
      <c r="A2190" s="14" t="s">
        <v>391</v>
      </c>
      <c r="B2190" s="14" t="s">
        <v>377</v>
      </c>
      <c r="C2190" t="s">
        <v>397</v>
      </c>
      <c r="D2190" s="18">
        <v>44210</v>
      </c>
      <c r="E2190" s="34">
        <v>44208</v>
      </c>
      <c r="F2190" s="18">
        <v>44209</v>
      </c>
      <c r="H2190" s="28" t="s">
        <v>311</v>
      </c>
      <c r="M2190" s="52">
        <v>50.578365906208454</v>
      </c>
    </row>
    <row r="2191" spans="1:13" x14ac:dyDescent="0.35">
      <c r="A2191" s="14" t="s">
        <v>391</v>
      </c>
      <c r="B2191" s="14" t="s">
        <v>377</v>
      </c>
      <c r="C2191" t="s">
        <v>397</v>
      </c>
      <c r="D2191" s="18">
        <v>44210</v>
      </c>
      <c r="E2191" s="34">
        <v>44208</v>
      </c>
      <c r="F2191" s="18">
        <v>44209</v>
      </c>
      <c r="H2191" s="28" t="s">
        <v>315</v>
      </c>
      <c r="K2191" t="s">
        <v>381</v>
      </c>
      <c r="L2191">
        <v>30</v>
      </c>
      <c r="M2191" s="52">
        <v>50.578365906208454</v>
      </c>
    </row>
    <row r="2192" spans="1:13" x14ac:dyDescent="0.35">
      <c r="A2192" s="14" t="s">
        <v>391</v>
      </c>
      <c r="B2192" s="14" t="s">
        <v>377</v>
      </c>
      <c r="C2192" t="s">
        <v>397</v>
      </c>
      <c r="D2192" s="18">
        <v>44210</v>
      </c>
      <c r="E2192" s="34">
        <v>44208</v>
      </c>
      <c r="F2192" s="18">
        <v>44209</v>
      </c>
      <c r="H2192" s="28" t="s">
        <v>313</v>
      </c>
      <c r="K2192" t="s">
        <v>381</v>
      </c>
      <c r="L2192">
        <v>50</v>
      </c>
      <c r="M2192" s="52">
        <v>50.578365906208454</v>
      </c>
    </row>
    <row r="2193" spans="1:13" x14ac:dyDescent="0.35">
      <c r="A2193" s="14" t="s">
        <v>391</v>
      </c>
      <c r="B2193" s="14" t="s">
        <v>377</v>
      </c>
      <c r="C2193" t="s">
        <v>397</v>
      </c>
      <c r="D2193" s="18">
        <v>44210</v>
      </c>
      <c r="E2193" s="34">
        <v>44208</v>
      </c>
      <c r="F2193" s="18">
        <v>44209</v>
      </c>
      <c r="H2193" s="28" t="s">
        <v>32</v>
      </c>
      <c r="K2193" t="s">
        <v>380</v>
      </c>
      <c r="L2193">
        <v>6</v>
      </c>
      <c r="M2193" s="52">
        <v>50.578365906208454</v>
      </c>
    </row>
    <row r="2194" spans="1:13" x14ac:dyDescent="0.35">
      <c r="A2194" s="14" t="s">
        <v>391</v>
      </c>
      <c r="B2194" s="14" t="s">
        <v>377</v>
      </c>
      <c r="C2194" t="s">
        <v>397</v>
      </c>
      <c r="D2194" s="18">
        <v>44210</v>
      </c>
      <c r="E2194" s="34">
        <v>44208</v>
      </c>
      <c r="F2194" s="18">
        <v>44209</v>
      </c>
      <c r="H2194" s="28" t="s">
        <v>60</v>
      </c>
      <c r="K2194" t="s">
        <v>380</v>
      </c>
      <c r="L2194">
        <v>6</v>
      </c>
      <c r="M2194" s="52">
        <v>50.578365906208454</v>
      </c>
    </row>
    <row r="2195" spans="1:13" x14ac:dyDescent="0.35">
      <c r="A2195" s="14" t="s">
        <v>391</v>
      </c>
      <c r="B2195" s="14" t="s">
        <v>377</v>
      </c>
      <c r="C2195" t="s">
        <v>397</v>
      </c>
      <c r="D2195" s="18">
        <v>44210</v>
      </c>
      <c r="E2195" s="34">
        <v>44208</v>
      </c>
      <c r="F2195" s="18">
        <v>44209</v>
      </c>
      <c r="H2195" s="28" t="s">
        <v>335</v>
      </c>
      <c r="M2195" s="52">
        <v>50.578365906208454</v>
      </c>
    </row>
    <row r="2196" spans="1:13" x14ac:dyDescent="0.35">
      <c r="A2196" s="14" t="s">
        <v>391</v>
      </c>
      <c r="B2196" s="14" t="s">
        <v>377</v>
      </c>
      <c r="C2196" t="s">
        <v>397</v>
      </c>
      <c r="D2196" s="18">
        <v>44210</v>
      </c>
      <c r="E2196" s="34">
        <v>44208</v>
      </c>
      <c r="F2196" s="18">
        <v>44209</v>
      </c>
      <c r="H2196" s="28" t="s">
        <v>339</v>
      </c>
      <c r="M2196" s="52">
        <v>50.578365906208454</v>
      </c>
    </row>
    <row r="2197" spans="1:13" x14ac:dyDescent="0.35">
      <c r="A2197" s="14" t="s">
        <v>391</v>
      </c>
      <c r="B2197" s="14" t="s">
        <v>377</v>
      </c>
      <c r="C2197" t="s">
        <v>397</v>
      </c>
      <c r="D2197" s="18">
        <v>44210</v>
      </c>
      <c r="E2197" s="34">
        <v>44208</v>
      </c>
      <c r="F2197" s="18">
        <v>44209</v>
      </c>
      <c r="H2197" s="28" t="s">
        <v>341</v>
      </c>
      <c r="M2197" s="52">
        <v>50.578365906208454</v>
      </c>
    </row>
    <row r="2198" spans="1:13" x14ac:dyDescent="0.35">
      <c r="A2198" s="14" t="s">
        <v>391</v>
      </c>
      <c r="B2198" s="14" t="s">
        <v>377</v>
      </c>
      <c r="C2198" t="s">
        <v>397</v>
      </c>
      <c r="D2198" s="18">
        <v>44210</v>
      </c>
      <c r="E2198" s="34">
        <v>44208</v>
      </c>
      <c r="F2198" s="18">
        <v>44209</v>
      </c>
      <c r="H2198" s="28" t="s">
        <v>345</v>
      </c>
      <c r="K2198" t="s">
        <v>381</v>
      </c>
      <c r="L2198">
        <v>50</v>
      </c>
      <c r="M2198" s="52">
        <v>50.578365906208454</v>
      </c>
    </row>
    <row r="2199" spans="1:13" x14ac:dyDescent="0.35">
      <c r="A2199" s="14" t="s">
        <v>391</v>
      </c>
      <c r="B2199" s="14" t="s">
        <v>377</v>
      </c>
      <c r="C2199" t="s">
        <v>397</v>
      </c>
      <c r="D2199" s="18">
        <v>44210</v>
      </c>
      <c r="E2199" s="34">
        <v>44208</v>
      </c>
      <c r="F2199" s="18">
        <v>44209</v>
      </c>
      <c r="H2199" s="28" t="s">
        <v>59</v>
      </c>
      <c r="M2199" s="52">
        <v>50.578365906208454</v>
      </c>
    </row>
    <row r="2200" spans="1:13" x14ac:dyDescent="0.35">
      <c r="A2200" s="14" t="s">
        <v>391</v>
      </c>
      <c r="B2200" s="14" t="s">
        <v>377</v>
      </c>
      <c r="C2200" t="s">
        <v>397</v>
      </c>
      <c r="D2200" s="18">
        <v>44210</v>
      </c>
      <c r="E2200" s="34">
        <v>44208</v>
      </c>
      <c r="F2200" s="18">
        <v>44209</v>
      </c>
      <c r="H2200" s="28" t="s">
        <v>360</v>
      </c>
      <c r="M2200" s="52">
        <v>50.578365906208454</v>
      </c>
    </row>
    <row r="2201" spans="1:13" x14ac:dyDescent="0.35">
      <c r="A2201" s="14" t="s">
        <v>391</v>
      </c>
      <c r="B2201" s="14" t="s">
        <v>377</v>
      </c>
      <c r="C2201" t="s">
        <v>400</v>
      </c>
      <c r="D2201" s="18">
        <v>44211</v>
      </c>
      <c r="E2201" s="34">
        <v>44208</v>
      </c>
      <c r="F2201" s="18">
        <v>44211</v>
      </c>
      <c r="H2201" s="28" t="s">
        <v>68</v>
      </c>
      <c r="M2201" s="52">
        <v>76.90349772134158</v>
      </c>
    </row>
    <row r="2202" spans="1:13" x14ac:dyDescent="0.35">
      <c r="A2202" s="14" t="s">
        <v>391</v>
      </c>
      <c r="B2202" s="14" t="s">
        <v>377</v>
      </c>
      <c r="C2202" t="s">
        <v>400</v>
      </c>
      <c r="D2202" s="18">
        <v>44211</v>
      </c>
      <c r="E2202" s="34">
        <v>44208</v>
      </c>
      <c r="F2202" s="18">
        <v>44211</v>
      </c>
      <c r="H2202" s="28" t="s">
        <v>408</v>
      </c>
      <c r="M2202" s="52">
        <v>76.90349772134158</v>
      </c>
    </row>
    <row r="2203" spans="1:13" x14ac:dyDescent="0.35">
      <c r="A2203" s="14" t="s">
        <v>391</v>
      </c>
      <c r="B2203" s="14" t="s">
        <v>377</v>
      </c>
      <c r="C2203" t="s">
        <v>400</v>
      </c>
      <c r="D2203" s="18">
        <v>44211</v>
      </c>
      <c r="E2203" s="34">
        <v>44208</v>
      </c>
      <c r="F2203" s="18">
        <v>44211</v>
      </c>
      <c r="H2203" s="28" t="s">
        <v>41</v>
      </c>
      <c r="K2203" t="s">
        <v>381</v>
      </c>
      <c r="L2203">
        <v>50</v>
      </c>
      <c r="M2203" s="52">
        <v>76.90349772134158</v>
      </c>
    </row>
    <row r="2204" spans="1:13" x14ac:dyDescent="0.35">
      <c r="A2204" s="14" t="s">
        <v>391</v>
      </c>
      <c r="B2204" s="14" t="s">
        <v>377</v>
      </c>
      <c r="C2204" t="s">
        <v>400</v>
      </c>
      <c r="D2204" s="18">
        <v>44211</v>
      </c>
      <c r="E2204" s="34">
        <v>44208</v>
      </c>
      <c r="F2204" s="18">
        <v>44211</v>
      </c>
      <c r="H2204" s="28" t="s">
        <v>39</v>
      </c>
      <c r="K2204" t="s">
        <v>381</v>
      </c>
      <c r="L2204">
        <v>25</v>
      </c>
      <c r="M2204" s="52">
        <v>76.90349772134158</v>
      </c>
    </row>
    <row r="2205" spans="1:13" x14ac:dyDescent="0.35">
      <c r="A2205" s="14" t="s">
        <v>391</v>
      </c>
      <c r="B2205" s="14" t="s">
        <v>377</v>
      </c>
      <c r="C2205" t="s">
        <v>400</v>
      </c>
      <c r="D2205" s="18">
        <v>44211</v>
      </c>
      <c r="E2205" s="34">
        <v>44208</v>
      </c>
      <c r="F2205" s="18">
        <v>44211</v>
      </c>
      <c r="H2205" s="28" t="s">
        <v>123</v>
      </c>
      <c r="M2205" s="52">
        <v>76.90349772134158</v>
      </c>
    </row>
    <row r="2206" spans="1:13" x14ac:dyDescent="0.35">
      <c r="A2206" s="14" t="s">
        <v>391</v>
      </c>
      <c r="B2206" s="14" t="s">
        <v>377</v>
      </c>
      <c r="C2206" t="s">
        <v>400</v>
      </c>
      <c r="D2206" s="18">
        <v>44211</v>
      </c>
      <c r="E2206" s="34">
        <v>44208</v>
      </c>
      <c r="F2206" s="18">
        <v>44211</v>
      </c>
      <c r="H2206" s="28" t="s">
        <v>150</v>
      </c>
      <c r="M2206" s="52">
        <v>76.90349772134158</v>
      </c>
    </row>
    <row r="2207" spans="1:13" x14ac:dyDescent="0.35">
      <c r="A2207" s="14" t="s">
        <v>391</v>
      </c>
      <c r="B2207" s="14" t="s">
        <v>377</v>
      </c>
      <c r="C2207" t="s">
        <v>400</v>
      </c>
      <c r="D2207" s="18">
        <v>44211</v>
      </c>
      <c r="E2207" s="34">
        <v>44208</v>
      </c>
      <c r="F2207" s="18">
        <v>44211</v>
      </c>
      <c r="H2207" s="28" t="s">
        <v>127</v>
      </c>
      <c r="M2207" s="52">
        <v>76.90349772134158</v>
      </c>
    </row>
    <row r="2208" spans="1:13" x14ac:dyDescent="0.35">
      <c r="A2208" s="14" t="s">
        <v>391</v>
      </c>
      <c r="B2208" s="14" t="s">
        <v>377</v>
      </c>
      <c r="C2208" t="s">
        <v>400</v>
      </c>
      <c r="D2208" s="18">
        <v>44211</v>
      </c>
      <c r="E2208" s="34">
        <v>44208</v>
      </c>
      <c r="F2208" s="18">
        <v>44211</v>
      </c>
      <c r="H2208" s="28" t="s">
        <v>25</v>
      </c>
      <c r="K2208" t="s">
        <v>381</v>
      </c>
      <c r="L2208">
        <v>20</v>
      </c>
      <c r="M2208" s="52">
        <v>76.90349772134158</v>
      </c>
    </row>
    <row r="2209" spans="1:13" x14ac:dyDescent="0.35">
      <c r="A2209" s="14" t="s">
        <v>391</v>
      </c>
      <c r="B2209" s="14" t="s">
        <v>377</v>
      </c>
      <c r="C2209" t="s">
        <v>400</v>
      </c>
      <c r="D2209" s="18">
        <v>44211</v>
      </c>
      <c r="E2209" s="34">
        <v>44208</v>
      </c>
      <c r="F2209" s="18">
        <v>44211</v>
      </c>
      <c r="H2209" s="28" t="s">
        <v>23</v>
      </c>
      <c r="K2209" t="s">
        <v>380</v>
      </c>
      <c r="L2209">
        <v>10</v>
      </c>
      <c r="M2209" s="52">
        <v>76.90349772134158</v>
      </c>
    </row>
    <row r="2210" spans="1:13" x14ac:dyDescent="0.35">
      <c r="A2210" s="14" t="s">
        <v>391</v>
      </c>
      <c r="B2210" s="14" t="s">
        <v>377</v>
      </c>
      <c r="C2210" t="s">
        <v>400</v>
      </c>
      <c r="D2210" s="18">
        <v>44211</v>
      </c>
      <c r="E2210" s="34">
        <v>44208</v>
      </c>
      <c r="F2210" s="18">
        <v>44211</v>
      </c>
      <c r="H2210" s="28" t="s">
        <v>24</v>
      </c>
      <c r="K2210" t="s">
        <v>380</v>
      </c>
      <c r="L2210">
        <v>15</v>
      </c>
      <c r="M2210" s="52">
        <v>76.90349772134158</v>
      </c>
    </row>
    <row r="2211" spans="1:13" x14ac:dyDescent="0.35">
      <c r="A2211" s="14" t="s">
        <v>391</v>
      </c>
      <c r="B2211" s="14" t="s">
        <v>377</v>
      </c>
      <c r="C2211" t="s">
        <v>400</v>
      </c>
      <c r="D2211" s="18">
        <v>44211</v>
      </c>
      <c r="E2211" s="34">
        <v>44208</v>
      </c>
      <c r="F2211" s="18">
        <v>44211</v>
      </c>
      <c r="H2211" s="28" t="s">
        <v>27</v>
      </c>
      <c r="K2211" t="s">
        <v>380</v>
      </c>
      <c r="L2211">
        <v>10</v>
      </c>
      <c r="M2211" s="52">
        <v>76.90349772134158</v>
      </c>
    </row>
    <row r="2212" spans="1:13" x14ac:dyDescent="0.35">
      <c r="A2212" s="14" t="s">
        <v>391</v>
      </c>
      <c r="B2212" s="14" t="s">
        <v>377</v>
      </c>
      <c r="C2212" t="s">
        <v>400</v>
      </c>
      <c r="D2212" s="18">
        <v>44211</v>
      </c>
      <c r="E2212" s="34">
        <v>44208</v>
      </c>
      <c r="F2212" s="18">
        <v>44211</v>
      </c>
      <c r="H2212" s="28" t="s">
        <v>28</v>
      </c>
      <c r="K2212" t="s">
        <v>380</v>
      </c>
      <c r="L2212">
        <v>15</v>
      </c>
      <c r="M2212" s="52">
        <v>76.90349772134158</v>
      </c>
    </row>
    <row r="2213" spans="1:13" x14ac:dyDescent="0.35">
      <c r="A2213" s="14" t="s">
        <v>391</v>
      </c>
      <c r="B2213" s="14" t="s">
        <v>377</v>
      </c>
      <c r="C2213" t="s">
        <v>400</v>
      </c>
      <c r="D2213" s="18">
        <v>44211</v>
      </c>
      <c r="E2213" s="34">
        <v>44208</v>
      </c>
      <c r="F2213" s="18">
        <v>44211</v>
      </c>
      <c r="H2213" s="28" t="s">
        <v>30</v>
      </c>
      <c r="M2213" s="52">
        <v>76.90349772134158</v>
      </c>
    </row>
    <row r="2214" spans="1:13" x14ac:dyDescent="0.35">
      <c r="A2214" s="14" t="s">
        <v>391</v>
      </c>
      <c r="B2214" s="14" t="s">
        <v>377</v>
      </c>
      <c r="C2214" t="s">
        <v>400</v>
      </c>
      <c r="D2214" s="18">
        <v>44211</v>
      </c>
      <c r="E2214" s="34">
        <v>44208</v>
      </c>
      <c r="F2214" s="18">
        <v>44211</v>
      </c>
      <c r="H2214" s="28" t="s">
        <v>29</v>
      </c>
      <c r="K2214" t="s">
        <v>381</v>
      </c>
      <c r="L2214">
        <v>33</v>
      </c>
      <c r="M2214" s="52">
        <v>76.90349772134158</v>
      </c>
    </row>
    <row r="2215" spans="1:13" x14ac:dyDescent="0.35">
      <c r="A2215" s="14" t="s">
        <v>391</v>
      </c>
      <c r="B2215" s="14" t="s">
        <v>377</v>
      </c>
      <c r="C2215" t="s">
        <v>400</v>
      </c>
      <c r="D2215" s="18">
        <v>44211</v>
      </c>
      <c r="E2215" s="34">
        <v>44208</v>
      </c>
      <c r="F2215" s="18">
        <v>44211</v>
      </c>
      <c r="H2215" s="28" t="s">
        <v>190</v>
      </c>
      <c r="M2215" s="52">
        <v>76.90349772134158</v>
      </c>
    </row>
    <row r="2216" spans="1:13" x14ac:dyDescent="0.35">
      <c r="A2216" s="14" t="s">
        <v>391</v>
      </c>
      <c r="B2216" s="14" t="s">
        <v>377</v>
      </c>
      <c r="C2216" t="s">
        <v>400</v>
      </c>
      <c r="D2216" s="18">
        <v>44211</v>
      </c>
      <c r="E2216" s="34">
        <v>44208</v>
      </c>
      <c r="F2216" s="18">
        <v>44211</v>
      </c>
      <c r="H2216" s="28" t="s">
        <v>198</v>
      </c>
      <c r="M2216" s="52">
        <v>76.90349772134158</v>
      </c>
    </row>
    <row r="2217" spans="1:13" x14ac:dyDescent="0.35">
      <c r="A2217" s="14" t="s">
        <v>391</v>
      </c>
      <c r="B2217" s="14" t="s">
        <v>377</v>
      </c>
      <c r="C2217" t="s">
        <v>400</v>
      </c>
      <c r="D2217" s="18">
        <v>44211</v>
      </c>
      <c r="E2217" s="34">
        <v>44208</v>
      </c>
      <c r="F2217" s="18">
        <v>44211</v>
      </c>
      <c r="H2217" s="28" t="s">
        <v>393</v>
      </c>
      <c r="M2217" s="52">
        <v>76.90349772134158</v>
      </c>
    </row>
    <row r="2218" spans="1:13" x14ac:dyDescent="0.35">
      <c r="A2218" s="14" t="s">
        <v>391</v>
      </c>
      <c r="B2218" s="14" t="s">
        <v>377</v>
      </c>
      <c r="C2218" t="s">
        <v>400</v>
      </c>
      <c r="D2218" s="18">
        <v>44211</v>
      </c>
      <c r="E2218" s="34">
        <v>44208</v>
      </c>
      <c r="F2218" s="18">
        <v>44211</v>
      </c>
      <c r="H2218" s="28" t="s">
        <v>204</v>
      </c>
      <c r="M2218" s="52">
        <v>76.90349772134158</v>
      </c>
    </row>
    <row r="2219" spans="1:13" x14ac:dyDescent="0.35">
      <c r="A2219" s="14" t="s">
        <v>391</v>
      </c>
      <c r="B2219" s="14" t="s">
        <v>377</v>
      </c>
      <c r="C2219" t="s">
        <v>400</v>
      </c>
      <c r="D2219" s="18">
        <v>44211</v>
      </c>
      <c r="E2219" s="34">
        <v>44208</v>
      </c>
      <c r="F2219" s="18">
        <v>44211</v>
      </c>
      <c r="H2219" s="28" t="s">
        <v>208</v>
      </c>
      <c r="M2219" s="52">
        <v>76.90349772134158</v>
      </c>
    </row>
    <row r="2220" spans="1:13" x14ac:dyDescent="0.35">
      <c r="A2220" s="14" t="s">
        <v>391</v>
      </c>
      <c r="B2220" s="14" t="s">
        <v>377</v>
      </c>
      <c r="C2220" t="s">
        <v>400</v>
      </c>
      <c r="D2220" s="18">
        <v>44211</v>
      </c>
      <c r="E2220" s="34">
        <v>44208</v>
      </c>
      <c r="F2220" s="18">
        <v>44211</v>
      </c>
      <c r="H2220" s="28" t="s">
        <v>403</v>
      </c>
      <c r="M2220" s="52">
        <v>76.90349772134158</v>
      </c>
    </row>
    <row r="2221" spans="1:13" x14ac:dyDescent="0.35">
      <c r="A2221" s="14" t="s">
        <v>391</v>
      </c>
      <c r="B2221" s="14" t="s">
        <v>377</v>
      </c>
      <c r="C2221" t="s">
        <v>400</v>
      </c>
      <c r="D2221" s="18">
        <v>44211</v>
      </c>
      <c r="E2221" s="34">
        <v>44208</v>
      </c>
      <c r="F2221" s="18">
        <v>44211</v>
      </c>
      <c r="H2221" s="28" t="s">
        <v>223</v>
      </c>
      <c r="M2221" s="52">
        <v>76.90349772134158</v>
      </c>
    </row>
    <row r="2222" spans="1:13" x14ac:dyDescent="0.35">
      <c r="A2222" s="14" t="s">
        <v>391</v>
      </c>
      <c r="B2222" s="14" t="s">
        <v>377</v>
      </c>
      <c r="C2222" t="s">
        <v>400</v>
      </c>
      <c r="D2222" s="18">
        <v>44211</v>
      </c>
      <c r="E2222" s="34">
        <v>44208</v>
      </c>
      <c r="F2222" s="18">
        <v>44211</v>
      </c>
      <c r="H2222" s="28" t="s">
        <v>56</v>
      </c>
      <c r="K2222" t="s">
        <v>381</v>
      </c>
      <c r="L2222">
        <v>30</v>
      </c>
      <c r="M2222" s="52">
        <v>76.90349772134158</v>
      </c>
    </row>
    <row r="2223" spans="1:13" x14ac:dyDescent="0.35">
      <c r="A2223" s="14" t="s">
        <v>391</v>
      </c>
      <c r="B2223" s="14" t="s">
        <v>377</v>
      </c>
      <c r="C2223" t="s">
        <v>400</v>
      </c>
      <c r="D2223" s="18">
        <v>44211</v>
      </c>
      <c r="E2223" s="34">
        <v>44208</v>
      </c>
      <c r="F2223" s="18">
        <v>44211</v>
      </c>
      <c r="H2223" s="28" t="s">
        <v>263</v>
      </c>
      <c r="M2223" s="52">
        <v>76.90349772134158</v>
      </c>
    </row>
    <row r="2224" spans="1:13" x14ac:dyDescent="0.35">
      <c r="A2224" s="14" t="s">
        <v>391</v>
      </c>
      <c r="B2224" s="14" t="s">
        <v>377</v>
      </c>
      <c r="C2224" t="s">
        <v>400</v>
      </c>
      <c r="D2224" s="18">
        <v>44211</v>
      </c>
      <c r="E2224" s="34">
        <v>44208</v>
      </c>
      <c r="F2224" s="18">
        <v>44211</v>
      </c>
      <c r="H2224" s="28" t="s">
        <v>287</v>
      </c>
      <c r="M2224" s="52">
        <v>76.90349772134158</v>
      </c>
    </row>
    <row r="2225" spans="1:13" x14ac:dyDescent="0.35">
      <c r="A2225" s="14" t="s">
        <v>391</v>
      </c>
      <c r="B2225" s="14" t="s">
        <v>377</v>
      </c>
      <c r="C2225" t="s">
        <v>400</v>
      </c>
      <c r="D2225" s="18">
        <v>44211</v>
      </c>
      <c r="E2225" s="34">
        <v>44208</v>
      </c>
      <c r="F2225" s="18">
        <v>44211</v>
      </c>
      <c r="H2225" s="28" t="s">
        <v>309</v>
      </c>
      <c r="M2225" s="52">
        <v>76.90349772134158</v>
      </c>
    </row>
    <row r="2226" spans="1:13" x14ac:dyDescent="0.35">
      <c r="A2226" s="14" t="s">
        <v>391</v>
      </c>
      <c r="B2226" s="14" t="s">
        <v>377</v>
      </c>
      <c r="C2226" t="s">
        <v>400</v>
      </c>
      <c r="D2226" s="18">
        <v>44211</v>
      </c>
      <c r="E2226" s="34">
        <v>44208</v>
      </c>
      <c r="F2226" s="18">
        <v>44211</v>
      </c>
      <c r="H2226" s="28" t="s">
        <v>311</v>
      </c>
      <c r="M2226" s="52">
        <v>76.90349772134158</v>
      </c>
    </row>
    <row r="2227" spans="1:13" x14ac:dyDescent="0.35">
      <c r="A2227" s="14" t="s">
        <v>391</v>
      </c>
      <c r="B2227" s="14" t="s">
        <v>377</v>
      </c>
      <c r="C2227" t="s">
        <v>400</v>
      </c>
      <c r="D2227" s="18">
        <v>44211</v>
      </c>
      <c r="E2227" s="34">
        <v>44208</v>
      </c>
      <c r="F2227" s="18">
        <v>44211</v>
      </c>
      <c r="H2227" s="28" t="s">
        <v>315</v>
      </c>
      <c r="K2227" t="s">
        <v>381</v>
      </c>
      <c r="L2227">
        <v>30</v>
      </c>
      <c r="M2227" s="52">
        <v>76.90349772134158</v>
      </c>
    </row>
    <row r="2228" spans="1:13" x14ac:dyDescent="0.35">
      <c r="A2228" s="14" t="s">
        <v>391</v>
      </c>
      <c r="B2228" s="14" t="s">
        <v>377</v>
      </c>
      <c r="C2228" t="s">
        <v>400</v>
      </c>
      <c r="D2228" s="18">
        <v>44211</v>
      </c>
      <c r="E2228" s="34">
        <v>44208</v>
      </c>
      <c r="F2228" s="18">
        <v>44211</v>
      </c>
      <c r="H2228" s="28" t="s">
        <v>401</v>
      </c>
      <c r="K2228" t="s">
        <v>381</v>
      </c>
      <c r="L2228">
        <v>50</v>
      </c>
      <c r="M2228" s="52">
        <v>76.90349772134158</v>
      </c>
    </row>
    <row r="2229" spans="1:13" x14ac:dyDescent="0.35">
      <c r="A2229" s="14" t="s">
        <v>391</v>
      </c>
      <c r="B2229" s="14" t="s">
        <v>377</v>
      </c>
      <c r="C2229" t="s">
        <v>400</v>
      </c>
      <c r="D2229" s="18">
        <v>44211</v>
      </c>
      <c r="E2229" s="34">
        <v>44208</v>
      </c>
      <c r="F2229" s="18">
        <v>44211</v>
      </c>
      <c r="H2229" s="28" t="s">
        <v>402</v>
      </c>
      <c r="K2229" t="s">
        <v>380</v>
      </c>
      <c r="L2229">
        <v>6</v>
      </c>
      <c r="M2229" s="52">
        <v>76.90349772134158</v>
      </c>
    </row>
    <row r="2230" spans="1:13" x14ac:dyDescent="0.35">
      <c r="A2230" s="14" t="s">
        <v>391</v>
      </c>
      <c r="B2230" s="14" t="s">
        <v>377</v>
      </c>
      <c r="C2230" t="s">
        <v>400</v>
      </c>
      <c r="D2230" s="18">
        <v>44211</v>
      </c>
      <c r="E2230" s="34">
        <v>44208</v>
      </c>
      <c r="F2230" s="18">
        <v>44211</v>
      </c>
      <c r="H2230" s="28" t="s">
        <v>60</v>
      </c>
      <c r="K2230" t="s">
        <v>380</v>
      </c>
      <c r="L2230">
        <v>6</v>
      </c>
      <c r="M2230" s="52">
        <v>76.90349772134158</v>
      </c>
    </row>
    <row r="2231" spans="1:13" x14ac:dyDescent="0.35">
      <c r="A2231" s="14" t="s">
        <v>391</v>
      </c>
      <c r="B2231" s="14" t="s">
        <v>377</v>
      </c>
      <c r="C2231" t="s">
        <v>400</v>
      </c>
      <c r="D2231" s="18">
        <v>44211</v>
      </c>
      <c r="E2231" s="34">
        <v>44208</v>
      </c>
      <c r="F2231" s="18">
        <v>44211</v>
      </c>
      <c r="H2231" s="28" t="s">
        <v>60</v>
      </c>
      <c r="K2231" t="s">
        <v>380</v>
      </c>
      <c r="L2231">
        <v>6</v>
      </c>
      <c r="M2231" s="52">
        <v>76.90349772134158</v>
      </c>
    </row>
    <row r="2232" spans="1:13" x14ac:dyDescent="0.35">
      <c r="A2232" s="14" t="s">
        <v>391</v>
      </c>
      <c r="B2232" s="14" t="s">
        <v>377</v>
      </c>
      <c r="C2232" t="s">
        <v>400</v>
      </c>
      <c r="D2232" s="18">
        <v>44211</v>
      </c>
      <c r="E2232" s="34">
        <v>44208</v>
      </c>
      <c r="F2232" s="18">
        <v>44211</v>
      </c>
      <c r="H2232" s="28" t="s">
        <v>335</v>
      </c>
      <c r="M2232" s="52">
        <v>76.90349772134158</v>
      </c>
    </row>
    <row r="2233" spans="1:13" x14ac:dyDescent="0.35">
      <c r="A2233" s="14" t="s">
        <v>391</v>
      </c>
      <c r="B2233" s="14" t="s">
        <v>377</v>
      </c>
      <c r="C2233" t="s">
        <v>400</v>
      </c>
      <c r="D2233" s="18">
        <v>44211</v>
      </c>
      <c r="E2233" s="34">
        <v>44208</v>
      </c>
      <c r="F2233" s="18">
        <v>44211</v>
      </c>
      <c r="H2233" s="28" t="s">
        <v>339</v>
      </c>
      <c r="M2233" s="52">
        <v>76.90349772134158</v>
      </c>
    </row>
    <row r="2234" spans="1:13" x14ac:dyDescent="0.35">
      <c r="A2234" s="14" t="s">
        <v>391</v>
      </c>
      <c r="B2234" s="14" t="s">
        <v>377</v>
      </c>
      <c r="C2234" t="s">
        <v>400</v>
      </c>
      <c r="D2234" s="18">
        <v>44211</v>
      </c>
      <c r="E2234" s="34">
        <v>44208</v>
      </c>
      <c r="F2234" s="18">
        <v>44211</v>
      </c>
      <c r="H2234" s="28" t="s">
        <v>341</v>
      </c>
      <c r="M2234" s="52">
        <v>76.90349772134158</v>
      </c>
    </row>
    <row r="2235" spans="1:13" x14ac:dyDescent="0.35">
      <c r="A2235" s="14" t="s">
        <v>391</v>
      </c>
      <c r="B2235" s="14" t="s">
        <v>377</v>
      </c>
      <c r="C2235" t="s">
        <v>400</v>
      </c>
      <c r="D2235" s="18">
        <v>44211</v>
      </c>
      <c r="E2235" s="34">
        <v>44208</v>
      </c>
      <c r="F2235" s="18">
        <v>44211</v>
      </c>
      <c r="H2235" s="28" t="s">
        <v>345</v>
      </c>
      <c r="K2235" t="s">
        <v>381</v>
      </c>
      <c r="L2235">
        <v>50</v>
      </c>
      <c r="M2235" s="52">
        <v>76.90349772134158</v>
      </c>
    </row>
    <row r="2236" spans="1:13" x14ac:dyDescent="0.35">
      <c r="A2236" s="14" t="s">
        <v>391</v>
      </c>
      <c r="B2236" s="14" t="s">
        <v>377</v>
      </c>
      <c r="C2236" t="s">
        <v>400</v>
      </c>
      <c r="D2236" s="18">
        <v>44211</v>
      </c>
      <c r="E2236" s="34">
        <v>44208</v>
      </c>
      <c r="F2236" s="18">
        <v>44211</v>
      </c>
      <c r="H2236" s="28" t="s">
        <v>59</v>
      </c>
      <c r="M2236" s="52">
        <v>76.90349772134158</v>
      </c>
    </row>
    <row r="2237" spans="1:13" x14ac:dyDescent="0.35">
      <c r="A2237" s="14" t="s">
        <v>391</v>
      </c>
      <c r="B2237" s="14" t="s">
        <v>377</v>
      </c>
      <c r="C2237" t="s">
        <v>400</v>
      </c>
      <c r="D2237" s="18">
        <v>44211</v>
      </c>
      <c r="E2237" s="34">
        <v>44208</v>
      </c>
      <c r="F2237" s="18">
        <v>44211</v>
      </c>
      <c r="H2237" s="28" t="s">
        <v>360</v>
      </c>
      <c r="M2237" s="52">
        <v>76.90349772134158</v>
      </c>
    </row>
    <row r="2238" spans="1:13" x14ac:dyDescent="0.35">
      <c r="A2238" s="14" t="s">
        <v>391</v>
      </c>
      <c r="B2238" s="14" t="s">
        <v>377</v>
      </c>
      <c r="C2238" t="s">
        <v>395</v>
      </c>
      <c r="D2238" s="18">
        <v>44210</v>
      </c>
      <c r="E2238" s="34">
        <v>44209</v>
      </c>
      <c r="F2238" s="34">
        <v>44215</v>
      </c>
      <c r="H2238" s="28" t="s">
        <v>68</v>
      </c>
      <c r="M2238" s="52">
        <v>59.51963439141533</v>
      </c>
    </row>
    <row r="2239" spans="1:13" x14ac:dyDescent="0.35">
      <c r="A2239" s="14" t="s">
        <v>391</v>
      </c>
      <c r="B2239" s="14" t="s">
        <v>377</v>
      </c>
      <c r="C2239" t="s">
        <v>395</v>
      </c>
      <c r="D2239" s="18">
        <v>44210</v>
      </c>
      <c r="E2239" s="34">
        <v>44209</v>
      </c>
      <c r="F2239" s="34">
        <v>44215</v>
      </c>
      <c r="H2239" s="28" t="s">
        <v>96</v>
      </c>
      <c r="M2239" s="52">
        <v>59.51963439141533</v>
      </c>
    </row>
    <row r="2240" spans="1:13" x14ac:dyDescent="0.35">
      <c r="A2240" s="14" t="s">
        <v>391</v>
      </c>
      <c r="B2240" s="14" t="s">
        <v>377</v>
      </c>
      <c r="C2240" t="s">
        <v>395</v>
      </c>
      <c r="D2240" s="18">
        <v>44210</v>
      </c>
      <c r="E2240" s="34">
        <v>44209</v>
      </c>
      <c r="F2240" s="34">
        <v>44215</v>
      </c>
      <c r="H2240" s="28" t="s">
        <v>96</v>
      </c>
      <c r="M2240" s="52">
        <v>59.51963439141533</v>
      </c>
    </row>
    <row r="2241" spans="1:13" x14ac:dyDescent="0.35">
      <c r="A2241" s="14" t="s">
        <v>391</v>
      </c>
      <c r="B2241" s="14" t="s">
        <v>377</v>
      </c>
      <c r="C2241" t="s">
        <v>395</v>
      </c>
      <c r="D2241" s="18">
        <v>44210</v>
      </c>
      <c r="E2241" s="34">
        <v>44209</v>
      </c>
      <c r="F2241" s="34">
        <v>44215</v>
      </c>
      <c r="H2241" s="28" t="s">
        <v>72</v>
      </c>
      <c r="M2241" s="52">
        <v>59.51963439141533</v>
      </c>
    </row>
    <row r="2242" spans="1:13" x14ac:dyDescent="0.35">
      <c r="A2242" s="14" t="s">
        <v>391</v>
      </c>
      <c r="B2242" s="14" t="s">
        <v>377</v>
      </c>
      <c r="C2242" t="s">
        <v>395</v>
      </c>
      <c r="D2242" s="18">
        <v>44210</v>
      </c>
      <c r="E2242" s="34">
        <v>44209</v>
      </c>
      <c r="F2242" s="34">
        <v>44215</v>
      </c>
      <c r="H2242" s="28" t="s">
        <v>72</v>
      </c>
      <c r="M2242" s="52">
        <v>59.51963439141533</v>
      </c>
    </row>
    <row r="2243" spans="1:13" x14ac:dyDescent="0.35">
      <c r="A2243" s="14" t="s">
        <v>391</v>
      </c>
      <c r="B2243" s="14" t="s">
        <v>377</v>
      </c>
      <c r="C2243" t="s">
        <v>395</v>
      </c>
      <c r="D2243" s="18">
        <v>44210</v>
      </c>
      <c r="E2243" s="34">
        <v>44209</v>
      </c>
      <c r="F2243" s="34">
        <v>44215</v>
      </c>
      <c r="H2243" s="28" t="s">
        <v>41</v>
      </c>
      <c r="K2243" t="s">
        <v>381</v>
      </c>
      <c r="L2243">
        <v>75</v>
      </c>
      <c r="M2243" s="52">
        <v>59.51963439141533</v>
      </c>
    </row>
    <row r="2244" spans="1:13" x14ac:dyDescent="0.35">
      <c r="A2244" s="14" t="s">
        <v>391</v>
      </c>
      <c r="B2244" s="14" t="s">
        <v>377</v>
      </c>
      <c r="C2244" t="s">
        <v>395</v>
      </c>
      <c r="D2244" s="18">
        <v>44210</v>
      </c>
      <c r="E2244" s="34">
        <v>44209</v>
      </c>
      <c r="F2244" s="34">
        <v>44215</v>
      </c>
      <c r="H2244" s="28" t="s">
        <v>39</v>
      </c>
      <c r="K2244" t="s">
        <v>381</v>
      </c>
      <c r="L2244">
        <v>50</v>
      </c>
      <c r="M2244" s="52">
        <v>59.51963439141533</v>
      </c>
    </row>
    <row r="2245" spans="1:13" x14ac:dyDescent="0.35">
      <c r="A2245" s="14" t="s">
        <v>391</v>
      </c>
      <c r="B2245" s="14" t="s">
        <v>377</v>
      </c>
      <c r="C2245" t="s">
        <v>395</v>
      </c>
      <c r="D2245" s="18">
        <v>44210</v>
      </c>
      <c r="E2245" s="34">
        <v>44209</v>
      </c>
      <c r="F2245" s="34">
        <v>44215</v>
      </c>
      <c r="H2245" s="28" t="s">
        <v>44</v>
      </c>
      <c r="M2245" s="52">
        <v>59.51963439141533</v>
      </c>
    </row>
    <row r="2246" spans="1:13" x14ac:dyDescent="0.35">
      <c r="A2246" s="14" t="s">
        <v>391</v>
      </c>
      <c r="B2246" s="14" t="s">
        <v>377</v>
      </c>
      <c r="C2246" t="s">
        <v>395</v>
      </c>
      <c r="D2246" s="18">
        <v>44210</v>
      </c>
      <c r="E2246" s="34">
        <v>44209</v>
      </c>
      <c r="F2246" s="34">
        <v>44215</v>
      </c>
      <c r="H2246" s="28" t="s">
        <v>55</v>
      </c>
      <c r="M2246" s="52">
        <v>59.51963439141533</v>
      </c>
    </row>
    <row r="2247" spans="1:13" x14ac:dyDescent="0.35">
      <c r="A2247" s="14" t="s">
        <v>391</v>
      </c>
      <c r="B2247" s="14" t="s">
        <v>377</v>
      </c>
      <c r="C2247" t="s">
        <v>395</v>
      </c>
      <c r="D2247" s="18">
        <v>44210</v>
      </c>
      <c r="E2247" s="34">
        <v>44209</v>
      </c>
      <c r="F2247" s="34">
        <v>44215</v>
      </c>
      <c r="H2247" s="28" t="s">
        <v>55</v>
      </c>
      <c r="M2247" s="52">
        <v>59.51963439141533</v>
      </c>
    </row>
    <row r="2248" spans="1:13" x14ac:dyDescent="0.35">
      <c r="A2248" s="14" t="s">
        <v>391</v>
      </c>
      <c r="B2248" s="14" t="s">
        <v>377</v>
      </c>
      <c r="C2248" t="s">
        <v>395</v>
      </c>
      <c r="D2248" s="18">
        <v>44210</v>
      </c>
      <c r="E2248" s="34">
        <v>44209</v>
      </c>
      <c r="F2248" s="34">
        <v>44215</v>
      </c>
      <c r="H2248" s="28" t="s">
        <v>125</v>
      </c>
      <c r="M2248" s="52">
        <v>59.51963439141533</v>
      </c>
    </row>
    <row r="2249" spans="1:13" x14ac:dyDescent="0.35">
      <c r="A2249" s="14" t="s">
        <v>391</v>
      </c>
      <c r="B2249" s="14" t="s">
        <v>377</v>
      </c>
      <c r="C2249" t="s">
        <v>395</v>
      </c>
      <c r="D2249" s="18">
        <v>44210</v>
      </c>
      <c r="E2249" s="34">
        <v>44209</v>
      </c>
      <c r="F2249" s="34">
        <v>44215</v>
      </c>
      <c r="H2249" s="28" t="s">
        <v>127</v>
      </c>
      <c r="M2249" s="52">
        <v>59.51963439141533</v>
      </c>
    </row>
    <row r="2250" spans="1:13" x14ac:dyDescent="0.35">
      <c r="A2250" s="14" t="s">
        <v>391</v>
      </c>
      <c r="B2250" s="14" t="s">
        <v>377</v>
      </c>
      <c r="C2250" t="s">
        <v>395</v>
      </c>
      <c r="D2250" s="18">
        <v>44210</v>
      </c>
      <c r="E2250" s="34">
        <v>44209</v>
      </c>
      <c r="F2250" s="34">
        <v>44215</v>
      </c>
      <c r="H2250" s="28" t="s">
        <v>25</v>
      </c>
      <c r="K2250" t="s">
        <v>381</v>
      </c>
      <c r="L2250">
        <v>50</v>
      </c>
      <c r="M2250" s="52">
        <v>59.51963439141533</v>
      </c>
    </row>
    <row r="2251" spans="1:13" x14ac:dyDescent="0.35">
      <c r="A2251" s="14" t="s">
        <v>391</v>
      </c>
      <c r="B2251" s="14" t="s">
        <v>377</v>
      </c>
      <c r="C2251" t="s">
        <v>395</v>
      </c>
      <c r="D2251" s="18">
        <v>44210</v>
      </c>
      <c r="E2251" s="34">
        <v>44209</v>
      </c>
      <c r="F2251" s="34">
        <v>44215</v>
      </c>
      <c r="H2251" s="28" t="s">
        <v>23</v>
      </c>
      <c r="K2251" t="s">
        <v>381</v>
      </c>
      <c r="L2251">
        <v>50</v>
      </c>
      <c r="M2251" s="52">
        <v>59.51963439141533</v>
      </c>
    </row>
    <row r="2252" spans="1:13" x14ac:dyDescent="0.35">
      <c r="A2252" s="14" t="s">
        <v>391</v>
      </c>
      <c r="B2252" s="14" t="s">
        <v>377</v>
      </c>
      <c r="C2252" t="s">
        <v>395</v>
      </c>
      <c r="D2252" s="18">
        <v>44210</v>
      </c>
      <c r="E2252" s="34">
        <v>44209</v>
      </c>
      <c r="F2252" s="34">
        <v>44215</v>
      </c>
      <c r="H2252" s="28" t="s">
        <v>23</v>
      </c>
      <c r="K2252" t="s">
        <v>380</v>
      </c>
      <c r="L2252">
        <v>10</v>
      </c>
      <c r="M2252" s="52">
        <v>59.51963439141533</v>
      </c>
    </row>
    <row r="2253" spans="1:13" x14ac:dyDescent="0.35">
      <c r="A2253" s="14" t="s">
        <v>391</v>
      </c>
      <c r="B2253" s="14" t="s">
        <v>377</v>
      </c>
      <c r="C2253" t="s">
        <v>395</v>
      </c>
      <c r="D2253" s="18">
        <v>44210</v>
      </c>
      <c r="E2253" s="34">
        <v>44209</v>
      </c>
      <c r="F2253" s="34">
        <v>44215</v>
      </c>
      <c r="H2253" s="28" t="s">
        <v>24</v>
      </c>
      <c r="K2253" t="s">
        <v>381</v>
      </c>
      <c r="L2253">
        <v>50</v>
      </c>
      <c r="M2253" s="52">
        <v>59.51963439141533</v>
      </c>
    </row>
    <row r="2254" spans="1:13" x14ac:dyDescent="0.35">
      <c r="A2254" s="14" t="s">
        <v>391</v>
      </c>
      <c r="B2254" s="14" t="s">
        <v>377</v>
      </c>
      <c r="C2254" t="s">
        <v>395</v>
      </c>
      <c r="D2254" s="18">
        <v>44210</v>
      </c>
      <c r="E2254" s="34">
        <v>44209</v>
      </c>
      <c r="F2254" s="34">
        <v>44215</v>
      </c>
      <c r="H2254" s="28" t="s">
        <v>24</v>
      </c>
      <c r="K2254" t="s">
        <v>380</v>
      </c>
      <c r="L2254">
        <v>10</v>
      </c>
      <c r="M2254" s="52">
        <v>59.51963439141533</v>
      </c>
    </row>
    <row r="2255" spans="1:13" x14ac:dyDescent="0.35">
      <c r="A2255" s="14" t="s">
        <v>391</v>
      </c>
      <c r="B2255" s="14" t="s">
        <v>377</v>
      </c>
      <c r="C2255" t="s">
        <v>395</v>
      </c>
      <c r="D2255" s="18">
        <v>44210</v>
      </c>
      <c r="E2255" s="34">
        <v>44209</v>
      </c>
      <c r="F2255" s="34">
        <v>44215</v>
      </c>
      <c r="H2255" s="28" t="s">
        <v>27</v>
      </c>
      <c r="K2255" t="s">
        <v>381</v>
      </c>
      <c r="L2255">
        <v>50</v>
      </c>
      <c r="M2255" s="52">
        <v>59.51963439141533</v>
      </c>
    </row>
    <row r="2256" spans="1:13" x14ac:dyDescent="0.35">
      <c r="A2256" s="14" t="s">
        <v>391</v>
      </c>
      <c r="B2256" s="14" t="s">
        <v>377</v>
      </c>
      <c r="C2256" t="s">
        <v>395</v>
      </c>
      <c r="D2256" s="18">
        <v>44210</v>
      </c>
      <c r="E2256" s="34">
        <v>44209</v>
      </c>
      <c r="F2256" s="34">
        <v>44215</v>
      </c>
      <c r="H2256" s="28" t="s">
        <v>27</v>
      </c>
      <c r="K2256" t="s">
        <v>380</v>
      </c>
      <c r="L2256">
        <v>25</v>
      </c>
      <c r="M2256" s="52">
        <v>59.51963439141533</v>
      </c>
    </row>
    <row r="2257" spans="1:13" x14ac:dyDescent="0.35">
      <c r="A2257" s="14" t="s">
        <v>391</v>
      </c>
      <c r="B2257" s="14" t="s">
        <v>377</v>
      </c>
      <c r="C2257" t="s">
        <v>395</v>
      </c>
      <c r="D2257" s="18">
        <v>44210</v>
      </c>
      <c r="E2257" s="34">
        <v>44209</v>
      </c>
      <c r="F2257" s="34">
        <v>44215</v>
      </c>
      <c r="H2257" s="28" t="s">
        <v>28</v>
      </c>
      <c r="K2257" t="s">
        <v>381</v>
      </c>
      <c r="L2257">
        <v>50</v>
      </c>
      <c r="M2257" s="52">
        <v>59.51963439141533</v>
      </c>
    </row>
    <row r="2258" spans="1:13" x14ac:dyDescent="0.35">
      <c r="A2258" s="14" t="s">
        <v>391</v>
      </c>
      <c r="B2258" s="14" t="s">
        <v>377</v>
      </c>
      <c r="C2258" t="s">
        <v>395</v>
      </c>
      <c r="D2258" s="18">
        <v>44210</v>
      </c>
      <c r="E2258" s="34">
        <v>44209</v>
      </c>
      <c r="F2258" s="34">
        <v>44215</v>
      </c>
      <c r="H2258" s="28" t="s">
        <v>28</v>
      </c>
      <c r="K2258" t="s">
        <v>380</v>
      </c>
      <c r="L2258">
        <v>25</v>
      </c>
      <c r="M2258" s="52">
        <v>59.51963439141533</v>
      </c>
    </row>
    <row r="2259" spans="1:13" x14ac:dyDescent="0.35">
      <c r="A2259" s="14" t="s">
        <v>391</v>
      </c>
      <c r="B2259" s="14" t="s">
        <v>377</v>
      </c>
      <c r="C2259" t="s">
        <v>395</v>
      </c>
      <c r="D2259" s="18">
        <v>44210</v>
      </c>
      <c r="E2259" s="34">
        <v>44209</v>
      </c>
      <c r="F2259" s="34">
        <v>44215</v>
      </c>
      <c r="H2259" s="28" t="s">
        <v>176</v>
      </c>
      <c r="M2259" s="52">
        <v>59.51963439141533</v>
      </c>
    </row>
    <row r="2260" spans="1:13" x14ac:dyDescent="0.35">
      <c r="A2260" s="14" t="s">
        <v>391</v>
      </c>
      <c r="B2260" s="14" t="s">
        <v>377</v>
      </c>
      <c r="C2260" t="s">
        <v>395</v>
      </c>
      <c r="D2260" s="18">
        <v>44210</v>
      </c>
      <c r="E2260" s="34">
        <v>44209</v>
      </c>
      <c r="F2260" s="34">
        <v>44215</v>
      </c>
      <c r="H2260" s="28" t="s">
        <v>176</v>
      </c>
      <c r="M2260" s="52">
        <v>59.51963439141533</v>
      </c>
    </row>
    <row r="2261" spans="1:13" x14ac:dyDescent="0.35">
      <c r="A2261" s="14" t="s">
        <v>391</v>
      </c>
      <c r="B2261" s="14" t="s">
        <v>377</v>
      </c>
      <c r="C2261" t="s">
        <v>395</v>
      </c>
      <c r="D2261" s="18">
        <v>44210</v>
      </c>
      <c r="E2261" s="34">
        <v>44209</v>
      </c>
      <c r="F2261" s="34">
        <v>44215</v>
      </c>
      <c r="H2261" s="28" t="s">
        <v>29</v>
      </c>
      <c r="K2261" t="s">
        <v>381</v>
      </c>
      <c r="L2261">
        <v>50</v>
      </c>
      <c r="M2261" s="52">
        <v>59.51963439141533</v>
      </c>
    </row>
    <row r="2262" spans="1:13" x14ac:dyDescent="0.35">
      <c r="A2262" s="14" t="s">
        <v>391</v>
      </c>
      <c r="B2262" s="14" t="s">
        <v>377</v>
      </c>
      <c r="C2262" t="s">
        <v>395</v>
      </c>
      <c r="D2262" s="18">
        <v>44210</v>
      </c>
      <c r="E2262" s="34">
        <v>44209</v>
      </c>
      <c r="F2262" s="34">
        <v>44215</v>
      </c>
      <c r="H2262" s="28" t="s">
        <v>29</v>
      </c>
      <c r="M2262" s="52">
        <v>59.51963439141533</v>
      </c>
    </row>
    <row r="2263" spans="1:13" x14ac:dyDescent="0.35">
      <c r="A2263" s="14" t="s">
        <v>391</v>
      </c>
      <c r="B2263" s="14" t="s">
        <v>377</v>
      </c>
      <c r="C2263" t="s">
        <v>395</v>
      </c>
      <c r="D2263" s="18">
        <v>44210</v>
      </c>
      <c r="E2263" s="34">
        <v>44209</v>
      </c>
      <c r="F2263" s="34">
        <v>44215</v>
      </c>
      <c r="H2263" s="28" t="s">
        <v>198</v>
      </c>
      <c r="M2263" s="52">
        <v>59.51963439141533</v>
      </c>
    </row>
    <row r="2264" spans="1:13" x14ac:dyDescent="0.35">
      <c r="A2264" s="14" t="s">
        <v>391</v>
      </c>
      <c r="B2264" s="14" t="s">
        <v>377</v>
      </c>
      <c r="C2264" t="s">
        <v>395</v>
      </c>
      <c r="D2264" s="18">
        <v>44210</v>
      </c>
      <c r="E2264" s="34">
        <v>44209</v>
      </c>
      <c r="F2264" s="34">
        <v>44215</v>
      </c>
      <c r="H2264" s="28" t="s">
        <v>393</v>
      </c>
      <c r="M2264" s="52">
        <v>59.51963439141533</v>
      </c>
    </row>
    <row r="2265" spans="1:13" x14ac:dyDescent="0.35">
      <c r="A2265" s="14" t="s">
        <v>391</v>
      </c>
      <c r="B2265" s="14" t="s">
        <v>377</v>
      </c>
      <c r="C2265" t="s">
        <v>395</v>
      </c>
      <c r="D2265" s="18">
        <v>44210</v>
      </c>
      <c r="E2265" s="34">
        <v>44209</v>
      </c>
      <c r="F2265" s="34">
        <v>44215</v>
      </c>
      <c r="H2265" s="28" t="s">
        <v>204</v>
      </c>
      <c r="M2265" s="52">
        <v>59.51963439141533</v>
      </c>
    </row>
    <row r="2266" spans="1:13" x14ac:dyDescent="0.35">
      <c r="A2266" s="14" t="s">
        <v>391</v>
      </c>
      <c r="B2266" s="14" t="s">
        <v>377</v>
      </c>
      <c r="C2266" t="s">
        <v>395</v>
      </c>
      <c r="D2266" s="18">
        <v>44210</v>
      </c>
      <c r="E2266" s="34">
        <v>44209</v>
      </c>
      <c r="F2266" s="34">
        <v>44215</v>
      </c>
      <c r="H2266" s="28" t="s">
        <v>210</v>
      </c>
      <c r="M2266" s="52">
        <v>59.51963439141533</v>
      </c>
    </row>
    <row r="2267" spans="1:13" x14ac:dyDescent="0.35">
      <c r="A2267" s="14" t="s">
        <v>391</v>
      </c>
      <c r="B2267" s="14" t="s">
        <v>377</v>
      </c>
      <c r="C2267" t="s">
        <v>395</v>
      </c>
      <c r="D2267" s="18">
        <v>44210</v>
      </c>
      <c r="E2267" s="34">
        <v>44209</v>
      </c>
      <c r="F2267" s="34">
        <v>44215</v>
      </c>
      <c r="H2267" s="28" t="s">
        <v>223</v>
      </c>
      <c r="M2267" s="52">
        <v>59.51963439141533</v>
      </c>
    </row>
    <row r="2268" spans="1:13" x14ac:dyDescent="0.35">
      <c r="A2268" s="14" t="s">
        <v>391</v>
      </c>
      <c r="B2268" s="14" t="s">
        <v>377</v>
      </c>
      <c r="C2268" t="s">
        <v>395</v>
      </c>
      <c r="D2268" s="18">
        <v>44210</v>
      </c>
      <c r="E2268" s="34">
        <v>44209</v>
      </c>
      <c r="F2268" s="34">
        <v>44215</v>
      </c>
      <c r="H2268" s="28" t="s">
        <v>284</v>
      </c>
      <c r="M2268" s="52">
        <v>59.51963439141533</v>
      </c>
    </row>
    <row r="2269" spans="1:13" x14ac:dyDescent="0.35">
      <c r="A2269" s="14" t="s">
        <v>391</v>
      </c>
      <c r="B2269" s="14" t="s">
        <v>377</v>
      </c>
      <c r="C2269" t="s">
        <v>395</v>
      </c>
      <c r="D2269" s="18">
        <v>44210</v>
      </c>
      <c r="E2269" s="34">
        <v>44209</v>
      </c>
      <c r="F2269" s="34">
        <v>44215</v>
      </c>
      <c r="H2269" s="28" t="s">
        <v>284</v>
      </c>
      <c r="M2269" s="52">
        <v>59.51963439141533</v>
      </c>
    </row>
    <row r="2270" spans="1:13" x14ac:dyDescent="0.35">
      <c r="A2270" s="14" t="s">
        <v>391</v>
      </c>
      <c r="B2270" s="14" t="s">
        <v>377</v>
      </c>
      <c r="C2270" t="s">
        <v>395</v>
      </c>
      <c r="D2270" s="18">
        <v>44210</v>
      </c>
      <c r="E2270" s="34">
        <v>44209</v>
      </c>
      <c r="F2270" s="34">
        <v>44215</v>
      </c>
      <c r="H2270" s="28" t="s">
        <v>313</v>
      </c>
      <c r="K2270" t="s">
        <v>381</v>
      </c>
      <c r="L2270">
        <v>75</v>
      </c>
      <c r="M2270" s="52">
        <v>59.51963439141533</v>
      </c>
    </row>
    <row r="2271" spans="1:13" x14ac:dyDescent="0.35">
      <c r="A2271" s="14" t="s">
        <v>391</v>
      </c>
      <c r="B2271" s="14" t="s">
        <v>377</v>
      </c>
      <c r="C2271" t="s">
        <v>395</v>
      </c>
      <c r="D2271" s="18">
        <v>44210</v>
      </c>
      <c r="E2271" s="34">
        <v>44209</v>
      </c>
      <c r="F2271" s="34">
        <v>44215</v>
      </c>
      <c r="H2271" s="28" t="s">
        <v>315</v>
      </c>
      <c r="K2271" t="s">
        <v>381</v>
      </c>
      <c r="L2271">
        <v>50</v>
      </c>
      <c r="M2271" s="52">
        <v>59.51963439141533</v>
      </c>
    </row>
    <row r="2272" spans="1:13" x14ac:dyDescent="0.35">
      <c r="A2272" s="14" t="s">
        <v>391</v>
      </c>
      <c r="B2272" s="14" t="s">
        <v>377</v>
      </c>
      <c r="C2272" t="s">
        <v>395</v>
      </c>
      <c r="D2272" s="18">
        <v>44210</v>
      </c>
      <c r="E2272" s="34">
        <v>44209</v>
      </c>
      <c r="F2272" s="34">
        <v>44215</v>
      </c>
      <c r="H2272" s="28" t="s">
        <v>32</v>
      </c>
      <c r="K2272" t="s">
        <v>380</v>
      </c>
      <c r="L2272">
        <v>10</v>
      </c>
      <c r="M2272" s="52">
        <v>59.51963439141533</v>
      </c>
    </row>
    <row r="2273" spans="1:13" x14ac:dyDescent="0.35">
      <c r="A2273" s="14" t="s">
        <v>391</v>
      </c>
      <c r="B2273" s="14" t="s">
        <v>377</v>
      </c>
      <c r="C2273" t="s">
        <v>395</v>
      </c>
      <c r="D2273" s="18">
        <v>44210</v>
      </c>
      <c r="E2273" s="34">
        <v>44209</v>
      </c>
      <c r="F2273" s="34">
        <v>44215</v>
      </c>
      <c r="H2273" s="28" t="s">
        <v>335</v>
      </c>
      <c r="M2273" s="52">
        <v>59.51963439141533</v>
      </c>
    </row>
    <row r="2274" spans="1:13" x14ac:dyDescent="0.35">
      <c r="A2274" s="14" t="s">
        <v>391</v>
      </c>
      <c r="B2274" s="14" t="s">
        <v>377</v>
      </c>
      <c r="C2274" t="s">
        <v>395</v>
      </c>
      <c r="D2274" s="18">
        <v>44210</v>
      </c>
      <c r="E2274" s="34">
        <v>44209</v>
      </c>
      <c r="F2274" s="34">
        <v>44215</v>
      </c>
      <c r="H2274" s="28" t="s">
        <v>261</v>
      </c>
      <c r="M2274" s="52">
        <v>59.52</v>
      </c>
    </row>
    <row r="2275" spans="1:13" x14ac:dyDescent="0.35">
      <c r="A2275" s="14" t="s">
        <v>391</v>
      </c>
      <c r="B2275" s="14" t="s">
        <v>377</v>
      </c>
      <c r="C2275" t="s">
        <v>394</v>
      </c>
      <c r="D2275" s="18">
        <v>44210</v>
      </c>
      <c r="E2275" s="18">
        <v>44209</v>
      </c>
      <c r="F2275" s="34">
        <v>44215</v>
      </c>
      <c r="H2275" s="28" t="s">
        <v>60</v>
      </c>
      <c r="K2275" t="s">
        <v>380</v>
      </c>
      <c r="L2275">
        <v>6</v>
      </c>
      <c r="M2275" s="52">
        <v>100</v>
      </c>
    </row>
    <row r="2276" spans="1:13" x14ac:dyDescent="0.35">
      <c r="A2276" s="14" t="s">
        <v>391</v>
      </c>
      <c r="B2276" s="14" t="s">
        <v>377</v>
      </c>
      <c r="C2276" t="s">
        <v>394</v>
      </c>
      <c r="D2276" s="18">
        <v>44210</v>
      </c>
      <c r="E2276" s="18">
        <v>44209</v>
      </c>
      <c r="F2276" s="34">
        <v>44215</v>
      </c>
      <c r="H2276" s="28" t="s">
        <v>188</v>
      </c>
      <c r="M2276" s="52">
        <v>100</v>
      </c>
    </row>
    <row r="2277" spans="1:13" x14ac:dyDescent="0.35">
      <c r="A2277" s="14" t="s">
        <v>391</v>
      </c>
      <c r="B2277" s="14" t="s">
        <v>377</v>
      </c>
      <c r="C2277" t="s">
        <v>394</v>
      </c>
      <c r="D2277" s="18">
        <v>44210</v>
      </c>
      <c r="E2277" s="18">
        <v>44209</v>
      </c>
      <c r="F2277" s="34">
        <v>44215</v>
      </c>
      <c r="H2277" s="28" t="s">
        <v>192</v>
      </c>
      <c r="M2277" s="52">
        <v>100</v>
      </c>
    </row>
    <row r="2278" spans="1:13" x14ac:dyDescent="0.35">
      <c r="A2278" s="14" t="s">
        <v>391</v>
      </c>
      <c r="B2278" s="14" t="s">
        <v>377</v>
      </c>
      <c r="C2278" t="s">
        <v>394</v>
      </c>
      <c r="D2278" s="18">
        <v>44210</v>
      </c>
      <c r="E2278" s="18">
        <v>44209</v>
      </c>
      <c r="F2278" s="34">
        <v>44215</v>
      </c>
      <c r="H2278" s="28" t="s">
        <v>230</v>
      </c>
      <c r="M2278" s="52">
        <v>100</v>
      </c>
    </row>
    <row r="2279" spans="1:13" x14ac:dyDescent="0.35">
      <c r="A2279" s="14" t="s">
        <v>391</v>
      </c>
      <c r="B2279" s="14" t="s">
        <v>377</v>
      </c>
      <c r="C2279" t="s">
        <v>394</v>
      </c>
      <c r="D2279" s="18">
        <v>44210</v>
      </c>
      <c r="E2279" s="18">
        <v>44209</v>
      </c>
      <c r="F2279" s="34">
        <v>44215</v>
      </c>
      <c r="H2279" s="28" t="s">
        <v>305</v>
      </c>
      <c r="M2279" s="52">
        <v>100</v>
      </c>
    </row>
    <row r="2280" spans="1:13" x14ac:dyDescent="0.35">
      <c r="A2280" s="14" t="s">
        <v>391</v>
      </c>
      <c r="B2280" s="14" t="s">
        <v>377</v>
      </c>
      <c r="C2280" t="s">
        <v>394</v>
      </c>
      <c r="D2280" s="18">
        <v>44210</v>
      </c>
      <c r="E2280" s="18">
        <v>44209</v>
      </c>
      <c r="F2280" s="34">
        <v>44215</v>
      </c>
      <c r="H2280" s="28" t="s">
        <v>28</v>
      </c>
      <c r="K2280" t="s">
        <v>380</v>
      </c>
      <c r="L2280">
        <v>100</v>
      </c>
      <c r="M2280" s="52">
        <v>100</v>
      </c>
    </row>
    <row r="2281" spans="1:13" x14ac:dyDescent="0.35">
      <c r="A2281" s="14" t="s">
        <v>391</v>
      </c>
      <c r="B2281" s="14" t="s">
        <v>377</v>
      </c>
      <c r="C2281" t="s">
        <v>394</v>
      </c>
      <c r="D2281" s="18">
        <v>44210</v>
      </c>
      <c r="E2281" s="18">
        <v>44209</v>
      </c>
      <c r="F2281" s="34">
        <v>44215</v>
      </c>
      <c r="H2281" s="28" t="s">
        <v>27</v>
      </c>
      <c r="K2281" t="s">
        <v>381</v>
      </c>
      <c r="L2281">
        <v>40</v>
      </c>
      <c r="M2281" s="52">
        <v>100</v>
      </c>
    </row>
    <row r="2282" spans="1:13" x14ac:dyDescent="0.35">
      <c r="A2282" s="14" t="s">
        <v>391</v>
      </c>
      <c r="B2282" s="14" t="s">
        <v>377</v>
      </c>
      <c r="C2282" t="s">
        <v>394</v>
      </c>
      <c r="D2282" s="18">
        <v>44210</v>
      </c>
      <c r="E2282" s="18">
        <v>44209</v>
      </c>
      <c r="F2282" s="34">
        <v>44215</v>
      </c>
      <c r="H2282" s="28" t="s">
        <v>204</v>
      </c>
      <c r="M2282" s="52">
        <v>100</v>
      </c>
    </row>
    <row r="2283" spans="1:13" x14ac:dyDescent="0.35">
      <c r="A2283" s="14" t="s">
        <v>391</v>
      </c>
      <c r="B2283" s="14" t="s">
        <v>377</v>
      </c>
      <c r="C2283" t="s">
        <v>394</v>
      </c>
      <c r="D2283" s="18">
        <v>44210</v>
      </c>
      <c r="E2283" s="18">
        <v>44209</v>
      </c>
      <c r="F2283" s="34">
        <v>44215</v>
      </c>
      <c r="H2283" s="28" t="s">
        <v>393</v>
      </c>
      <c r="M2283" s="52">
        <v>100</v>
      </c>
    </row>
    <row r="2284" spans="1:13" x14ac:dyDescent="0.35">
      <c r="A2284" s="14" t="s">
        <v>391</v>
      </c>
      <c r="B2284" s="14" t="s">
        <v>377</v>
      </c>
      <c r="C2284" t="s">
        <v>394</v>
      </c>
      <c r="D2284" s="18">
        <v>44210</v>
      </c>
      <c r="E2284" s="18">
        <v>44209</v>
      </c>
      <c r="F2284" s="34">
        <v>44215</v>
      </c>
      <c r="H2284" s="28" t="s">
        <v>198</v>
      </c>
      <c r="M2284" s="52">
        <v>100</v>
      </c>
    </row>
    <row r="2285" spans="1:13" x14ac:dyDescent="0.35">
      <c r="A2285" s="14" t="s">
        <v>391</v>
      </c>
      <c r="B2285" s="14" t="s">
        <v>377</v>
      </c>
      <c r="C2285" t="s">
        <v>394</v>
      </c>
      <c r="D2285" s="18">
        <v>44210</v>
      </c>
      <c r="E2285" s="18">
        <v>44209</v>
      </c>
      <c r="F2285" s="34">
        <v>44215</v>
      </c>
      <c r="H2285" s="28" t="s">
        <v>210</v>
      </c>
      <c r="M2285" s="52">
        <v>100</v>
      </c>
    </row>
    <row r="2286" spans="1:13" x14ac:dyDescent="0.35">
      <c r="A2286" s="14" t="s">
        <v>391</v>
      </c>
      <c r="B2286" s="14" t="s">
        <v>377</v>
      </c>
      <c r="C2286" t="s">
        <v>394</v>
      </c>
      <c r="D2286" s="18">
        <v>44210</v>
      </c>
      <c r="E2286" s="18">
        <v>44209</v>
      </c>
      <c r="F2286" s="34">
        <v>44215</v>
      </c>
      <c r="H2286" s="28" t="s">
        <v>23</v>
      </c>
      <c r="K2286" t="s">
        <v>380</v>
      </c>
      <c r="L2286">
        <v>6</v>
      </c>
      <c r="M2286" s="52">
        <v>100</v>
      </c>
    </row>
    <row r="2287" spans="1:13" x14ac:dyDescent="0.35">
      <c r="A2287" s="14" t="s">
        <v>391</v>
      </c>
      <c r="B2287" s="14" t="s">
        <v>377</v>
      </c>
      <c r="C2287" t="s">
        <v>394</v>
      </c>
      <c r="D2287" s="18">
        <v>44210</v>
      </c>
      <c r="E2287" s="18">
        <v>44209</v>
      </c>
      <c r="F2287" s="34">
        <v>44215</v>
      </c>
      <c r="H2287" s="28" t="s">
        <v>24</v>
      </c>
      <c r="K2287" t="s">
        <v>380</v>
      </c>
      <c r="L2287">
        <v>6</v>
      </c>
      <c r="M2287" s="52">
        <v>100</v>
      </c>
    </row>
    <row r="2288" spans="1:13" x14ac:dyDescent="0.35">
      <c r="A2288" s="14" t="s">
        <v>391</v>
      </c>
      <c r="B2288" s="14" t="s">
        <v>377</v>
      </c>
      <c r="C2288" t="s">
        <v>394</v>
      </c>
      <c r="D2288" s="18">
        <v>44210</v>
      </c>
      <c r="E2288" s="18">
        <v>44209</v>
      </c>
      <c r="F2288" s="34">
        <v>44215</v>
      </c>
      <c r="H2288" s="28" t="s">
        <v>150</v>
      </c>
      <c r="M2288" s="52">
        <v>100</v>
      </c>
    </row>
    <row r="2289" spans="1:13" x14ac:dyDescent="0.35">
      <c r="A2289" s="14" t="s">
        <v>391</v>
      </c>
      <c r="B2289" s="14" t="s">
        <v>377</v>
      </c>
      <c r="C2289" t="s">
        <v>394</v>
      </c>
      <c r="D2289" s="18">
        <v>44210</v>
      </c>
      <c r="E2289" s="18">
        <v>44209</v>
      </c>
      <c r="F2289" s="34">
        <v>44215</v>
      </c>
      <c r="H2289" s="28" t="s">
        <v>127</v>
      </c>
      <c r="M2289" s="52">
        <v>100</v>
      </c>
    </row>
    <row r="2290" spans="1:13" x14ac:dyDescent="0.35">
      <c r="A2290" s="14" t="s">
        <v>391</v>
      </c>
      <c r="B2290" s="14" t="s">
        <v>377</v>
      </c>
      <c r="C2290" t="s">
        <v>394</v>
      </c>
      <c r="D2290" s="18">
        <v>44210</v>
      </c>
      <c r="E2290" s="18">
        <v>44209</v>
      </c>
      <c r="F2290" s="34">
        <v>44215</v>
      </c>
      <c r="H2290" s="28" t="s">
        <v>123</v>
      </c>
      <c r="M2290" s="52">
        <v>100</v>
      </c>
    </row>
    <row r="2291" spans="1:13" x14ac:dyDescent="0.35">
      <c r="A2291" s="14" t="s">
        <v>391</v>
      </c>
      <c r="B2291" s="14" t="s">
        <v>377</v>
      </c>
      <c r="C2291" t="s">
        <v>394</v>
      </c>
      <c r="D2291" s="18">
        <v>44210</v>
      </c>
      <c r="E2291" s="18">
        <v>44209</v>
      </c>
      <c r="F2291" s="34">
        <v>44215</v>
      </c>
      <c r="H2291" s="28" t="s">
        <v>31</v>
      </c>
      <c r="K2291" t="s">
        <v>381</v>
      </c>
      <c r="L2291">
        <v>50</v>
      </c>
      <c r="M2291" s="52">
        <v>100</v>
      </c>
    </row>
    <row r="2292" spans="1:13" x14ac:dyDescent="0.35">
      <c r="A2292" s="14" t="s">
        <v>391</v>
      </c>
      <c r="B2292" s="14" t="s">
        <v>377</v>
      </c>
      <c r="C2292" t="s">
        <v>394</v>
      </c>
      <c r="D2292" s="18">
        <v>44210</v>
      </c>
      <c r="E2292" s="18">
        <v>44209</v>
      </c>
      <c r="F2292" s="34">
        <v>44215</v>
      </c>
      <c r="H2292" s="28" t="s">
        <v>368</v>
      </c>
      <c r="K2292" t="s">
        <v>380</v>
      </c>
      <c r="L2292">
        <v>6</v>
      </c>
      <c r="M2292" s="52">
        <v>100</v>
      </c>
    </row>
    <row r="2293" spans="1:13" x14ac:dyDescent="0.35">
      <c r="A2293" s="14" t="s">
        <v>391</v>
      </c>
      <c r="B2293" s="14" t="s">
        <v>377</v>
      </c>
      <c r="C2293" t="s">
        <v>394</v>
      </c>
      <c r="D2293" s="18">
        <v>44210</v>
      </c>
      <c r="E2293" s="18">
        <v>44209</v>
      </c>
      <c r="F2293" s="34">
        <v>44215</v>
      </c>
      <c r="H2293" s="28" t="s">
        <v>41</v>
      </c>
      <c r="K2293" t="s">
        <v>381</v>
      </c>
      <c r="L2293">
        <v>50</v>
      </c>
      <c r="M2293" s="52">
        <v>100</v>
      </c>
    </row>
    <row r="2294" spans="1:13" x14ac:dyDescent="0.35">
      <c r="A2294" s="14" t="s">
        <v>391</v>
      </c>
      <c r="B2294" s="14" t="s">
        <v>377</v>
      </c>
      <c r="C2294" t="s">
        <v>394</v>
      </c>
      <c r="D2294" s="18">
        <v>44210</v>
      </c>
      <c r="E2294" s="18">
        <v>44209</v>
      </c>
      <c r="F2294" s="34">
        <v>44215</v>
      </c>
      <c r="H2294" s="28" t="s">
        <v>39</v>
      </c>
      <c r="K2294" t="s">
        <v>381</v>
      </c>
      <c r="L2294">
        <v>25</v>
      </c>
      <c r="M2294" s="52">
        <v>100</v>
      </c>
    </row>
    <row r="2295" spans="1:13" x14ac:dyDescent="0.35">
      <c r="A2295" s="14" t="s">
        <v>391</v>
      </c>
      <c r="B2295" s="14" t="s">
        <v>377</v>
      </c>
      <c r="C2295" t="s">
        <v>394</v>
      </c>
      <c r="D2295" s="18">
        <v>44210</v>
      </c>
      <c r="E2295" s="18">
        <v>44209</v>
      </c>
      <c r="F2295" s="34">
        <v>44215</v>
      </c>
      <c r="H2295" s="28" t="s">
        <v>96</v>
      </c>
      <c r="M2295" s="52">
        <v>100</v>
      </c>
    </row>
    <row r="2296" spans="1:13" x14ac:dyDescent="0.35">
      <c r="A2296" s="14" t="s">
        <v>391</v>
      </c>
      <c r="B2296" s="14" t="s">
        <v>377</v>
      </c>
      <c r="C2296" t="s">
        <v>394</v>
      </c>
      <c r="D2296" s="18">
        <v>44210</v>
      </c>
      <c r="E2296" s="18">
        <v>44209</v>
      </c>
      <c r="F2296" s="34">
        <v>44215</v>
      </c>
      <c r="H2296" s="28" t="s">
        <v>287</v>
      </c>
      <c r="K2296" t="s">
        <v>1345</v>
      </c>
      <c r="L2296" t="s">
        <v>1346</v>
      </c>
      <c r="M2296" s="52">
        <v>100</v>
      </c>
    </row>
    <row r="2297" spans="1:13" x14ac:dyDescent="0.35">
      <c r="A2297" s="14" t="s">
        <v>391</v>
      </c>
      <c r="B2297" s="14" t="s">
        <v>377</v>
      </c>
      <c r="C2297" t="s">
        <v>394</v>
      </c>
      <c r="D2297" s="18">
        <v>44210</v>
      </c>
      <c r="E2297" s="18">
        <v>44209</v>
      </c>
      <c r="F2297" s="34">
        <v>44215</v>
      </c>
      <c r="H2297" s="28" t="s">
        <v>345</v>
      </c>
      <c r="K2297" t="s">
        <v>381</v>
      </c>
      <c r="L2297">
        <v>50</v>
      </c>
      <c r="M2297" s="52">
        <v>100</v>
      </c>
    </row>
    <row r="2298" spans="1:13" x14ac:dyDescent="0.35">
      <c r="A2298" s="14" t="s">
        <v>391</v>
      </c>
      <c r="B2298" s="14" t="s">
        <v>377</v>
      </c>
      <c r="C2298" t="s">
        <v>394</v>
      </c>
      <c r="D2298" s="18">
        <v>44210</v>
      </c>
      <c r="E2298" s="18">
        <v>44209</v>
      </c>
      <c r="F2298" s="34">
        <v>44215</v>
      </c>
      <c r="H2298" s="28" t="s">
        <v>166</v>
      </c>
      <c r="M2298" s="52">
        <v>100</v>
      </c>
    </row>
    <row r="2299" spans="1:13" x14ac:dyDescent="0.35">
      <c r="A2299" s="14" t="s">
        <v>391</v>
      </c>
      <c r="B2299" s="14" t="s">
        <v>377</v>
      </c>
      <c r="C2299" t="s">
        <v>394</v>
      </c>
      <c r="D2299" s="18">
        <v>44210</v>
      </c>
      <c r="E2299" s="18">
        <v>44209</v>
      </c>
      <c r="F2299" s="34">
        <v>44215</v>
      </c>
      <c r="H2299" s="28" t="s">
        <v>68</v>
      </c>
      <c r="M2299" s="52">
        <v>100</v>
      </c>
    </row>
    <row r="2300" spans="1:13" x14ac:dyDescent="0.35">
      <c r="A2300" s="14" t="s">
        <v>391</v>
      </c>
      <c r="B2300" s="14" t="s">
        <v>377</v>
      </c>
      <c r="C2300" t="s">
        <v>394</v>
      </c>
      <c r="D2300" s="18">
        <v>44210</v>
      </c>
      <c r="E2300" s="18">
        <v>44209</v>
      </c>
      <c r="F2300" s="34">
        <v>44215</v>
      </c>
      <c r="H2300" s="28" t="s">
        <v>259</v>
      </c>
      <c r="K2300" t="s">
        <v>1345</v>
      </c>
      <c r="L2300" t="s">
        <v>1348</v>
      </c>
      <c r="M2300" s="52">
        <v>100</v>
      </c>
    </row>
    <row r="2301" spans="1:13" x14ac:dyDescent="0.35">
      <c r="A2301" s="14" t="s">
        <v>391</v>
      </c>
      <c r="B2301" s="14" t="s">
        <v>377</v>
      </c>
      <c r="C2301" t="s">
        <v>394</v>
      </c>
      <c r="D2301" s="18">
        <v>44210</v>
      </c>
      <c r="E2301" s="18">
        <v>44209</v>
      </c>
      <c r="F2301" s="34">
        <v>44215</v>
      </c>
      <c r="H2301" s="28" t="s">
        <v>261</v>
      </c>
      <c r="M2301" s="52">
        <v>100</v>
      </c>
    </row>
    <row r="2302" spans="1:13" x14ac:dyDescent="0.35">
      <c r="A2302" s="14" t="s">
        <v>391</v>
      </c>
      <c r="B2302" s="14" t="s">
        <v>377</v>
      </c>
      <c r="C2302" t="s">
        <v>394</v>
      </c>
      <c r="D2302" s="18">
        <v>44210</v>
      </c>
      <c r="E2302" s="18">
        <v>44209</v>
      </c>
      <c r="F2302" s="34">
        <v>44215</v>
      </c>
      <c r="H2302" s="28" t="s">
        <v>418</v>
      </c>
      <c r="M2302" s="52">
        <v>100</v>
      </c>
    </row>
    <row r="2303" spans="1:13" x14ac:dyDescent="0.35">
      <c r="A2303" s="14" t="s">
        <v>391</v>
      </c>
      <c r="B2303" s="14" t="s">
        <v>377</v>
      </c>
      <c r="C2303" t="s">
        <v>392</v>
      </c>
      <c r="D2303" s="18">
        <v>44212</v>
      </c>
      <c r="E2303" s="18">
        <v>44210</v>
      </c>
      <c r="F2303" s="34">
        <v>44212</v>
      </c>
      <c r="H2303" s="28" t="s">
        <v>96</v>
      </c>
      <c r="M2303" s="52">
        <v>32.426702972177928</v>
      </c>
    </row>
    <row r="2304" spans="1:13" x14ac:dyDescent="0.35">
      <c r="A2304" s="14" t="s">
        <v>391</v>
      </c>
      <c r="B2304" s="14" t="s">
        <v>377</v>
      </c>
      <c r="C2304" t="s">
        <v>392</v>
      </c>
      <c r="D2304" s="18">
        <v>44212</v>
      </c>
      <c r="E2304" s="18">
        <v>44210</v>
      </c>
      <c r="F2304" s="34">
        <v>44212</v>
      </c>
      <c r="H2304" s="28" t="s">
        <v>72</v>
      </c>
      <c r="M2304" s="52">
        <v>32.426702972177928</v>
      </c>
    </row>
    <row r="2305" spans="1:13" x14ac:dyDescent="0.35">
      <c r="A2305" s="14" t="s">
        <v>391</v>
      </c>
      <c r="B2305" s="14" t="s">
        <v>377</v>
      </c>
      <c r="C2305" t="s">
        <v>392</v>
      </c>
      <c r="D2305" s="18">
        <v>44212</v>
      </c>
      <c r="E2305" s="18">
        <v>44210</v>
      </c>
      <c r="F2305" s="34">
        <v>44212</v>
      </c>
      <c r="H2305" s="28" t="s">
        <v>47</v>
      </c>
      <c r="K2305" t="s">
        <v>381</v>
      </c>
      <c r="L2305">
        <v>20</v>
      </c>
      <c r="M2305" s="52">
        <v>32.426702972177928</v>
      </c>
    </row>
    <row r="2306" spans="1:13" x14ac:dyDescent="0.35">
      <c r="A2306" s="14" t="s">
        <v>391</v>
      </c>
      <c r="B2306" s="14" t="s">
        <v>377</v>
      </c>
      <c r="C2306" t="s">
        <v>392</v>
      </c>
      <c r="D2306" s="18">
        <v>44212</v>
      </c>
      <c r="E2306" s="18">
        <v>44210</v>
      </c>
      <c r="F2306" s="34">
        <v>44212</v>
      </c>
      <c r="H2306" s="28" t="s">
        <v>50</v>
      </c>
      <c r="K2306" t="s">
        <v>381</v>
      </c>
      <c r="L2306">
        <v>50</v>
      </c>
      <c r="M2306" s="52">
        <v>32.426702972177928</v>
      </c>
    </row>
    <row r="2307" spans="1:13" x14ac:dyDescent="0.35">
      <c r="A2307" s="14" t="s">
        <v>391</v>
      </c>
      <c r="B2307" s="14" t="s">
        <v>377</v>
      </c>
      <c r="C2307" t="s">
        <v>392</v>
      </c>
      <c r="D2307" s="18">
        <v>44212</v>
      </c>
      <c r="E2307" s="18">
        <v>44210</v>
      </c>
      <c r="F2307" s="34">
        <v>44212</v>
      </c>
      <c r="H2307" s="28" t="s">
        <v>41</v>
      </c>
      <c r="K2307" t="s">
        <v>381</v>
      </c>
      <c r="L2307">
        <v>50</v>
      </c>
      <c r="M2307" s="52">
        <v>32.426702972177928</v>
      </c>
    </row>
    <row r="2308" spans="1:13" x14ac:dyDescent="0.35">
      <c r="A2308" s="14" t="s">
        <v>391</v>
      </c>
      <c r="B2308" s="14" t="s">
        <v>377</v>
      </c>
      <c r="C2308" t="s">
        <v>392</v>
      </c>
      <c r="D2308" s="18">
        <v>44212</v>
      </c>
      <c r="E2308" s="18">
        <v>44210</v>
      </c>
      <c r="F2308" s="34">
        <v>44212</v>
      </c>
      <c r="H2308" s="28" t="s">
        <v>116</v>
      </c>
      <c r="K2308" t="s">
        <v>381</v>
      </c>
      <c r="L2308">
        <v>25</v>
      </c>
      <c r="M2308" s="52">
        <v>32.426702972177928</v>
      </c>
    </row>
    <row r="2309" spans="1:13" x14ac:dyDescent="0.35">
      <c r="A2309" s="14" t="s">
        <v>391</v>
      </c>
      <c r="B2309" s="14" t="s">
        <v>377</v>
      </c>
      <c r="C2309" t="s">
        <v>392</v>
      </c>
      <c r="D2309" s="18">
        <v>44212</v>
      </c>
      <c r="E2309" s="18">
        <v>44210</v>
      </c>
      <c r="F2309" s="34">
        <v>44212</v>
      </c>
      <c r="H2309" s="28" t="s">
        <v>42</v>
      </c>
      <c r="K2309" t="s">
        <v>380</v>
      </c>
      <c r="L2309">
        <v>6</v>
      </c>
      <c r="M2309" s="52">
        <v>32.426702972177928</v>
      </c>
    </row>
    <row r="2310" spans="1:13" x14ac:dyDescent="0.35">
      <c r="A2310" s="14" t="s">
        <v>391</v>
      </c>
      <c r="B2310" s="14" t="s">
        <v>377</v>
      </c>
      <c r="C2310" t="s">
        <v>392</v>
      </c>
      <c r="D2310" s="18">
        <v>44212</v>
      </c>
      <c r="E2310" s="18">
        <v>44210</v>
      </c>
      <c r="F2310" s="34">
        <v>44212</v>
      </c>
      <c r="H2310" s="28" t="s">
        <v>25</v>
      </c>
      <c r="K2310" t="s">
        <v>381</v>
      </c>
      <c r="L2310">
        <v>40</v>
      </c>
      <c r="M2310" s="52">
        <v>32.426702972177928</v>
      </c>
    </row>
    <row r="2311" spans="1:13" x14ac:dyDescent="0.35">
      <c r="A2311" s="14" t="s">
        <v>391</v>
      </c>
      <c r="B2311" s="14" t="s">
        <v>377</v>
      </c>
      <c r="C2311" t="s">
        <v>392</v>
      </c>
      <c r="D2311" s="18">
        <v>44212</v>
      </c>
      <c r="E2311" s="18">
        <v>44210</v>
      </c>
      <c r="F2311" s="34">
        <v>44212</v>
      </c>
      <c r="H2311" s="28" t="s">
        <v>23</v>
      </c>
      <c r="K2311" t="s">
        <v>380</v>
      </c>
      <c r="L2311">
        <v>6</v>
      </c>
      <c r="M2311" s="52">
        <v>32.426702972177928</v>
      </c>
    </row>
    <row r="2312" spans="1:13" x14ac:dyDescent="0.35">
      <c r="A2312" s="14" t="s">
        <v>391</v>
      </c>
      <c r="B2312" s="14" t="s">
        <v>377</v>
      </c>
      <c r="C2312" t="s">
        <v>392</v>
      </c>
      <c r="D2312" s="18">
        <v>44212</v>
      </c>
      <c r="E2312" s="18">
        <v>44210</v>
      </c>
      <c r="F2312" s="34">
        <v>44212</v>
      </c>
      <c r="H2312" s="28" t="s">
        <v>24</v>
      </c>
      <c r="K2312" t="s">
        <v>380</v>
      </c>
      <c r="L2312">
        <v>6</v>
      </c>
      <c r="M2312" s="52">
        <v>32.426702972177928</v>
      </c>
    </row>
    <row r="2313" spans="1:13" x14ac:dyDescent="0.35">
      <c r="A2313" s="14" t="s">
        <v>391</v>
      </c>
      <c r="B2313" s="14" t="s">
        <v>377</v>
      </c>
      <c r="C2313" t="s">
        <v>392</v>
      </c>
      <c r="D2313" s="18">
        <v>44212</v>
      </c>
      <c r="E2313" s="18">
        <v>44210</v>
      </c>
      <c r="F2313" s="34">
        <v>44212</v>
      </c>
      <c r="H2313" s="28" t="s">
        <v>30</v>
      </c>
      <c r="K2313" t="s">
        <v>381</v>
      </c>
      <c r="L2313">
        <v>33</v>
      </c>
      <c r="M2313" s="52">
        <v>32.426702972177928</v>
      </c>
    </row>
    <row r="2314" spans="1:13" x14ac:dyDescent="0.35">
      <c r="A2314" s="14" t="s">
        <v>391</v>
      </c>
      <c r="B2314" s="14" t="s">
        <v>377</v>
      </c>
      <c r="C2314" t="s">
        <v>392</v>
      </c>
      <c r="D2314" s="18">
        <v>44212</v>
      </c>
      <c r="E2314" s="18">
        <v>44210</v>
      </c>
      <c r="F2314" s="34">
        <v>44212</v>
      </c>
      <c r="H2314" s="28" t="s">
        <v>29</v>
      </c>
      <c r="K2314" t="s">
        <v>381</v>
      </c>
      <c r="L2314">
        <v>33</v>
      </c>
      <c r="M2314" s="52">
        <v>32.426702972177928</v>
      </c>
    </row>
    <row r="2315" spans="1:13" x14ac:dyDescent="0.35">
      <c r="A2315" s="14" t="s">
        <v>391</v>
      </c>
      <c r="B2315" s="14" t="s">
        <v>377</v>
      </c>
      <c r="C2315" t="s">
        <v>392</v>
      </c>
      <c r="D2315" s="18">
        <v>44212</v>
      </c>
      <c r="E2315" s="18">
        <v>44210</v>
      </c>
      <c r="F2315" s="34">
        <v>44212</v>
      </c>
      <c r="H2315" s="28" t="s">
        <v>188</v>
      </c>
      <c r="M2315" s="52">
        <v>32.426702972177928</v>
      </c>
    </row>
    <row r="2316" spans="1:13" x14ac:dyDescent="0.35">
      <c r="A2316" s="14" t="s">
        <v>391</v>
      </c>
      <c r="B2316" s="14" t="s">
        <v>377</v>
      </c>
      <c r="C2316" t="s">
        <v>392</v>
      </c>
      <c r="D2316" s="18">
        <v>44212</v>
      </c>
      <c r="E2316" s="18">
        <v>44210</v>
      </c>
      <c r="F2316" s="34">
        <v>44212</v>
      </c>
      <c r="H2316" s="28" t="s">
        <v>192</v>
      </c>
      <c r="M2316" s="52">
        <v>32.426702972177928</v>
      </c>
    </row>
    <row r="2317" spans="1:13" x14ac:dyDescent="0.35">
      <c r="A2317" s="14" t="s">
        <v>391</v>
      </c>
      <c r="B2317" s="14" t="s">
        <v>377</v>
      </c>
      <c r="C2317" t="s">
        <v>392</v>
      </c>
      <c r="D2317" s="18">
        <v>44212</v>
      </c>
      <c r="E2317" s="18">
        <v>44210</v>
      </c>
      <c r="F2317" s="34">
        <v>44212</v>
      </c>
      <c r="H2317" s="28" t="s">
        <v>198</v>
      </c>
      <c r="M2317" s="52">
        <v>32.426702972177928</v>
      </c>
    </row>
    <row r="2318" spans="1:13" x14ac:dyDescent="0.35">
      <c r="A2318" s="14" t="s">
        <v>391</v>
      </c>
      <c r="B2318" s="14" t="s">
        <v>377</v>
      </c>
      <c r="C2318" t="s">
        <v>392</v>
      </c>
      <c r="D2318" s="18">
        <v>44212</v>
      </c>
      <c r="E2318" s="18">
        <v>44210</v>
      </c>
      <c r="F2318" s="34">
        <v>44212</v>
      </c>
      <c r="H2318" s="28" t="s">
        <v>393</v>
      </c>
      <c r="M2318" s="52">
        <v>32.426702972177928</v>
      </c>
    </row>
    <row r="2319" spans="1:13" x14ac:dyDescent="0.35">
      <c r="A2319" s="14" t="s">
        <v>391</v>
      </c>
      <c r="B2319" s="14" t="s">
        <v>377</v>
      </c>
      <c r="C2319" t="s">
        <v>392</v>
      </c>
      <c r="D2319" s="18">
        <v>44212</v>
      </c>
      <c r="E2319" s="18">
        <v>44210</v>
      </c>
      <c r="F2319" s="34">
        <v>44212</v>
      </c>
      <c r="H2319" s="28" t="s">
        <v>204</v>
      </c>
      <c r="M2319" s="52">
        <v>32.426702972177928</v>
      </c>
    </row>
    <row r="2320" spans="1:13" x14ac:dyDescent="0.35">
      <c r="A2320" s="14" t="s">
        <v>391</v>
      </c>
      <c r="B2320" s="14" t="s">
        <v>377</v>
      </c>
      <c r="C2320" t="s">
        <v>392</v>
      </c>
      <c r="D2320" s="18">
        <v>44212</v>
      </c>
      <c r="E2320" s="18">
        <v>44210</v>
      </c>
      <c r="F2320" s="34">
        <v>44212</v>
      </c>
      <c r="H2320" s="28" t="s">
        <v>208</v>
      </c>
      <c r="M2320" s="52">
        <v>32.426702972177928</v>
      </c>
    </row>
    <row r="2321" spans="1:13" x14ac:dyDescent="0.35">
      <c r="A2321" s="14" t="s">
        <v>391</v>
      </c>
      <c r="B2321" s="14" t="s">
        <v>377</v>
      </c>
      <c r="C2321" t="s">
        <v>392</v>
      </c>
      <c r="D2321" s="18">
        <v>44212</v>
      </c>
      <c r="E2321" s="18">
        <v>44210</v>
      </c>
      <c r="F2321" s="34">
        <v>44212</v>
      </c>
      <c r="H2321" s="28" t="s">
        <v>210</v>
      </c>
      <c r="M2321" s="52">
        <v>32.426702972177928</v>
      </c>
    </row>
    <row r="2322" spans="1:13" x14ac:dyDescent="0.35">
      <c r="A2322" s="14" t="s">
        <v>391</v>
      </c>
      <c r="B2322" s="14" t="s">
        <v>377</v>
      </c>
      <c r="C2322" t="s">
        <v>392</v>
      </c>
      <c r="D2322" s="18">
        <v>44212</v>
      </c>
      <c r="E2322" s="18">
        <v>44210</v>
      </c>
      <c r="F2322" s="34">
        <v>44212</v>
      </c>
      <c r="H2322" s="28" t="s">
        <v>31</v>
      </c>
      <c r="K2322" t="s">
        <v>381</v>
      </c>
      <c r="L2322">
        <v>30</v>
      </c>
      <c r="M2322" s="52">
        <v>32.426702972177928</v>
      </c>
    </row>
    <row r="2323" spans="1:13" x14ac:dyDescent="0.35">
      <c r="A2323" s="14" t="s">
        <v>391</v>
      </c>
      <c r="B2323" s="14" t="s">
        <v>377</v>
      </c>
      <c r="C2323" t="s">
        <v>392</v>
      </c>
      <c r="D2323" s="18">
        <v>44212</v>
      </c>
      <c r="E2323" s="18">
        <v>44210</v>
      </c>
      <c r="F2323" s="34">
        <v>44212</v>
      </c>
      <c r="H2323" s="28" t="s">
        <v>56</v>
      </c>
      <c r="K2323" t="s">
        <v>381</v>
      </c>
      <c r="L2323">
        <v>50</v>
      </c>
      <c r="M2323" s="52">
        <v>32.426702972177928</v>
      </c>
    </row>
    <row r="2324" spans="1:13" x14ac:dyDescent="0.35">
      <c r="A2324" s="14" t="s">
        <v>391</v>
      </c>
      <c r="B2324" s="14" t="s">
        <v>377</v>
      </c>
      <c r="C2324" t="s">
        <v>392</v>
      </c>
      <c r="D2324" s="18">
        <v>44212</v>
      </c>
      <c r="E2324" s="18">
        <v>44210</v>
      </c>
      <c r="F2324" s="34">
        <v>44212</v>
      </c>
      <c r="H2324" s="28" t="s">
        <v>261</v>
      </c>
      <c r="M2324" s="52">
        <v>32.426702972177928</v>
      </c>
    </row>
    <row r="2325" spans="1:13" x14ac:dyDescent="0.35">
      <c r="A2325" s="14" t="s">
        <v>391</v>
      </c>
      <c r="B2325" s="14" t="s">
        <v>377</v>
      </c>
      <c r="C2325" t="s">
        <v>392</v>
      </c>
      <c r="D2325" s="18">
        <v>44212</v>
      </c>
      <c r="E2325" s="18">
        <v>44210</v>
      </c>
      <c r="F2325" s="34">
        <v>44212</v>
      </c>
      <c r="H2325" s="28" t="s">
        <v>287</v>
      </c>
      <c r="M2325" s="52">
        <v>32.426702972177928</v>
      </c>
    </row>
    <row r="2326" spans="1:13" x14ac:dyDescent="0.35">
      <c r="A2326" s="14" t="s">
        <v>391</v>
      </c>
      <c r="B2326" s="14" t="s">
        <v>377</v>
      </c>
      <c r="C2326" t="s">
        <v>392</v>
      </c>
      <c r="D2326" s="18">
        <v>44212</v>
      </c>
      <c r="E2326" s="18">
        <v>44210</v>
      </c>
      <c r="F2326" s="34">
        <v>44212</v>
      </c>
      <c r="H2326" s="28" t="s">
        <v>307</v>
      </c>
      <c r="M2326" s="52">
        <v>32.426702972177928</v>
      </c>
    </row>
    <row r="2327" spans="1:13" x14ac:dyDescent="0.35">
      <c r="A2327" s="14" t="s">
        <v>391</v>
      </c>
      <c r="B2327" s="14" t="s">
        <v>377</v>
      </c>
      <c r="C2327" t="s">
        <v>392</v>
      </c>
      <c r="D2327" s="18">
        <v>44212</v>
      </c>
      <c r="E2327" s="18">
        <v>44210</v>
      </c>
      <c r="F2327" s="34">
        <v>44212</v>
      </c>
      <c r="H2327" s="28" t="s">
        <v>311</v>
      </c>
      <c r="M2327" s="52">
        <v>32.426702972177928</v>
      </c>
    </row>
    <row r="2328" spans="1:13" x14ac:dyDescent="0.35">
      <c r="A2328" s="14" t="s">
        <v>391</v>
      </c>
      <c r="B2328" s="14" t="s">
        <v>377</v>
      </c>
      <c r="C2328" t="s">
        <v>392</v>
      </c>
      <c r="D2328" s="18">
        <v>44212</v>
      </c>
      <c r="E2328" s="18">
        <v>44210</v>
      </c>
      <c r="F2328" s="34">
        <v>44212</v>
      </c>
      <c r="H2328" s="28" t="s">
        <v>313</v>
      </c>
      <c r="K2328" t="s">
        <v>381</v>
      </c>
      <c r="L2328">
        <v>50</v>
      </c>
      <c r="M2328" s="52">
        <v>32.426702972177928</v>
      </c>
    </row>
    <row r="2329" spans="1:13" x14ac:dyDescent="0.35">
      <c r="A2329" s="14" t="s">
        <v>391</v>
      </c>
      <c r="B2329" s="14" t="s">
        <v>377</v>
      </c>
      <c r="C2329" t="s">
        <v>392</v>
      </c>
      <c r="D2329" s="18">
        <v>44212</v>
      </c>
      <c r="E2329" s="18">
        <v>44210</v>
      </c>
      <c r="F2329" s="34">
        <v>44212</v>
      </c>
      <c r="H2329" s="28" t="s">
        <v>327</v>
      </c>
      <c r="K2329" t="s">
        <v>380</v>
      </c>
      <c r="L2329">
        <v>6</v>
      </c>
      <c r="M2329" s="52">
        <v>32.426702972177928</v>
      </c>
    </row>
    <row r="2330" spans="1:13" x14ac:dyDescent="0.35">
      <c r="A2330" s="14" t="s">
        <v>391</v>
      </c>
      <c r="B2330" s="14" t="s">
        <v>377</v>
      </c>
      <c r="C2330" t="s">
        <v>392</v>
      </c>
      <c r="D2330" s="18">
        <v>44212</v>
      </c>
      <c r="E2330" s="18">
        <v>44210</v>
      </c>
      <c r="F2330" s="34">
        <v>44212</v>
      </c>
      <c r="H2330" s="28" t="s">
        <v>335</v>
      </c>
      <c r="M2330" s="52">
        <v>32.426702972177928</v>
      </c>
    </row>
    <row r="2331" spans="1:13" x14ac:dyDescent="0.35">
      <c r="A2331" s="14" t="s">
        <v>391</v>
      </c>
      <c r="B2331" s="14" t="s">
        <v>377</v>
      </c>
      <c r="C2331" t="s">
        <v>392</v>
      </c>
      <c r="D2331" s="18">
        <v>44212</v>
      </c>
      <c r="E2331" s="18">
        <v>44210</v>
      </c>
      <c r="F2331" s="34">
        <v>44212</v>
      </c>
      <c r="H2331" s="28" t="s">
        <v>339</v>
      </c>
      <c r="M2331" s="52">
        <v>32.426702972177928</v>
      </c>
    </row>
    <row r="2332" spans="1:13" x14ac:dyDescent="0.35">
      <c r="A2332" s="14" t="s">
        <v>391</v>
      </c>
      <c r="B2332" s="14" t="s">
        <v>377</v>
      </c>
      <c r="C2332" t="s">
        <v>392</v>
      </c>
      <c r="D2332" s="18">
        <v>44212</v>
      </c>
      <c r="E2332" s="18">
        <v>44210</v>
      </c>
      <c r="F2332" s="34">
        <v>44212</v>
      </c>
      <c r="H2332" s="28" t="s">
        <v>345</v>
      </c>
      <c r="K2332" t="s">
        <v>381</v>
      </c>
      <c r="L2332">
        <v>50</v>
      </c>
      <c r="M2332" s="52">
        <v>32.426702972177928</v>
      </c>
    </row>
    <row r="2333" spans="1:13" x14ac:dyDescent="0.35">
      <c r="A2333" s="14" t="s">
        <v>391</v>
      </c>
      <c r="B2333" s="14" t="s">
        <v>377</v>
      </c>
      <c r="C2333" t="s">
        <v>392</v>
      </c>
      <c r="D2333" s="18">
        <v>44212</v>
      </c>
      <c r="E2333" s="18">
        <v>44210</v>
      </c>
      <c r="F2333" s="34">
        <v>44212</v>
      </c>
      <c r="H2333" s="28" t="s">
        <v>59</v>
      </c>
      <c r="M2333" s="52">
        <v>32.426702972177928</v>
      </c>
    </row>
    <row r="2334" spans="1:13" x14ac:dyDescent="0.35">
      <c r="A2334" s="14" t="s">
        <v>391</v>
      </c>
      <c r="B2334" s="14" t="s">
        <v>377</v>
      </c>
      <c r="C2334" t="s">
        <v>397</v>
      </c>
      <c r="D2334" s="18">
        <v>44212</v>
      </c>
      <c r="E2334" s="18">
        <v>44209</v>
      </c>
      <c r="F2334" s="34">
        <v>44215</v>
      </c>
      <c r="H2334" s="28" t="s">
        <v>68</v>
      </c>
      <c r="M2334" s="52">
        <v>57.588028258688219</v>
      </c>
    </row>
    <row r="2335" spans="1:13" x14ac:dyDescent="0.35">
      <c r="A2335" s="14" t="s">
        <v>391</v>
      </c>
      <c r="B2335" s="14" t="s">
        <v>377</v>
      </c>
      <c r="C2335" t="s">
        <v>397</v>
      </c>
      <c r="D2335" s="18">
        <v>44212</v>
      </c>
      <c r="E2335" s="18">
        <v>44209</v>
      </c>
      <c r="F2335" s="34">
        <v>44215</v>
      </c>
      <c r="H2335" s="28" t="s">
        <v>72</v>
      </c>
      <c r="M2335" s="52">
        <v>57.588028258688219</v>
      </c>
    </row>
    <row r="2336" spans="1:13" x14ac:dyDescent="0.35">
      <c r="A2336" s="14" t="s">
        <v>391</v>
      </c>
      <c r="B2336" s="14" t="s">
        <v>377</v>
      </c>
      <c r="C2336" t="s">
        <v>397</v>
      </c>
      <c r="D2336" s="18">
        <v>44212</v>
      </c>
      <c r="E2336" s="18">
        <v>44209</v>
      </c>
      <c r="F2336" s="34">
        <v>44215</v>
      </c>
      <c r="H2336" s="28" t="s">
        <v>41</v>
      </c>
      <c r="K2336" t="s">
        <v>381</v>
      </c>
      <c r="L2336">
        <v>50</v>
      </c>
      <c r="M2336" s="52">
        <v>57.588028258688219</v>
      </c>
    </row>
    <row r="2337" spans="1:13" x14ac:dyDescent="0.35">
      <c r="A2337" s="14" t="s">
        <v>391</v>
      </c>
      <c r="B2337" s="14" t="s">
        <v>377</v>
      </c>
      <c r="C2337" t="s">
        <v>397</v>
      </c>
      <c r="D2337" s="18">
        <v>44212</v>
      </c>
      <c r="E2337" s="18">
        <v>44209</v>
      </c>
      <c r="F2337" s="34">
        <v>44215</v>
      </c>
      <c r="H2337" s="28" t="s">
        <v>39</v>
      </c>
      <c r="K2337" t="s">
        <v>381</v>
      </c>
      <c r="L2337">
        <v>25</v>
      </c>
      <c r="M2337" s="52">
        <v>57.588028258688219</v>
      </c>
    </row>
    <row r="2338" spans="1:13" x14ac:dyDescent="0.35">
      <c r="A2338" s="14" t="s">
        <v>391</v>
      </c>
      <c r="B2338" s="14" t="s">
        <v>377</v>
      </c>
      <c r="C2338" t="s">
        <v>397</v>
      </c>
      <c r="D2338" s="18">
        <v>44212</v>
      </c>
      <c r="E2338" s="18">
        <v>44209</v>
      </c>
      <c r="F2338" s="34">
        <v>44215</v>
      </c>
      <c r="H2338" s="28" t="s">
        <v>123</v>
      </c>
      <c r="M2338" s="52">
        <v>57.588028258688219</v>
      </c>
    </row>
    <row r="2339" spans="1:13" x14ac:dyDescent="0.35">
      <c r="A2339" s="14" t="s">
        <v>391</v>
      </c>
      <c r="B2339" s="14" t="s">
        <v>377</v>
      </c>
      <c r="C2339" t="s">
        <v>397</v>
      </c>
      <c r="D2339" s="18">
        <v>44212</v>
      </c>
      <c r="E2339" s="18">
        <v>44209</v>
      </c>
      <c r="F2339" s="34">
        <v>44215</v>
      </c>
      <c r="H2339" s="28" t="s">
        <v>150</v>
      </c>
      <c r="M2339" s="52">
        <v>57.588028258688219</v>
      </c>
    </row>
    <row r="2340" spans="1:13" x14ac:dyDescent="0.35">
      <c r="A2340" s="14" t="s">
        <v>391</v>
      </c>
      <c r="B2340" s="14" t="s">
        <v>377</v>
      </c>
      <c r="C2340" t="s">
        <v>397</v>
      </c>
      <c r="D2340" s="18">
        <v>44212</v>
      </c>
      <c r="E2340" s="18">
        <v>44209</v>
      </c>
      <c r="F2340" s="34">
        <v>44215</v>
      </c>
      <c r="H2340" s="28" t="s">
        <v>127</v>
      </c>
      <c r="M2340" s="52">
        <v>57.588028258688219</v>
      </c>
    </row>
    <row r="2341" spans="1:13" x14ac:dyDescent="0.35">
      <c r="A2341" s="14" t="s">
        <v>391</v>
      </c>
      <c r="B2341" s="14" t="s">
        <v>377</v>
      </c>
      <c r="C2341" t="s">
        <v>397</v>
      </c>
      <c r="D2341" s="18">
        <v>44212</v>
      </c>
      <c r="E2341" s="18">
        <v>44209</v>
      </c>
      <c r="F2341" s="34">
        <v>44215</v>
      </c>
      <c r="H2341" s="28" t="s">
        <v>25</v>
      </c>
      <c r="K2341" t="s">
        <v>381</v>
      </c>
      <c r="L2341">
        <v>20</v>
      </c>
      <c r="M2341" s="52">
        <v>57.588028258688219</v>
      </c>
    </row>
    <row r="2342" spans="1:13" x14ac:dyDescent="0.35">
      <c r="A2342" s="14" t="s">
        <v>391</v>
      </c>
      <c r="B2342" s="14" t="s">
        <v>377</v>
      </c>
      <c r="C2342" t="s">
        <v>397</v>
      </c>
      <c r="D2342" s="18">
        <v>44212</v>
      </c>
      <c r="E2342" s="18">
        <v>44209</v>
      </c>
      <c r="F2342" s="34">
        <v>44215</v>
      </c>
      <c r="H2342" s="28" t="s">
        <v>23</v>
      </c>
      <c r="K2342" t="s">
        <v>380</v>
      </c>
      <c r="L2342">
        <v>10</v>
      </c>
      <c r="M2342" s="52">
        <v>57.588028258688219</v>
      </c>
    </row>
    <row r="2343" spans="1:13" x14ac:dyDescent="0.35">
      <c r="A2343" s="14" t="s">
        <v>391</v>
      </c>
      <c r="B2343" s="14" t="s">
        <v>377</v>
      </c>
      <c r="C2343" t="s">
        <v>397</v>
      </c>
      <c r="D2343" s="18">
        <v>44212</v>
      </c>
      <c r="E2343" s="18">
        <v>44209</v>
      </c>
      <c r="F2343" s="34">
        <v>44215</v>
      </c>
      <c r="H2343" s="28" t="s">
        <v>24</v>
      </c>
      <c r="K2343" t="s">
        <v>380</v>
      </c>
      <c r="L2343">
        <v>15</v>
      </c>
      <c r="M2343" s="52">
        <v>57.588028258688219</v>
      </c>
    </row>
    <row r="2344" spans="1:13" x14ac:dyDescent="0.35">
      <c r="A2344" s="14" t="s">
        <v>391</v>
      </c>
      <c r="B2344" s="14" t="s">
        <v>377</v>
      </c>
      <c r="C2344" t="s">
        <v>397</v>
      </c>
      <c r="D2344" s="18">
        <v>44212</v>
      </c>
      <c r="E2344" s="18">
        <v>44209</v>
      </c>
      <c r="F2344" s="34">
        <v>44215</v>
      </c>
      <c r="H2344" s="28" t="s">
        <v>27</v>
      </c>
      <c r="K2344" t="s">
        <v>380</v>
      </c>
      <c r="L2344">
        <v>10</v>
      </c>
      <c r="M2344" s="52">
        <v>57.588028258688219</v>
      </c>
    </row>
    <row r="2345" spans="1:13" x14ac:dyDescent="0.35">
      <c r="A2345" s="14" t="s">
        <v>391</v>
      </c>
      <c r="B2345" s="14" t="s">
        <v>377</v>
      </c>
      <c r="C2345" t="s">
        <v>397</v>
      </c>
      <c r="D2345" s="18">
        <v>44212</v>
      </c>
      <c r="E2345" s="18">
        <v>44209</v>
      </c>
      <c r="F2345" s="34">
        <v>44215</v>
      </c>
      <c r="H2345" s="28" t="s">
        <v>28</v>
      </c>
      <c r="K2345" t="s">
        <v>380</v>
      </c>
      <c r="L2345">
        <v>15</v>
      </c>
      <c r="M2345" s="52">
        <v>57.588028258688219</v>
      </c>
    </row>
    <row r="2346" spans="1:13" x14ac:dyDescent="0.35">
      <c r="A2346" s="14" t="s">
        <v>391</v>
      </c>
      <c r="B2346" s="14" t="s">
        <v>377</v>
      </c>
      <c r="C2346" t="s">
        <v>397</v>
      </c>
      <c r="D2346" s="18">
        <v>44212</v>
      </c>
      <c r="E2346" s="18">
        <v>44209</v>
      </c>
      <c r="F2346" s="34">
        <v>44215</v>
      </c>
      <c r="H2346" s="28" t="s">
        <v>30</v>
      </c>
      <c r="M2346" s="52">
        <v>57.588028258688219</v>
      </c>
    </row>
    <row r="2347" spans="1:13" x14ac:dyDescent="0.35">
      <c r="A2347" s="14" t="s">
        <v>391</v>
      </c>
      <c r="B2347" s="14" t="s">
        <v>377</v>
      </c>
      <c r="C2347" t="s">
        <v>397</v>
      </c>
      <c r="D2347" s="18">
        <v>44212</v>
      </c>
      <c r="E2347" s="18">
        <v>44209</v>
      </c>
      <c r="F2347" s="34">
        <v>44215</v>
      </c>
      <c r="H2347" s="28" t="s">
        <v>29</v>
      </c>
      <c r="K2347" t="s">
        <v>381</v>
      </c>
      <c r="L2347">
        <v>33</v>
      </c>
      <c r="M2347" s="52">
        <v>57.588028258688219</v>
      </c>
    </row>
    <row r="2348" spans="1:13" x14ac:dyDescent="0.35">
      <c r="A2348" s="14" t="s">
        <v>391</v>
      </c>
      <c r="B2348" s="14" t="s">
        <v>377</v>
      </c>
      <c r="C2348" t="s">
        <v>397</v>
      </c>
      <c r="D2348" s="18">
        <v>44212</v>
      </c>
      <c r="E2348" s="18">
        <v>44209</v>
      </c>
      <c r="F2348" s="34">
        <v>44215</v>
      </c>
      <c r="H2348" s="28" t="s">
        <v>190</v>
      </c>
      <c r="M2348" s="52">
        <v>57.588028258688219</v>
      </c>
    </row>
    <row r="2349" spans="1:13" x14ac:dyDescent="0.35">
      <c r="A2349" s="14" t="s">
        <v>391</v>
      </c>
      <c r="B2349" s="14" t="s">
        <v>377</v>
      </c>
      <c r="C2349" t="s">
        <v>397</v>
      </c>
      <c r="D2349" s="18">
        <v>44212</v>
      </c>
      <c r="E2349" s="18">
        <v>44209</v>
      </c>
      <c r="F2349" s="34">
        <v>44215</v>
      </c>
      <c r="H2349" s="28" t="s">
        <v>198</v>
      </c>
      <c r="M2349" s="52">
        <v>57.588028258688219</v>
      </c>
    </row>
    <row r="2350" spans="1:13" x14ac:dyDescent="0.35">
      <c r="A2350" s="14" t="s">
        <v>391</v>
      </c>
      <c r="B2350" s="14" t="s">
        <v>377</v>
      </c>
      <c r="C2350" t="s">
        <v>397</v>
      </c>
      <c r="D2350" s="18">
        <v>44212</v>
      </c>
      <c r="E2350" s="18">
        <v>44209</v>
      </c>
      <c r="F2350" s="34">
        <v>44215</v>
      </c>
      <c r="H2350" s="28" t="s">
        <v>393</v>
      </c>
      <c r="M2350" s="52">
        <v>57.588028258688219</v>
      </c>
    </row>
    <row r="2351" spans="1:13" x14ac:dyDescent="0.35">
      <c r="A2351" s="14" t="s">
        <v>391</v>
      </c>
      <c r="B2351" s="14" t="s">
        <v>377</v>
      </c>
      <c r="C2351" t="s">
        <v>397</v>
      </c>
      <c r="D2351" s="18">
        <v>44212</v>
      </c>
      <c r="E2351" s="18">
        <v>44209</v>
      </c>
      <c r="F2351" s="34">
        <v>44215</v>
      </c>
      <c r="H2351" s="28" t="s">
        <v>204</v>
      </c>
      <c r="M2351" s="52">
        <v>57.588028258688219</v>
      </c>
    </row>
    <row r="2352" spans="1:13" x14ac:dyDescent="0.35">
      <c r="A2352" s="14" t="s">
        <v>391</v>
      </c>
      <c r="B2352" s="14" t="s">
        <v>377</v>
      </c>
      <c r="C2352" t="s">
        <v>397</v>
      </c>
      <c r="D2352" s="18">
        <v>44212</v>
      </c>
      <c r="E2352" s="18">
        <v>44209</v>
      </c>
      <c r="F2352" s="34">
        <v>44215</v>
      </c>
      <c r="H2352" s="28" t="s">
        <v>208</v>
      </c>
      <c r="M2352" s="52">
        <v>57.588028258688219</v>
      </c>
    </row>
    <row r="2353" spans="1:13" x14ac:dyDescent="0.35">
      <c r="A2353" s="14" t="s">
        <v>391</v>
      </c>
      <c r="B2353" s="14" t="s">
        <v>377</v>
      </c>
      <c r="C2353" t="s">
        <v>397</v>
      </c>
      <c r="D2353" s="18">
        <v>44212</v>
      </c>
      <c r="E2353" s="18">
        <v>44209</v>
      </c>
      <c r="F2353" s="34">
        <v>44215</v>
      </c>
      <c r="H2353" s="28" t="s">
        <v>210</v>
      </c>
      <c r="M2353" s="52">
        <v>57.588028258688219</v>
      </c>
    </row>
    <row r="2354" spans="1:13" x14ac:dyDescent="0.35">
      <c r="A2354" s="14" t="s">
        <v>391</v>
      </c>
      <c r="B2354" s="14" t="s">
        <v>377</v>
      </c>
      <c r="C2354" t="s">
        <v>397</v>
      </c>
      <c r="D2354" s="18">
        <v>44212</v>
      </c>
      <c r="E2354" s="18">
        <v>44209</v>
      </c>
      <c r="F2354" s="34">
        <v>44215</v>
      </c>
      <c r="H2354" s="28" t="s">
        <v>223</v>
      </c>
      <c r="M2354" s="52">
        <v>57.588028258688219</v>
      </c>
    </row>
    <row r="2355" spans="1:13" x14ac:dyDescent="0.35">
      <c r="A2355" s="14" t="s">
        <v>391</v>
      </c>
      <c r="B2355" s="14" t="s">
        <v>377</v>
      </c>
      <c r="C2355" t="s">
        <v>397</v>
      </c>
      <c r="D2355" s="18">
        <v>44212</v>
      </c>
      <c r="E2355" s="18">
        <v>44209</v>
      </c>
      <c r="F2355" s="34">
        <v>44215</v>
      </c>
      <c r="H2355" s="28" t="s">
        <v>56</v>
      </c>
      <c r="K2355" t="s">
        <v>381</v>
      </c>
      <c r="L2355">
        <v>30</v>
      </c>
      <c r="M2355" s="52">
        <v>57.588028258688219</v>
      </c>
    </row>
    <row r="2356" spans="1:13" x14ac:dyDescent="0.35">
      <c r="A2356" s="14" t="s">
        <v>391</v>
      </c>
      <c r="B2356" s="14" t="s">
        <v>377</v>
      </c>
      <c r="C2356" t="s">
        <v>397</v>
      </c>
      <c r="D2356" s="18">
        <v>44212</v>
      </c>
      <c r="E2356" s="18">
        <v>44209</v>
      </c>
      <c r="F2356" s="34">
        <v>44215</v>
      </c>
      <c r="H2356" s="28" t="s">
        <v>263</v>
      </c>
      <c r="M2356" s="52">
        <v>57.588028258688219</v>
      </c>
    </row>
    <row r="2357" spans="1:13" x14ac:dyDescent="0.35">
      <c r="A2357" s="14" t="s">
        <v>391</v>
      </c>
      <c r="B2357" s="14" t="s">
        <v>377</v>
      </c>
      <c r="C2357" t="s">
        <v>397</v>
      </c>
      <c r="D2357" s="18">
        <v>44212</v>
      </c>
      <c r="E2357" s="18">
        <v>44209</v>
      </c>
      <c r="F2357" s="34">
        <v>44215</v>
      </c>
      <c r="H2357" s="28" t="s">
        <v>287</v>
      </c>
      <c r="M2357" s="52">
        <v>57.588028258688219</v>
      </c>
    </row>
    <row r="2358" spans="1:13" x14ac:dyDescent="0.35">
      <c r="A2358" s="14" t="s">
        <v>391</v>
      </c>
      <c r="B2358" s="14" t="s">
        <v>377</v>
      </c>
      <c r="C2358" t="s">
        <v>397</v>
      </c>
      <c r="D2358" s="18">
        <v>44212</v>
      </c>
      <c r="E2358" s="18">
        <v>44209</v>
      </c>
      <c r="F2358" s="34">
        <v>44215</v>
      </c>
      <c r="H2358" s="28" t="s">
        <v>309</v>
      </c>
      <c r="M2358" s="52">
        <v>57.588028258688219</v>
      </c>
    </row>
    <row r="2359" spans="1:13" x14ac:dyDescent="0.35">
      <c r="A2359" s="14" t="s">
        <v>391</v>
      </c>
      <c r="B2359" s="14" t="s">
        <v>377</v>
      </c>
      <c r="C2359" t="s">
        <v>397</v>
      </c>
      <c r="D2359" s="18">
        <v>44212</v>
      </c>
      <c r="E2359" s="18">
        <v>44209</v>
      </c>
      <c r="F2359" s="34">
        <v>44215</v>
      </c>
      <c r="H2359" s="28" t="s">
        <v>311</v>
      </c>
      <c r="M2359" s="52">
        <v>57.588028258688219</v>
      </c>
    </row>
    <row r="2360" spans="1:13" x14ac:dyDescent="0.35">
      <c r="A2360" s="14" t="s">
        <v>391</v>
      </c>
      <c r="B2360" s="14" t="s">
        <v>377</v>
      </c>
      <c r="C2360" t="s">
        <v>397</v>
      </c>
      <c r="D2360" s="18">
        <v>44212</v>
      </c>
      <c r="E2360" s="18">
        <v>44209</v>
      </c>
      <c r="F2360" s="34">
        <v>44215</v>
      </c>
      <c r="H2360" s="28" t="s">
        <v>315</v>
      </c>
      <c r="K2360" t="s">
        <v>381</v>
      </c>
      <c r="L2360">
        <v>30</v>
      </c>
      <c r="M2360" s="52">
        <v>57.588028258688219</v>
      </c>
    </row>
    <row r="2361" spans="1:13" x14ac:dyDescent="0.35">
      <c r="A2361" s="14" t="s">
        <v>391</v>
      </c>
      <c r="B2361" s="14" t="s">
        <v>377</v>
      </c>
      <c r="C2361" t="s">
        <v>397</v>
      </c>
      <c r="D2361" s="18">
        <v>44212</v>
      </c>
      <c r="E2361" s="18">
        <v>44209</v>
      </c>
      <c r="F2361" s="34">
        <v>44215</v>
      </c>
      <c r="H2361" s="28" t="s">
        <v>313</v>
      </c>
      <c r="K2361" t="s">
        <v>381</v>
      </c>
      <c r="L2361">
        <v>50</v>
      </c>
      <c r="M2361" s="52">
        <v>57.588028258688219</v>
      </c>
    </row>
    <row r="2362" spans="1:13" x14ac:dyDescent="0.35">
      <c r="A2362" s="14" t="s">
        <v>391</v>
      </c>
      <c r="B2362" s="14" t="s">
        <v>377</v>
      </c>
      <c r="C2362" t="s">
        <v>397</v>
      </c>
      <c r="D2362" s="18">
        <v>44212</v>
      </c>
      <c r="E2362" s="18">
        <v>44209</v>
      </c>
      <c r="F2362" s="34">
        <v>44215</v>
      </c>
      <c r="H2362" s="28" t="s">
        <v>32</v>
      </c>
      <c r="K2362" t="s">
        <v>380</v>
      </c>
      <c r="L2362">
        <v>6</v>
      </c>
      <c r="M2362" s="52">
        <v>57.588028258688219</v>
      </c>
    </row>
    <row r="2363" spans="1:13" x14ac:dyDescent="0.35">
      <c r="A2363" s="14" t="s">
        <v>391</v>
      </c>
      <c r="B2363" s="14" t="s">
        <v>377</v>
      </c>
      <c r="C2363" t="s">
        <v>397</v>
      </c>
      <c r="D2363" s="18">
        <v>44212</v>
      </c>
      <c r="E2363" s="18">
        <v>44209</v>
      </c>
      <c r="F2363" s="34">
        <v>44215</v>
      </c>
      <c r="H2363" s="28" t="s">
        <v>60</v>
      </c>
      <c r="K2363" t="s">
        <v>380</v>
      </c>
      <c r="L2363">
        <v>6</v>
      </c>
      <c r="M2363" s="52">
        <v>57.588028258688219</v>
      </c>
    </row>
    <row r="2364" spans="1:13" x14ac:dyDescent="0.35">
      <c r="A2364" s="14" t="s">
        <v>391</v>
      </c>
      <c r="B2364" s="14" t="s">
        <v>377</v>
      </c>
      <c r="C2364" t="s">
        <v>397</v>
      </c>
      <c r="D2364" s="18">
        <v>44212</v>
      </c>
      <c r="E2364" s="18">
        <v>44209</v>
      </c>
      <c r="F2364" s="34">
        <v>44215</v>
      </c>
      <c r="H2364" s="28" t="s">
        <v>335</v>
      </c>
      <c r="M2364" s="52">
        <v>57.588028258688219</v>
      </c>
    </row>
    <row r="2365" spans="1:13" x14ac:dyDescent="0.35">
      <c r="A2365" s="14" t="s">
        <v>391</v>
      </c>
      <c r="B2365" s="14" t="s">
        <v>377</v>
      </c>
      <c r="C2365" t="s">
        <v>397</v>
      </c>
      <c r="D2365" s="18">
        <v>44212</v>
      </c>
      <c r="E2365" s="18">
        <v>44209</v>
      </c>
      <c r="F2365" s="34">
        <v>44215</v>
      </c>
      <c r="H2365" s="28" t="s">
        <v>339</v>
      </c>
      <c r="M2365" s="52">
        <v>57.588028258688219</v>
      </c>
    </row>
    <row r="2366" spans="1:13" x14ac:dyDescent="0.35">
      <c r="A2366" s="14" t="s">
        <v>391</v>
      </c>
      <c r="B2366" s="14" t="s">
        <v>377</v>
      </c>
      <c r="C2366" t="s">
        <v>397</v>
      </c>
      <c r="D2366" s="18">
        <v>44212</v>
      </c>
      <c r="E2366" s="18">
        <v>44209</v>
      </c>
      <c r="F2366" s="34">
        <v>44215</v>
      </c>
      <c r="H2366" s="28" t="s">
        <v>341</v>
      </c>
      <c r="M2366" s="52">
        <v>57.588028258688219</v>
      </c>
    </row>
    <row r="2367" spans="1:13" x14ac:dyDescent="0.35">
      <c r="A2367" s="14" t="s">
        <v>391</v>
      </c>
      <c r="B2367" s="14" t="s">
        <v>377</v>
      </c>
      <c r="C2367" t="s">
        <v>397</v>
      </c>
      <c r="D2367" s="18">
        <v>44212</v>
      </c>
      <c r="E2367" s="18">
        <v>44209</v>
      </c>
      <c r="F2367" s="34">
        <v>44215</v>
      </c>
      <c r="H2367" s="28" t="s">
        <v>345</v>
      </c>
      <c r="K2367" t="s">
        <v>381</v>
      </c>
      <c r="L2367">
        <v>50</v>
      </c>
      <c r="M2367" s="52">
        <v>57.588028258688219</v>
      </c>
    </row>
    <row r="2368" spans="1:13" x14ac:dyDescent="0.35">
      <c r="A2368" s="14" t="s">
        <v>391</v>
      </c>
      <c r="B2368" s="14" t="s">
        <v>377</v>
      </c>
      <c r="C2368" t="s">
        <v>397</v>
      </c>
      <c r="D2368" s="18">
        <v>44212</v>
      </c>
      <c r="E2368" s="18">
        <v>44209</v>
      </c>
      <c r="F2368" s="34">
        <v>44215</v>
      </c>
      <c r="H2368" s="28" t="s">
        <v>59</v>
      </c>
      <c r="M2368" s="52">
        <v>57.588028258688219</v>
      </c>
    </row>
    <row r="2369" spans="1:13" x14ac:dyDescent="0.35">
      <c r="A2369" s="14" t="s">
        <v>391</v>
      </c>
      <c r="B2369" s="14" t="s">
        <v>377</v>
      </c>
      <c r="C2369" t="s">
        <v>397</v>
      </c>
      <c r="D2369" s="18">
        <v>44212</v>
      </c>
      <c r="E2369" s="18">
        <v>44209</v>
      </c>
      <c r="F2369" s="34">
        <v>44215</v>
      </c>
      <c r="H2369" s="28" t="s">
        <v>360</v>
      </c>
      <c r="M2369" s="52">
        <v>57.588028258688219</v>
      </c>
    </row>
    <row r="2370" spans="1:13" x14ac:dyDescent="0.35">
      <c r="A2370" s="14" t="s">
        <v>391</v>
      </c>
      <c r="B2370" s="14" t="s">
        <v>377</v>
      </c>
      <c r="C2370" t="s">
        <v>392</v>
      </c>
      <c r="D2370" s="18">
        <v>44212</v>
      </c>
      <c r="E2370" s="18">
        <v>44211</v>
      </c>
      <c r="F2370" s="34">
        <v>44215</v>
      </c>
      <c r="H2370" s="28" t="s">
        <v>96</v>
      </c>
      <c r="M2370" s="52">
        <v>100</v>
      </c>
    </row>
    <row r="2371" spans="1:13" x14ac:dyDescent="0.35">
      <c r="A2371" s="14" t="s">
        <v>391</v>
      </c>
      <c r="B2371" s="14" t="s">
        <v>377</v>
      </c>
      <c r="C2371" t="s">
        <v>392</v>
      </c>
      <c r="D2371" s="18">
        <v>44212</v>
      </c>
      <c r="E2371" s="18">
        <v>44211</v>
      </c>
      <c r="F2371" s="34">
        <v>44215</v>
      </c>
      <c r="H2371" s="28" t="s">
        <v>47</v>
      </c>
      <c r="K2371" t="s">
        <v>381</v>
      </c>
      <c r="L2371">
        <v>20</v>
      </c>
      <c r="M2371" s="52">
        <v>100</v>
      </c>
    </row>
    <row r="2372" spans="1:13" x14ac:dyDescent="0.35">
      <c r="A2372" s="14" t="s">
        <v>391</v>
      </c>
      <c r="B2372" s="14" t="s">
        <v>377</v>
      </c>
      <c r="C2372" t="s">
        <v>392</v>
      </c>
      <c r="D2372" s="18">
        <v>44212</v>
      </c>
      <c r="E2372" s="18">
        <v>44211</v>
      </c>
      <c r="F2372" s="34">
        <v>44215</v>
      </c>
      <c r="H2372" s="28" t="s">
        <v>50</v>
      </c>
      <c r="K2372" t="s">
        <v>381</v>
      </c>
      <c r="L2372">
        <v>50</v>
      </c>
      <c r="M2372" s="52">
        <v>100</v>
      </c>
    </row>
    <row r="2373" spans="1:13" x14ac:dyDescent="0.35">
      <c r="A2373" s="14" t="s">
        <v>391</v>
      </c>
      <c r="B2373" s="14" t="s">
        <v>377</v>
      </c>
      <c r="C2373" t="s">
        <v>392</v>
      </c>
      <c r="D2373" s="18">
        <v>44212</v>
      </c>
      <c r="E2373" s="18">
        <v>44211</v>
      </c>
      <c r="F2373" s="34">
        <v>44215</v>
      </c>
      <c r="H2373" s="28" t="s">
        <v>41</v>
      </c>
      <c r="K2373" t="s">
        <v>381</v>
      </c>
      <c r="L2373">
        <v>50</v>
      </c>
      <c r="M2373" s="52">
        <v>100</v>
      </c>
    </row>
    <row r="2374" spans="1:13" x14ac:dyDescent="0.35">
      <c r="A2374" s="14" t="s">
        <v>391</v>
      </c>
      <c r="B2374" s="14" t="s">
        <v>377</v>
      </c>
      <c r="C2374" t="s">
        <v>392</v>
      </c>
      <c r="D2374" s="18">
        <v>44212</v>
      </c>
      <c r="E2374" s="18">
        <v>44211</v>
      </c>
      <c r="F2374" s="34">
        <v>44215</v>
      </c>
      <c r="H2374" s="28" t="s">
        <v>39</v>
      </c>
      <c r="K2374" t="s">
        <v>381</v>
      </c>
      <c r="L2374">
        <v>25</v>
      </c>
      <c r="M2374" s="52">
        <v>100</v>
      </c>
    </row>
    <row r="2375" spans="1:13" x14ac:dyDescent="0.35">
      <c r="A2375" s="14" t="s">
        <v>391</v>
      </c>
      <c r="B2375" s="14" t="s">
        <v>377</v>
      </c>
      <c r="C2375" t="s">
        <v>392</v>
      </c>
      <c r="D2375" s="18">
        <v>44212</v>
      </c>
      <c r="E2375" s="18">
        <v>44211</v>
      </c>
      <c r="F2375" s="34">
        <v>44215</v>
      </c>
      <c r="H2375" s="28" t="s">
        <v>123</v>
      </c>
      <c r="M2375" s="52">
        <v>100</v>
      </c>
    </row>
    <row r="2376" spans="1:13" x14ac:dyDescent="0.35">
      <c r="A2376" s="14" t="s">
        <v>391</v>
      </c>
      <c r="B2376" s="14" t="s">
        <v>377</v>
      </c>
      <c r="C2376" t="s">
        <v>392</v>
      </c>
      <c r="D2376" s="18">
        <v>44212</v>
      </c>
      <c r="E2376" s="18">
        <v>44211</v>
      </c>
      <c r="F2376" s="34">
        <v>44215</v>
      </c>
      <c r="H2376" s="28" t="s">
        <v>150</v>
      </c>
      <c r="M2376" s="52">
        <v>100</v>
      </c>
    </row>
    <row r="2377" spans="1:13" x14ac:dyDescent="0.35">
      <c r="A2377" s="14" t="s">
        <v>391</v>
      </c>
      <c r="B2377" s="14" t="s">
        <v>377</v>
      </c>
      <c r="C2377" t="s">
        <v>392</v>
      </c>
      <c r="D2377" s="18">
        <v>44212</v>
      </c>
      <c r="E2377" s="18">
        <v>44211</v>
      </c>
      <c r="F2377" s="34">
        <v>44215</v>
      </c>
      <c r="H2377" s="28" t="s">
        <v>127</v>
      </c>
      <c r="M2377" s="52">
        <v>100</v>
      </c>
    </row>
    <row r="2378" spans="1:13" x14ac:dyDescent="0.35">
      <c r="A2378" s="14" t="s">
        <v>391</v>
      </c>
      <c r="B2378" s="14" t="s">
        <v>377</v>
      </c>
      <c r="C2378" t="s">
        <v>392</v>
      </c>
      <c r="D2378" s="18">
        <v>44212</v>
      </c>
      <c r="E2378" s="18">
        <v>44211</v>
      </c>
      <c r="F2378" s="34">
        <v>44215</v>
      </c>
      <c r="H2378" s="28" t="s">
        <v>23</v>
      </c>
      <c r="K2378" t="s">
        <v>380</v>
      </c>
      <c r="L2378">
        <v>6</v>
      </c>
      <c r="M2378" s="52">
        <v>100</v>
      </c>
    </row>
    <row r="2379" spans="1:13" x14ac:dyDescent="0.35">
      <c r="A2379" s="14" t="s">
        <v>391</v>
      </c>
      <c r="B2379" s="14" t="s">
        <v>377</v>
      </c>
      <c r="C2379" t="s">
        <v>392</v>
      </c>
      <c r="D2379" s="18">
        <v>44212</v>
      </c>
      <c r="E2379" s="18">
        <v>44211</v>
      </c>
      <c r="F2379" s="34">
        <v>44215</v>
      </c>
      <c r="H2379" s="28" t="s">
        <v>24</v>
      </c>
      <c r="K2379" t="s">
        <v>380</v>
      </c>
      <c r="L2379">
        <v>6</v>
      </c>
      <c r="M2379" s="52">
        <v>100</v>
      </c>
    </row>
    <row r="2380" spans="1:13" x14ac:dyDescent="0.35">
      <c r="A2380" s="14" t="s">
        <v>391</v>
      </c>
      <c r="B2380" s="14" t="s">
        <v>377</v>
      </c>
      <c r="C2380" t="s">
        <v>392</v>
      </c>
      <c r="D2380" s="18">
        <v>44212</v>
      </c>
      <c r="E2380" s="18">
        <v>44211</v>
      </c>
      <c r="F2380" s="34">
        <v>44215</v>
      </c>
      <c r="H2380" s="28" t="s">
        <v>27</v>
      </c>
      <c r="K2380" t="s">
        <v>381</v>
      </c>
      <c r="L2380">
        <v>40</v>
      </c>
      <c r="M2380" s="52">
        <v>100</v>
      </c>
    </row>
    <row r="2381" spans="1:13" x14ac:dyDescent="0.35">
      <c r="A2381" s="14" t="s">
        <v>391</v>
      </c>
      <c r="B2381" s="14" t="s">
        <v>377</v>
      </c>
      <c r="C2381" t="s">
        <v>392</v>
      </c>
      <c r="D2381" s="18">
        <v>44212</v>
      </c>
      <c r="E2381" s="18">
        <v>44211</v>
      </c>
      <c r="F2381" s="34">
        <v>44215</v>
      </c>
      <c r="H2381" s="28" t="s">
        <v>28</v>
      </c>
      <c r="K2381" t="s">
        <v>380</v>
      </c>
      <c r="L2381">
        <v>100</v>
      </c>
      <c r="M2381" s="52">
        <v>100</v>
      </c>
    </row>
    <row r="2382" spans="1:13" x14ac:dyDescent="0.35">
      <c r="A2382" s="14" t="s">
        <v>391</v>
      </c>
      <c r="B2382" s="14" t="s">
        <v>377</v>
      </c>
      <c r="C2382" t="s">
        <v>392</v>
      </c>
      <c r="D2382" s="18">
        <v>44212</v>
      </c>
      <c r="E2382" s="18">
        <v>44211</v>
      </c>
      <c r="F2382" s="34">
        <v>44215</v>
      </c>
      <c r="H2382" s="28" t="s">
        <v>30</v>
      </c>
      <c r="K2382" t="s">
        <v>381</v>
      </c>
      <c r="L2382">
        <v>33</v>
      </c>
      <c r="M2382" s="52">
        <v>100</v>
      </c>
    </row>
    <row r="2383" spans="1:13" x14ac:dyDescent="0.35">
      <c r="A2383" s="14" t="s">
        <v>391</v>
      </c>
      <c r="B2383" s="14" t="s">
        <v>377</v>
      </c>
      <c r="C2383" t="s">
        <v>392</v>
      </c>
      <c r="D2383" s="18">
        <v>44212</v>
      </c>
      <c r="E2383" s="18">
        <v>44211</v>
      </c>
      <c r="F2383" s="34">
        <v>44215</v>
      </c>
      <c r="H2383" s="28" t="s">
        <v>188</v>
      </c>
      <c r="M2383" s="52">
        <v>100</v>
      </c>
    </row>
    <row r="2384" spans="1:13" x14ac:dyDescent="0.35">
      <c r="A2384" s="14" t="s">
        <v>391</v>
      </c>
      <c r="B2384" s="14" t="s">
        <v>377</v>
      </c>
      <c r="C2384" t="s">
        <v>392</v>
      </c>
      <c r="D2384" s="18">
        <v>44212</v>
      </c>
      <c r="E2384" s="18">
        <v>44211</v>
      </c>
      <c r="F2384" s="34">
        <v>44215</v>
      </c>
      <c r="H2384" s="28" t="s">
        <v>192</v>
      </c>
      <c r="M2384" s="52">
        <v>100</v>
      </c>
    </row>
    <row r="2385" spans="1:13" x14ac:dyDescent="0.35">
      <c r="A2385" s="14" t="s">
        <v>391</v>
      </c>
      <c r="B2385" s="14" t="s">
        <v>377</v>
      </c>
      <c r="C2385" t="s">
        <v>392</v>
      </c>
      <c r="D2385" s="18">
        <v>44212</v>
      </c>
      <c r="E2385" s="18">
        <v>44211</v>
      </c>
      <c r="F2385" s="34">
        <v>44215</v>
      </c>
      <c r="H2385" s="28" t="s">
        <v>198</v>
      </c>
      <c r="M2385" s="52">
        <v>100</v>
      </c>
    </row>
    <row r="2386" spans="1:13" x14ac:dyDescent="0.35">
      <c r="A2386" s="14" t="s">
        <v>391</v>
      </c>
      <c r="B2386" s="14" t="s">
        <v>377</v>
      </c>
      <c r="C2386" t="s">
        <v>392</v>
      </c>
      <c r="D2386" s="18">
        <v>44212</v>
      </c>
      <c r="E2386" s="18">
        <v>44211</v>
      </c>
      <c r="F2386" s="34">
        <v>44215</v>
      </c>
      <c r="H2386" s="28" t="s">
        <v>393</v>
      </c>
      <c r="M2386" s="52">
        <v>100</v>
      </c>
    </row>
    <row r="2387" spans="1:13" x14ac:dyDescent="0.35">
      <c r="A2387" s="14" t="s">
        <v>391</v>
      </c>
      <c r="B2387" s="14" t="s">
        <v>377</v>
      </c>
      <c r="C2387" t="s">
        <v>392</v>
      </c>
      <c r="D2387" s="18">
        <v>44212</v>
      </c>
      <c r="E2387" s="18">
        <v>44211</v>
      </c>
      <c r="F2387" s="34">
        <v>44215</v>
      </c>
      <c r="H2387" s="28" t="s">
        <v>204</v>
      </c>
      <c r="M2387" s="52">
        <v>100</v>
      </c>
    </row>
    <row r="2388" spans="1:13" x14ac:dyDescent="0.35">
      <c r="A2388" s="14" t="s">
        <v>391</v>
      </c>
      <c r="B2388" s="14" t="s">
        <v>377</v>
      </c>
      <c r="C2388" t="s">
        <v>392</v>
      </c>
      <c r="D2388" s="18">
        <v>44212</v>
      </c>
      <c r="E2388" s="18">
        <v>44211</v>
      </c>
      <c r="F2388" s="34">
        <v>44215</v>
      </c>
      <c r="H2388" s="28" t="s">
        <v>210</v>
      </c>
      <c r="M2388" s="52">
        <v>100</v>
      </c>
    </row>
    <row r="2389" spans="1:13" x14ac:dyDescent="0.35">
      <c r="A2389" s="14" t="s">
        <v>391</v>
      </c>
      <c r="B2389" s="14" t="s">
        <v>377</v>
      </c>
      <c r="C2389" t="s">
        <v>392</v>
      </c>
      <c r="D2389" s="18">
        <v>44212</v>
      </c>
      <c r="E2389" s="18">
        <v>44211</v>
      </c>
      <c r="F2389" s="34">
        <v>44215</v>
      </c>
      <c r="H2389" s="28" t="s">
        <v>31</v>
      </c>
      <c r="K2389" t="s">
        <v>381</v>
      </c>
      <c r="L2389">
        <v>50</v>
      </c>
      <c r="M2389" s="52">
        <v>100</v>
      </c>
    </row>
    <row r="2390" spans="1:13" x14ac:dyDescent="0.35">
      <c r="A2390" s="14" t="s">
        <v>391</v>
      </c>
      <c r="B2390" s="14" t="s">
        <v>377</v>
      </c>
      <c r="C2390" t="s">
        <v>392</v>
      </c>
      <c r="D2390" s="18">
        <v>44212</v>
      </c>
      <c r="E2390" s="18">
        <v>44211</v>
      </c>
      <c r="F2390" s="34">
        <v>44215</v>
      </c>
      <c r="H2390" s="28" t="s">
        <v>56</v>
      </c>
      <c r="K2390" t="s">
        <v>381</v>
      </c>
      <c r="L2390">
        <v>30</v>
      </c>
      <c r="M2390" s="52">
        <v>100</v>
      </c>
    </row>
    <row r="2391" spans="1:13" x14ac:dyDescent="0.35">
      <c r="A2391" s="14" t="s">
        <v>391</v>
      </c>
      <c r="B2391" s="14" t="s">
        <v>377</v>
      </c>
      <c r="C2391" t="s">
        <v>392</v>
      </c>
      <c r="D2391" s="18">
        <v>44212</v>
      </c>
      <c r="E2391" s="18">
        <v>44211</v>
      </c>
      <c r="F2391" s="34">
        <v>44215</v>
      </c>
      <c r="H2391" s="28" t="s">
        <v>287</v>
      </c>
      <c r="K2391" t="s">
        <v>1345</v>
      </c>
      <c r="L2391" t="s">
        <v>1346</v>
      </c>
      <c r="M2391" s="52">
        <v>100</v>
      </c>
    </row>
    <row r="2392" spans="1:13" x14ac:dyDescent="0.35">
      <c r="A2392" s="14" t="s">
        <v>391</v>
      </c>
      <c r="B2392" s="14" t="s">
        <v>377</v>
      </c>
      <c r="C2392" t="s">
        <v>392</v>
      </c>
      <c r="D2392" s="18">
        <v>44212</v>
      </c>
      <c r="E2392" s="18">
        <v>44211</v>
      </c>
      <c r="F2392" s="34">
        <v>44215</v>
      </c>
      <c r="H2392" s="28" t="s">
        <v>307</v>
      </c>
      <c r="M2392" s="52">
        <v>100</v>
      </c>
    </row>
    <row r="2393" spans="1:13" x14ac:dyDescent="0.35">
      <c r="A2393" s="14" t="s">
        <v>391</v>
      </c>
      <c r="B2393" s="14" t="s">
        <v>377</v>
      </c>
      <c r="C2393" t="s">
        <v>392</v>
      </c>
      <c r="D2393" s="18">
        <v>44212</v>
      </c>
      <c r="E2393" s="18">
        <v>44211</v>
      </c>
      <c r="F2393" s="34">
        <v>44215</v>
      </c>
      <c r="H2393" s="28" t="s">
        <v>311</v>
      </c>
      <c r="K2393" t="s">
        <v>1345</v>
      </c>
      <c r="L2393" s="54">
        <v>0.95833333333333337</v>
      </c>
      <c r="M2393" s="52">
        <v>100</v>
      </c>
    </row>
    <row r="2394" spans="1:13" x14ac:dyDescent="0.35">
      <c r="A2394" s="14" t="s">
        <v>391</v>
      </c>
      <c r="B2394" s="14" t="s">
        <v>377</v>
      </c>
      <c r="C2394" t="s">
        <v>392</v>
      </c>
      <c r="D2394" s="18">
        <v>44212</v>
      </c>
      <c r="E2394" s="18">
        <v>44211</v>
      </c>
      <c r="F2394" s="34">
        <v>44215</v>
      </c>
      <c r="H2394" s="28" t="s">
        <v>313</v>
      </c>
      <c r="K2394" t="s">
        <v>381</v>
      </c>
      <c r="L2394">
        <v>50</v>
      </c>
      <c r="M2394" s="52">
        <v>100</v>
      </c>
    </row>
    <row r="2395" spans="1:13" x14ac:dyDescent="0.35">
      <c r="A2395" s="14" t="s">
        <v>391</v>
      </c>
      <c r="B2395" s="14" t="s">
        <v>377</v>
      </c>
      <c r="C2395" t="s">
        <v>392</v>
      </c>
      <c r="D2395" s="18">
        <v>44212</v>
      </c>
      <c r="E2395" s="18">
        <v>44211</v>
      </c>
      <c r="F2395" s="34">
        <v>44215</v>
      </c>
      <c r="H2395" s="28" t="s">
        <v>60</v>
      </c>
      <c r="K2395" t="s">
        <v>380</v>
      </c>
      <c r="L2395">
        <v>6</v>
      </c>
      <c r="M2395" s="52">
        <v>100</v>
      </c>
    </row>
    <row r="2396" spans="1:13" x14ac:dyDescent="0.35">
      <c r="A2396" s="14" t="s">
        <v>391</v>
      </c>
      <c r="B2396" s="14" t="s">
        <v>377</v>
      </c>
      <c r="C2396" t="s">
        <v>392</v>
      </c>
      <c r="D2396" s="18">
        <v>44212</v>
      </c>
      <c r="E2396" s="18">
        <v>44211</v>
      </c>
      <c r="F2396" s="34">
        <v>44215</v>
      </c>
      <c r="H2396" s="28" t="s">
        <v>345</v>
      </c>
      <c r="K2396" t="s">
        <v>381</v>
      </c>
      <c r="L2396">
        <v>50</v>
      </c>
      <c r="M2396" s="52">
        <v>100</v>
      </c>
    </row>
    <row r="2397" spans="1:13" x14ac:dyDescent="0.35">
      <c r="A2397" s="14" t="s">
        <v>391</v>
      </c>
      <c r="B2397" s="14" t="s">
        <v>377</v>
      </c>
      <c r="C2397" t="s">
        <v>392</v>
      </c>
      <c r="D2397" s="18">
        <v>44212</v>
      </c>
      <c r="E2397" s="18">
        <v>44211</v>
      </c>
      <c r="F2397" s="34">
        <v>44215</v>
      </c>
      <c r="H2397" s="28" t="s">
        <v>368</v>
      </c>
      <c r="K2397" t="s">
        <v>380</v>
      </c>
      <c r="L2397">
        <v>6</v>
      </c>
      <c r="M2397" s="52">
        <v>100</v>
      </c>
    </row>
    <row r="2398" spans="1:13" x14ac:dyDescent="0.35">
      <c r="A2398" s="14" t="s">
        <v>391</v>
      </c>
      <c r="B2398" s="14" t="s">
        <v>377</v>
      </c>
      <c r="C2398" t="s">
        <v>400</v>
      </c>
      <c r="D2398" s="18">
        <v>44212</v>
      </c>
      <c r="E2398" s="18">
        <v>44211</v>
      </c>
      <c r="F2398" s="34">
        <v>44215</v>
      </c>
      <c r="H2398" s="28" t="s">
        <v>68</v>
      </c>
      <c r="M2398" s="52">
        <v>100</v>
      </c>
    </row>
    <row r="2399" spans="1:13" x14ac:dyDescent="0.35">
      <c r="A2399" s="14" t="s">
        <v>391</v>
      </c>
      <c r="B2399" s="14" t="s">
        <v>377</v>
      </c>
      <c r="C2399" t="s">
        <v>400</v>
      </c>
      <c r="D2399" s="18">
        <v>44212</v>
      </c>
      <c r="E2399" s="18">
        <v>44211</v>
      </c>
      <c r="F2399" s="34">
        <v>44215</v>
      </c>
      <c r="H2399" s="28" t="s">
        <v>408</v>
      </c>
      <c r="M2399" s="52">
        <v>100</v>
      </c>
    </row>
    <row r="2400" spans="1:13" x14ac:dyDescent="0.35">
      <c r="A2400" s="14" t="s">
        <v>391</v>
      </c>
      <c r="B2400" s="14" t="s">
        <v>377</v>
      </c>
      <c r="C2400" t="s">
        <v>400</v>
      </c>
      <c r="D2400" s="18">
        <v>44212</v>
      </c>
      <c r="E2400" s="18">
        <v>44211</v>
      </c>
      <c r="F2400" s="34">
        <v>44215</v>
      </c>
      <c r="H2400" s="28" t="s">
        <v>41</v>
      </c>
      <c r="K2400" t="s">
        <v>381</v>
      </c>
      <c r="L2400">
        <v>50</v>
      </c>
      <c r="M2400" s="52">
        <v>100</v>
      </c>
    </row>
    <row r="2401" spans="1:13" x14ac:dyDescent="0.35">
      <c r="A2401" s="14" t="s">
        <v>391</v>
      </c>
      <c r="B2401" s="14" t="s">
        <v>377</v>
      </c>
      <c r="C2401" t="s">
        <v>400</v>
      </c>
      <c r="D2401" s="18">
        <v>44212</v>
      </c>
      <c r="E2401" s="18">
        <v>44211</v>
      </c>
      <c r="F2401" s="34">
        <v>44215</v>
      </c>
      <c r="H2401" s="28" t="s">
        <v>39</v>
      </c>
      <c r="K2401" t="s">
        <v>381</v>
      </c>
      <c r="L2401">
        <v>25</v>
      </c>
      <c r="M2401" s="52">
        <v>100</v>
      </c>
    </row>
    <row r="2402" spans="1:13" x14ac:dyDescent="0.35">
      <c r="A2402" s="14" t="s">
        <v>391</v>
      </c>
      <c r="B2402" s="14" t="s">
        <v>377</v>
      </c>
      <c r="C2402" t="s">
        <v>400</v>
      </c>
      <c r="D2402" s="18">
        <v>44212</v>
      </c>
      <c r="E2402" s="18">
        <v>44211</v>
      </c>
      <c r="F2402" s="34">
        <v>44215</v>
      </c>
      <c r="H2402" s="28" t="s">
        <v>123</v>
      </c>
      <c r="M2402" s="52">
        <v>100</v>
      </c>
    </row>
    <row r="2403" spans="1:13" x14ac:dyDescent="0.35">
      <c r="A2403" s="14" t="s">
        <v>391</v>
      </c>
      <c r="B2403" s="14" t="s">
        <v>377</v>
      </c>
      <c r="C2403" t="s">
        <v>400</v>
      </c>
      <c r="D2403" s="18">
        <v>44212</v>
      </c>
      <c r="E2403" s="18">
        <v>44211</v>
      </c>
      <c r="F2403" s="34">
        <v>44215</v>
      </c>
      <c r="H2403" s="28" t="s">
        <v>150</v>
      </c>
      <c r="M2403" s="52">
        <v>100</v>
      </c>
    </row>
    <row r="2404" spans="1:13" x14ac:dyDescent="0.35">
      <c r="A2404" s="14" t="s">
        <v>391</v>
      </c>
      <c r="B2404" s="14" t="s">
        <v>377</v>
      </c>
      <c r="C2404" t="s">
        <v>400</v>
      </c>
      <c r="D2404" s="18">
        <v>44212</v>
      </c>
      <c r="E2404" s="18">
        <v>44211</v>
      </c>
      <c r="F2404" s="34">
        <v>44215</v>
      </c>
      <c r="H2404" s="28" t="s">
        <v>127</v>
      </c>
      <c r="M2404" s="52">
        <v>100</v>
      </c>
    </row>
    <row r="2405" spans="1:13" x14ac:dyDescent="0.35">
      <c r="A2405" s="14" t="s">
        <v>391</v>
      </c>
      <c r="B2405" s="14" t="s">
        <v>377</v>
      </c>
      <c r="C2405" t="s">
        <v>400</v>
      </c>
      <c r="D2405" s="18">
        <v>44212</v>
      </c>
      <c r="E2405" s="18">
        <v>44211</v>
      </c>
      <c r="F2405" s="34">
        <v>44215</v>
      </c>
      <c r="H2405" s="28" t="s">
        <v>25</v>
      </c>
      <c r="K2405" t="s">
        <v>381</v>
      </c>
      <c r="L2405">
        <v>20</v>
      </c>
      <c r="M2405" s="52">
        <v>100</v>
      </c>
    </row>
    <row r="2406" spans="1:13" x14ac:dyDescent="0.35">
      <c r="A2406" s="14" t="s">
        <v>391</v>
      </c>
      <c r="B2406" s="14" t="s">
        <v>377</v>
      </c>
      <c r="C2406" t="s">
        <v>400</v>
      </c>
      <c r="D2406" s="18">
        <v>44212</v>
      </c>
      <c r="E2406" s="18">
        <v>44211</v>
      </c>
      <c r="F2406" s="34">
        <v>44215</v>
      </c>
      <c r="H2406" s="28" t="s">
        <v>23</v>
      </c>
      <c r="K2406" t="s">
        <v>380</v>
      </c>
      <c r="L2406">
        <v>10</v>
      </c>
      <c r="M2406" s="52">
        <v>100</v>
      </c>
    </row>
    <row r="2407" spans="1:13" x14ac:dyDescent="0.35">
      <c r="A2407" s="14" t="s">
        <v>391</v>
      </c>
      <c r="B2407" s="14" t="s">
        <v>377</v>
      </c>
      <c r="C2407" t="s">
        <v>400</v>
      </c>
      <c r="D2407" s="18">
        <v>44212</v>
      </c>
      <c r="E2407" s="18">
        <v>44211</v>
      </c>
      <c r="F2407" s="34">
        <v>44215</v>
      </c>
      <c r="H2407" s="28" t="s">
        <v>24</v>
      </c>
      <c r="K2407" t="s">
        <v>380</v>
      </c>
      <c r="L2407">
        <v>15</v>
      </c>
      <c r="M2407" s="52">
        <v>100</v>
      </c>
    </row>
    <row r="2408" spans="1:13" x14ac:dyDescent="0.35">
      <c r="A2408" s="14" t="s">
        <v>391</v>
      </c>
      <c r="B2408" s="14" t="s">
        <v>377</v>
      </c>
      <c r="C2408" t="s">
        <v>400</v>
      </c>
      <c r="D2408" s="18">
        <v>44212</v>
      </c>
      <c r="E2408" s="18">
        <v>44211</v>
      </c>
      <c r="F2408" s="34">
        <v>44215</v>
      </c>
      <c r="H2408" s="28" t="s">
        <v>27</v>
      </c>
      <c r="K2408" t="s">
        <v>380</v>
      </c>
      <c r="L2408">
        <v>10</v>
      </c>
      <c r="M2408" s="52">
        <v>100</v>
      </c>
    </row>
    <row r="2409" spans="1:13" x14ac:dyDescent="0.35">
      <c r="A2409" s="14" t="s">
        <v>391</v>
      </c>
      <c r="B2409" s="14" t="s">
        <v>377</v>
      </c>
      <c r="C2409" t="s">
        <v>400</v>
      </c>
      <c r="D2409" s="18">
        <v>44212</v>
      </c>
      <c r="E2409" s="18">
        <v>44211</v>
      </c>
      <c r="F2409" s="34">
        <v>44215</v>
      </c>
      <c r="H2409" s="28" t="s">
        <v>28</v>
      </c>
      <c r="K2409" t="s">
        <v>380</v>
      </c>
      <c r="L2409">
        <v>15</v>
      </c>
      <c r="M2409" s="52">
        <v>100</v>
      </c>
    </row>
    <row r="2410" spans="1:13" x14ac:dyDescent="0.35">
      <c r="A2410" s="14" t="s">
        <v>391</v>
      </c>
      <c r="B2410" s="14" t="s">
        <v>377</v>
      </c>
      <c r="C2410" t="s">
        <v>400</v>
      </c>
      <c r="D2410" s="18">
        <v>44212</v>
      </c>
      <c r="E2410" s="18">
        <v>44211</v>
      </c>
      <c r="F2410" s="34">
        <v>44215</v>
      </c>
      <c r="H2410" s="28" t="s">
        <v>30</v>
      </c>
      <c r="M2410" s="52">
        <v>100</v>
      </c>
    </row>
    <row r="2411" spans="1:13" x14ac:dyDescent="0.35">
      <c r="A2411" s="14" t="s">
        <v>391</v>
      </c>
      <c r="B2411" s="14" t="s">
        <v>377</v>
      </c>
      <c r="C2411" t="s">
        <v>400</v>
      </c>
      <c r="D2411" s="18">
        <v>44212</v>
      </c>
      <c r="E2411" s="18">
        <v>44211</v>
      </c>
      <c r="F2411" s="34">
        <v>44215</v>
      </c>
      <c r="H2411" s="28" t="s">
        <v>29</v>
      </c>
      <c r="K2411" t="s">
        <v>381</v>
      </c>
      <c r="L2411">
        <v>33</v>
      </c>
      <c r="M2411" s="52">
        <v>100</v>
      </c>
    </row>
    <row r="2412" spans="1:13" x14ac:dyDescent="0.35">
      <c r="A2412" s="14" t="s">
        <v>391</v>
      </c>
      <c r="B2412" s="14" t="s">
        <v>377</v>
      </c>
      <c r="C2412" t="s">
        <v>400</v>
      </c>
      <c r="D2412" s="18">
        <v>44212</v>
      </c>
      <c r="E2412" s="18">
        <v>44211</v>
      </c>
      <c r="F2412" s="34">
        <v>44215</v>
      </c>
      <c r="H2412" s="28" t="s">
        <v>190</v>
      </c>
      <c r="M2412" s="52">
        <v>100</v>
      </c>
    </row>
    <row r="2413" spans="1:13" x14ac:dyDescent="0.35">
      <c r="A2413" s="14" t="s">
        <v>391</v>
      </c>
      <c r="B2413" s="14" t="s">
        <v>377</v>
      </c>
      <c r="C2413" t="s">
        <v>400</v>
      </c>
      <c r="D2413" s="18">
        <v>44212</v>
      </c>
      <c r="E2413" s="18">
        <v>44211</v>
      </c>
      <c r="F2413" s="34">
        <v>44215</v>
      </c>
      <c r="H2413" s="28" t="s">
        <v>198</v>
      </c>
      <c r="M2413" s="52">
        <v>100</v>
      </c>
    </row>
    <row r="2414" spans="1:13" x14ac:dyDescent="0.35">
      <c r="A2414" s="14" t="s">
        <v>391</v>
      </c>
      <c r="B2414" s="14" t="s">
        <v>377</v>
      </c>
      <c r="C2414" t="s">
        <v>400</v>
      </c>
      <c r="D2414" s="18">
        <v>44212</v>
      </c>
      <c r="E2414" s="18">
        <v>44211</v>
      </c>
      <c r="F2414" s="34">
        <v>44215</v>
      </c>
      <c r="H2414" s="28" t="s">
        <v>393</v>
      </c>
      <c r="M2414" s="52">
        <v>100</v>
      </c>
    </row>
    <row r="2415" spans="1:13" x14ac:dyDescent="0.35">
      <c r="A2415" s="14" t="s">
        <v>391</v>
      </c>
      <c r="B2415" s="14" t="s">
        <v>377</v>
      </c>
      <c r="C2415" t="s">
        <v>400</v>
      </c>
      <c r="D2415" s="18">
        <v>44212</v>
      </c>
      <c r="E2415" s="18">
        <v>44211</v>
      </c>
      <c r="F2415" s="34">
        <v>44215</v>
      </c>
      <c r="H2415" s="28" t="s">
        <v>204</v>
      </c>
      <c r="M2415" s="52">
        <v>100</v>
      </c>
    </row>
    <row r="2416" spans="1:13" x14ac:dyDescent="0.35">
      <c r="A2416" s="14" t="s">
        <v>391</v>
      </c>
      <c r="B2416" s="14" t="s">
        <v>377</v>
      </c>
      <c r="C2416" t="s">
        <v>400</v>
      </c>
      <c r="D2416" s="18">
        <v>44212</v>
      </c>
      <c r="E2416" s="18">
        <v>44211</v>
      </c>
      <c r="F2416" s="34">
        <v>44215</v>
      </c>
      <c r="H2416" s="28" t="s">
        <v>208</v>
      </c>
      <c r="M2416" s="52">
        <v>100</v>
      </c>
    </row>
    <row r="2417" spans="1:13" x14ac:dyDescent="0.35">
      <c r="A2417" s="14" t="s">
        <v>391</v>
      </c>
      <c r="B2417" s="14" t="s">
        <v>377</v>
      </c>
      <c r="C2417" t="s">
        <v>400</v>
      </c>
      <c r="D2417" s="18">
        <v>44212</v>
      </c>
      <c r="E2417" s="18">
        <v>44211</v>
      </c>
      <c r="F2417" s="34">
        <v>44215</v>
      </c>
      <c r="H2417" s="28" t="s">
        <v>403</v>
      </c>
      <c r="M2417" s="52">
        <v>100</v>
      </c>
    </row>
    <row r="2418" spans="1:13" x14ac:dyDescent="0.35">
      <c r="A2418" s="14" t="s">
        <v>391</v>
      </c>
      <c r="B2418" s="14" t="s">
        <v>377</v>
      </c>
      <c r="C2418" t="s">
        <v>400</v>
      </c>
      <c r="D2418" s="18">
        <v>44212</v>
      </c>
      <c r="E2418" s="18">
        <v>44211</v>
      </c>
      <c r="F2418" s="34">
        <v>44215</v>
      </c>
      <c r="H2418" s="28" t="s">
        <v>223</v>
      </c>
      <c r="M2418" s="52">
        <v>100</v>
      </c>
    </row>
    <row r="2419" spans="1:13" x14ac:dyDescent="0.35">
      <c r="A2419" s="14" t="s">
        <v>391</v>
      </c>
      <c r="B2419" s="14" t="s">
        <v>377</v>
      </c>
      <c r="C2419" t="s">
        <v>400</v>
      </c>
      <c r="D2419" s="18">
        <v>44212</v>
      </c>
      <c r="E2419" s="18">
        <v>44211</v>
      </c>
      <c r="F2419" s="34">
        <v>44215</v>
      </c>
      <c r="H2419" s="28" t="s">
        <v>56</v>
      </c>
      <c r="K2419" t="s">
        <v>381</v>
      </c>
      <c r="L2419">
        <v>30</v>
      </c>
      <c r="M2419" s="52">
        <v>100</v>
      </c>
    </row>
    <row r="2420" spans="1:13" x14ac:dyDescent="0.35">
      <c r="A2420" s="14" t="s">
        <v>391</v>
      </c>
      <c r="B2420" s="14" t="s">
        <v>377</v>
      </c>
      <c r="C2420" t="s">
        <v>400</v>
      </c>
      <c r="D2420" s="18">
        <v>44212</v>
      </c>
      <c r="E2420" s="18">
        <v>44211</v>
      </c>
      <c r="F2420" s="34">
        <v>44215</v>
      </c>
      <c r="H2420" s="28" t="s">
        <v>263</v>
      </c>
      <c r="M2420" s="52">
        <v>100</v>
      </c>
    </row>
    <row r="2421" spans="1:13" x14ac:dyDescent="0.35">
      <c r="A2421" s="14" t="s">
        <v>391</v>
      </c>
      <c r="B2421" s="14" t="s">
        <v>377</v>
      </c>
      <c r="C2421" t="s">
        <v>400</v>
      </c>
      <c r="D2421" s="18">
        <v>44212</v>
      </c>
      <c r="E2421" s="18">
        <v>44211</v>
      </c>
      <c r="F2421" s="34">
        <v>44215</v>
      </c>
      <c r="H2421" s="28" t="s">
        <v>287</v>
      </c>
      <c r="M2421" s="52">
        <v>100</v>
      </c>
    </row>
    <row r="2422" spans="1:13" x14ac:dyDescent="0.35">
      <c r="A2422" s="14" t="s">
        <v>391</v>
      </c>
      <c r="B2422" s="14" t="s">
        <v>377</v>
      </c>
      <c r="C2422" t="s">
        <v>400</v>
      </c>
      <c r="D2422" s="18">
        <v>44212</v>
      </c>
      <c r="E2422" s="18">
        <v>44211</v>
      </c>
      <c r="F2422" s="34">
        <v>44215</v>
      </c>
      <c r="H2422" s="28" t="s">
        <v>309</v>
      </c>
      <c r="M2422" s="52">
        <v>100</v>
      </c>
    </row>
    <row r="2423" spans="1:13" x14ac:dyDescent="0.35">
      <c r="A2423" s="14" t="s">
        <v>391</v>
      </c>
      <c r="B2423" s="14" t="s">
        <v>377</v>
      </c>
      <c r="C2423" t="s">
        <v>400</v>
      </c>
      <c r="D2423" s="18">
        <v>44212</v>
      </c>
      <c r="E2423" s="18">
        <v>44211</v>
      </c>
      <c r="F2423" s="34">
        <v>44215</v>
      </c>
      <c r="H2423" s="28" t="s">
        <v>311</v>
      </c>
      <c r="M2423" s="52">
        <v>100</v>
      </c>
    </row>
    <row r="2424" spans="1:13" x14ac:dyDescent="0.35">
      <c r="A2424" s="14" t="s">
        <v>391</v>
      </c>
      <c r="B2424" s="14" t="s">
        <v>377</v>
      </c>
      <c r="C2424" t="s">
        <v>400</v>
      </c>
      <c r="D2424" s="18">
        <v>44212</v>
      </c>
      <c r="E2424" s="18">
        <v>44211</v>
      </c>
      <c r="F2424" s="34">
        <v>44215</v>
      </c>
      <c r="H2424" s="28" t="s">
        <v>315</v>
      </c>
      <c r="K2424" t="s">
        <v>381</v>
      </c>
      <c r="L2424">
        <v>30</v>
      </c>
      <c r="M2424" s="52">
        <v>100</v>
      </c>
    </row>
    <row r="2425" spans="1:13" x14ac:dyDescent="0.35">
      <c r="A2425" s="14" t="s">
        <v>391</v>
      </c>
      <c r="B2425" s="14" t="s">
        <v>377</v>
      </c>
      <c r="C2425" t="s">
        <v>400</v>
      </c>
      <c r="D2425" s="18">
        <v>44212</v>
      </c>
      <c r="E2425" s="18">
        <v>44211</v>
      </c>
      <c r="F2425" s="34">
        <v>44215</v>
      </c>
      <c r="H2425" s="28" t="s">
        <v>401</v>
      </c>
      <c r="K2425" t="s">
        <v>381</v>
      </c>
      <c r="L2425">
        <v>50</v>
      </c>
      <c r="M2425" s="52">
        <v>100</v>
      </c>
    </row>
    <row r="2426" spans="1:13" x14ac:dyDescent="0.35">
      <c r="A2426" s="14" t="s">
        <v>391</v>
      </c>
      <c r="B2426" s="14" t="s">
        <v>377</v>
      </c>
      <c r="C2426" t="s">
        <v>400</v>
      </c>
      <c r="D2426" s="18">
        <v>44212</v>
      </c>
      <c r="E2426" s="18">
        <v>44211</v>
      </c>
      <c r="F2426" s="34">
        <v>44215</v>
      </c>
      <c r="H2426" s="28" t="s">
        <v>402</v>
      </c>
      <c r="K2426" t="s">
        <v>380</v>
      </c>
      <c r="L2426">
        <v>6</v>
      </c>
      <c r="M2426" s="52">
        <v>100</v>
      </c>
    </row>
    <row r="2427" spans="1:13" x14ac:dyDescent="0.35">
      <c r="A2427" s="14" t="s">
        <v>391</v>
      </c>
      <c r="B2427" s="14" t="s">
        <v>377</v>
      </c>
      <c r="C2427" t="s">
        <v>400</v>
      </c>
      <c r="D2427" s="18">
        <v>44212</v>
      </c>
      <c r="E2427" s="18">
        <v>44211</v>
      </c>
      <c r="F2427" s="34">
        <v>44215</v>
      </c>
      <c r="H2427" s="28" t="s">
        <v>60</v>
      </c>
      <c r="K2427" t="s">
        <v>380</v>
      </c>
      <c r="L2427">
        <v>6</v>
      </c>
      <c r="M2427" s="52">
        <v>100</v>
      </c>
    </row>
    <row r="2428" spans="1:13" x14ac:dyDescent="0.35">
      <c r="A2428" s="14" t="s">
        <v>391</v>
      </c>
      <c r="B2428" s="14" t="s">
        <v>377</v>
      </c>
      <c r="C2428" t="s">
        <v>400</v>
      </c>
      <c r="D2428" s="18">
        <v>44212</v>
      </c>
      <c r="E2428" s="18">
        <v>44211</v>
      </c>
      <c r="F2428" s="34">
        <v>44215</v>
      </c>
      <c r="H2428" s="28" t="s">
        <v>60</v>
      </c>
      <c r="K2428" t="s">
        <v>380</v>
      </c>
      <c r="L2428">
        <v>6</v>
      </c>
      <c r="M2428" s="52">
        <v>100</v>
      </c>
    </row>
    <row r="2429" spans="1:13" x14ac:dyDescent="0.35">
      <c r="A2429" s="14" t="s">
        <v>391</v>
      </c>
      <c r="B2429" s="14" t="s">
        <v>377</v>
      </c>
      <c r="C2429" t="s">
        <v>400</v>
      </c>
      <c r="D2429" s="18">
        <v>44212</v>
      </c>
      <c r="E2429" s="18">
        <v>44211</v>
      </c>
      <c r="F2429" s="34">
        <v>44215</v>
      </c>
      <c r="H2429" s="28" t="s">
        <v>335</v>
      </c>
      <c r="M2429" s="52">
        <v>100</v>
      </c>
    </row>
    <row r="2430" spans="1:13" x14ac:dyDescent="0.35">
      <c r="A2430" s="14" t="s">
        <v>391</v>
      </c>
      <c r="B2430" s="14" t="s">
        <v>377</v>
      </c>
      <c r="C2430" t="s">
        <v>400</v>
      </c>
      <c r="D2430" s="18">
        <v>44212</v>
      </c>
      <c r="E2430" s="18">
        <v>44211</v>
      </c>
      <c r="F2430" s="34">
        <v>44215</v>
      </c>
      <c r="H2430" s="28" t="s">
        <v>339</v>
      </c>
      <c r="M2430" s="52">
        <v>100</v>
      </c>
    </row>
    <row r="2431" spans="1:13" x14ac:dyDescent="0.35">
      <c r="A2431" s="14" t="s">
        <v>391</v>
      </c>
      <c r="B2431" s="14" t="s">
        <v>377</v>
      </c>
      <c r="C2431" t="s">
        <v>400</v>
      </c>
      <c r="D2431" s="18">
        <v>44212</v>
      </c>
      <c r="E2431" s="18">
        <v>44211</v>
      </c>
      <c r="F2431" s="34">
        <v>44215</v>
      </c>
      <c r="H2431" s="28" t="s">
        <v>341</v>
      </c>
      <c r="M2431" s="52">
        <v>100</v>
      </c>
    </row>
    <row r="2432" spans="1:13" x14ac:dyDescent="0.35">
      <c r="A2432" s="14" t="s">
        <v>391</v>
      </c>
      <c r="B2432" s="14" t="s">
        <v>377</v>
      </c>
      <c r="C2432" t="s">
        <v>400</v>
      </c>
      <c r="D2432" s="18">
        <v>44212</v>
      </c>
      <c r="E2432" s="18">
        <v>44211</v>
      </c>
      <c r="F2432" s="34">
        <v>44215</v>
      </c>
      <c r="H2432" s="28" t="s">
        <v>345</v>
      </c>
      <c r="K2432" t="s">
        <v>381</v>
      </c>
      <c r="L2432">
        <v>50</v>
      </c>
      <c r="M2432" s="52">
        <v>100</v>
      </c>
    </row>
    <row r="2433" spans="1:13" x14ac:dyDescent="0.35">
      <c r="A2433" s="14" t="s">
        <v>391</v>
      </c>
      <c r="B2433" s="14" t="s">
        <v>377</v>
      </c>
      <c r="C2433" t="s">
        <v>400</v>
      </c>
      <c r="D2433" s="18">
        <v>44212</v>
      </c>
      <c r="E2433" s="18">
        <v>44211</v>
      </c>
      <c r="F2433" s="34">
        <v>44215</v>
      </c>
      <c r="H2433" s="28" t="s">
        <v>59</v>
      </c>
      <c r="M2433" s="52">
        <v>100</v>
      </c>
    </row>
    <row r="2434" spans="1:13" x14ac:dyDescent="0.35">
      <c r="A2434" s="14" t="s">
        <v>391</v>
      </c>
      <c r="B2434" s="14" t="s">
        <v>377</v>
      </c>
      <c r="C2434" t="s">
        <v>400</v>
      </c>
      <c r="D2434" s="18">
        <v>44212</v>
      </c>
      <c r="E2434" s="18">
        <v>44211</v>
      </c>
      <c r="F2434" s="34">
        <v>44215</v>
      </c>
      <c r="H2434" s="28" t="s">
        <v>360</v>
      </c>
      <c r="M2434" s="52">
        <v>100</v>
      </c>
    </row>
    <row r="2435" spans="1:13" x14ac:dyDescent="0.35">
      <c r="A2435" s="14" t="s">
        <v>1341</v>
      </c>
      <c r="B2435" s="14" t="s">
        <v>377</v>
      </c>
      <c r="D2435" s="18">
        <v>44215</v>
      </c>
      <c r="E2435" s="18">
        <v>44214</v>
      </c>
      <c r="F2435" s="34">
        <v>44238</v>
      </c>
      <c r="H2435" s="28" t="s">
        <v>68</v>
      </c>
    </row>
    <row r="2436" spans="1:13" x14ac:dyDescent="0.35">
      <c r="A2436" s="14" t="s">
        <v>1341</v>
      </c>
      <c r="B2436" s="14" t="s">
        <v>377</v>
      </c>
      <c r="D2436" s="18">
        <v>44215</v>
      </c>
      <c r="E2436" s="18">
        <v>44214</v>
      </c>
      <c r="F2436" s="34">
        <v>44238</v>
      </c>
      <c r="H2436" s="28" t="s">
        <v>96</v>
      </c>
    </row>
    <row r="2437" spans="1:13" x14ac:dyDescent="0.35">
      <c r="A2437" s="14" t="s">
        <v>1341</v>
      </c>
      <c r="B2437" s="14" t="s">
        <v>377</v>
      </c>
      <c r="D2437" s="18">
        <v>44215</v>
      </c>
      <c r="E2437" s="18">
        <v>44214</v>
      </c>
      <c r="F2437" s="34">
        <v>44238</v>
      </c>
      <c r="H2437" s="28" t="s">
        <v>41</v>
      </c>
      <c r="K2437" t="s">
        <v>381</v>
      </c>
      <c r="L2437">
        <v>50</v>
      </c>
    </row>
    <row r="2438" spans="1:13" x14ac:dyDescent="0.35">
      <c r="A2438" s="14" t="s">
        <v>1341</v>
      </c>
      <c r="B2438" s="14" t="s">
        <v>377</v>
      </c>
      <c r="D2438" s="18">
        <v>44215</v>
      </c>
      <c r="E2438" s="18">
        <v>44214</v>
      </c>
      <c r="F2438" s="34">
        <v>44238</v>
      </c>
      <c r="H2438" s="28" t="s">
        <v>39</v>
      </c>
      <c r="K2438" t="s">
        <v>381</v>
      </c>
      <c r="L2438">
        <v>25</v>
      </c>
    </row>
    <row r="2439" spans="1:13" x14ac:dyDescent="0.35">
      <c r="A2439" s="14" t="s">
        <v>1341</v>
      </c>
      <c r="B2439" s="14" t="s">
        <v>377</v>
      </c>
      <c r="D2439" s="18">
        <v>44215</v>
      </c>
      <c r="E2439" s="18">
        <v>44214</v>
      </c>
      <c r="F2439" s="34">
        <v>44238</v>
      </c>
      <c r="H2439" s="28" t="s">
        <v>123</v>
      </c>
    </row>
    <row r="2440" spans="1:13" x14ac:dyDescent="0.35">
      <c r="A2440" s="14" t="s">
        <v>1341</v>
      </c>
      <c r="B2440" s="14" t="s">
        <v>377</v>
      </c>
      <c r="D2440" s="18">
        <v>44215</v>
      </c>
      <c r="E2440" s="18">
        <v>44214</v>
      </c>
      <c r="F2440" s="34">
        <v>44238</v>
      </c>
      <c r="H2440" s="28" t="s">
        <v>150</v>
      </c>
    </row>
    <row r="2441" spans="1:13" x14ac:dyDescent="0.35">
      <c r="A2441" s="14" t="s">
        <v>1341</v>
      </c>
      <c r="B2441" s="14" t="s">
        <v>377</v>
      </c>
      <c r="D2441" s="18">
        <v>44215</v>
      </c>
      <c r="E2441" s="18">
        <v>44214</v>
      </c>
      <c r="F2441" s="34">
        <v>44238</v>
      </c>
      <c r="H2441" s="28" t="s">
        <v>127</v>
      </c>
    </row>
    <row r="2442" spans="1:13" x14ac:dyDescent="0.35">
      <c r="A2442" s="14" t="s">
        <v>1341</v>
      </c>
      <c r="B2442" s="14" t="s">
        <v>377</v>
      </c>
      <c r="D2442" s="18">
        <v>44215</v>
      </c>
      <c r="E2442" s="18">
        <v>44214</v>
      </c>
      <c r="F2442" s="34">
        <v>44238</v>
      </c>
      <c r="H2442" s="28" t="s">
        <v>23</v>
      </c>
      <c r="K2442" t="s">
        <v>380</v>
      </c>
      <c r="L2442">
        <v>6</v>
      </c>
    </row>
    <row r="2443" spans="1:13" x14ac:dyDescent="0.35">
      <c r="A2443" s="14" t="s">
        <v>1341</v>
      </c>
      <c r="B2443" s="14" t="s">
        <v>377</v>
      </c>
      <c r="D2443" s="18">
        <v>44215</v>
      </c>
      <c r="E2443" s="18">
        <v>44214</v>
      </c>
      <c r="F2443" s="34">
        <v>44238</v>
      </c>
      <c r="H2443" s="28" t="s">
        <v>24</v>
      </c>
      <c r="K2443" t="s">
        <v>380</v>
      </c>
      <c r="L2443">
        <v>6</v>
      </c>
    </row>
    <row r="2444" spans="1:13" x14ac:dyDescent="0.35">
      <c r="A2444" s="14" t="s">
        <v>1341</v>
      </c>
      <c r="B2444" s="14" t="s">
        <v>377</v>
      </c>
      <c r="D2444" s="18">
        <v>44215</v>
      </c>
      <c r="E2444" s="18">
        <v>44214</v>
      </c>
      <c r="F2444" s="34">
        <v>44238</v>
      </c>
      <c r="H2444" s="28" t="s">
        <v>27</v>
      </c>
      <c r="K2444" t="s">
        <v>381</v>
      </c>
      <c r="L2444">
        <v>40</v>
      </c>
    </row>
    <row r="2445" spans="1:13" x14ac:dyDescent="0.35">
      <c r="A2445" s="14" t="s">
        <v>1341</v>
      </c>
      <c r="B2445" s="14" t="s">
        <v>377</v>
      </c>
      <c r="D2445" s="18">
        <v>44215</v>
      </c>
      <c r="E2445" s="18">
        <v>44214</v>
      </c>
      <c r="F2445" s="34">
        <v>44238</v>
      </c>
      <c r="H2445" s="28" t="s">
        <v>28</v>
      </c>
      <c r="K2445" t="s">
        <v>380</v>
      </c>
      <c r="L2445">
        <v>100</v>
      </c>
    </row>
    <row r="2446" spans="1:13" x14ac:dyDescent="0.35">
      <c r="A2446" s="14" t="s">
        <v>1341</v>
      </c>
      <c r="B2446" s="14" t="s">
        <v>377</v>
      </c>
      <c r="D2446" s="18">
        <v>44215</v>
      </c>
      <c r="E2446" s="18">
        <v>44214</v>
      </c>
      <c r="F2446" s="34">
        <v>44238</v>
      </c>
      <c r="H2446" s="28" t="s">
        <v>172</v>
      </c>
    </row>
    <row r="2447" spans="1:13" x14ac:dyDescent="0.35">
      <c r="A2447" s="14" t="s">
        <v>1341</v>
      </c>
      <c r="B2447" s="14" t="s">
        <v>377</v>
      </c>
      <c r="D2447" s="18">
        <v>44215</v>
      </c>
      <c r="E2447" s="18">
        <v>44214</v>
      </c>
      <c r="F2447" s="34">
        <v>44238</v>
      </c>
      <c r="H2447" s="28" t="s">
        <v>30</v>
      </c>
      <c r="K2447" t="s">
        <v>381</v>
      </c>
      <c r="L2447">
        <v>33</v>
      </c>
    </row>
    <row r="2448" spans="1:13" x14ac:dyDescent="0.35">
      <c r="A2448" s="14" t="s">
        <v>1341</v>
      </c>
      <c r="B2448" s="14" t="s">
        <v>377</v>
      </c>
      <c r="D2448" s="18">
        <v>44215</v>
      </c>
      <c r="E2448" s="18">
        <v>44214</v>
      </c>
      <c r="F2448" s="34">
        <v>44238</v>
      </c>
      <c r="H2448" s="28" t="s">
        <v>188</v>
      </c>
    </row>
    <row r="2449" spans="1:13" x14ac:dyDescent="0.35">
      <c r="A2449" s="14" t="s">
        <v>1341</v>
      </c>
      <c r="B2449" s="14" t="s">
        <v>377</v>
      </c>
      <c r="D2449" s="18">
        <v>44215</v>
      </c>
      <c r="E2449" s="18">
        <v>44214</v>
      </c>
      <c r="F2449" s="34">
        <v>44238</v>
      </c>
      <c r="H2449" s="28" t="s">
        <v>192</v>
      </c>
    </row>
    <row r="2450" spans="1:13" x14ac:dyDescent="0.35">
      <c r="A2450" s="14" t="s">
        <v>1341</v>
      </c>
      <c r="B2450" s="14" t="s">
        <v>377</v>
      </c>
      <c r="D2450" s="18">
        <v>44215</v>
      </c>
      <c r="E2450" s="18">
        <v>44214</v>
      </c>
      <c r="F2450" s="34">
        <v>44238</v>
      </c>
      <c r="H2450" s="28" t="s">
        <v>198</v>
      </c>
    </row>
    <row r="2451" spans="1:13" x14ac:dyDescent="0.35">
      <c r="A2451" s="14" t="s">
        <v>1341</v>
      </c>
      <c r="B2451" s="14" t="s">
        <v>377</v>
      </c>
      <c r="D2451" s="18">
        <v>44215</v>
      </c>
      <c r="E2451" s="18">
        <v>44214</v>
      </c>
      <c r="F2451" s="34">
        <v>44238</v>
      </c>
      <c r="H2451" s="28" t="s">
        <v>393</v>
      </c>
    </row>
    <row r="2452" spans="1:13" x14ac:dyDescent="0.35">
      <c r="A2452" s="14" t="s">
        <v>1341</v>
      </c>
      <c r="B2452" s="14" t="s">
        <v>377</v>
      </c>
      <c r="D2452" s="18">
        <v>44215</v>
      </c>
      <c r="E2452" s="18">
        <v>44214</v>
      </c>
      <c r="F2452" s="34">
        <v>44238</v>
      </c>
      <c r="H2452" s="28" t="s">
        <v>204</v>
      </c>
    </row>
    <row r="2453" spans="1:13" x14ac:dyDescent="0.35">
      <c r="A2453" s="14" t="s">
        <v>1341</v>
      </c>
      <c r="B2453" s="14" t="s">
        <v>377</v>
      </c>
      <c r="D2453" s="18">
        <v>44215</v>
      </c>
      <c r="E2453" s="18">
        <v>44214</v>
      </c>
      <c r="F2453" s="34">
        <v>44238</v>
      </c>
      <c r="H2453" s="28" t="s">
        <v>210</v>
      </c>
    </row>
    <row r="2454" spans="1:13" x14ac:dyDescent="0.35">
      <c r="A2454" s="14" t="s">
        <v>1341</v>
      </c>
      <c r="B2454" s="14" t="s">
        <v>377</v>
      </c>
      <c r="D2454" s="18">
        <v>44215</v>
      </c>
      <c r="E2454" s="18">
        <v>44214</v>
      </c>
      <c r="F2454" s="34">
        <v>44238</v>
      </c>
      <c r="H2454" s="28" t="s">
        <v>31</v>
      </c>
      <c r="K2454" t="s">
        <v>381</v>
      </c>
      <c r="L2454">
        <v>50</v>
      </c>
    </row>
    <row r="2455" spans="1:13" x14ac:dyDescent="0.35">
      <c r="A2455" s="14" t="s">
        <v>1341</v>
      </c>
      <c r="B2455" s="14" t="s">
        <v>377</v>
      </c>
      <c r="D2455" s="18">
        <v>44215</v>
      </c>
      <c r="E2455" s="18">
        <v>44214</v>
      </c>
      <c r="F2455" s="34">
        <v>44238</v>
      </c>
      <c r="H2455" s="28" t="s">
        <v>230</v>
      </c>
    </row>
    <row r="2456" spans="1:13" x14ac:dyDescent="0.35">
      <c r="A2456" s="14" t="s">
        <v>1341</v>
      </c>
      <c r="B2456" s="14" t="s">
        <v>377</v>
      </c>
      <c r="D2456" s="18">
        <v>44215</v>
      </c>
      <c r="E2456" s="18">
        <v>44214</v>
      </c>
      <c r="H2456" s="28" t="s">
        <v>259</v>
      </c>
      <c r="K2456" t="s">
        <v>1345</v>
      </c>
      <c r="L2456" t="s">
        <v>1348</v>
      </c>
    </row>
    <row r="2457" spans="1:13" x14ac:dyDescent="0.35">
      <c r="A2457" s="14" t="s">
        <v>1341</v>
      </c>
      <c r="B2457" s="14" t="s">
        <v>377</v>
      </c>
      <c r="D2457" s="18">
        <v>44215</v>
      </c>
      <c r="E2457" s="18">
        <v>44214</v>
      </c>
      <c r="F2457" s="34">
        <v>44238</v>
      </c>
      <c r="H2457" s="28" t="s">
        <v>261</v>
      </c>
    </row>
    <row r="2458" spans="1:13" x14ac:dyDescent="0.35">
      <c r="A2458" s="14" t="s">
        <v>1341</v>
      </c>
      <c r="B2458" s="14" t="s">
        <v>377</v>
      </c>
      <c r="D2458" s="18">
        <v>44215</v>
      </c>
      <c r="E2458" s="18">
        <v>44214</v>
      </c>
      <c r="F2458" s="34">
        <v>44238</v>
      </c>
      <c r="H2458" s="28" t="s">
        <v>287</v>
      </c>
      <c r="K2458" t="s">
        <v>1345</v>
      </c>
      <c r="L2458" t="s">
        <v>1346</v>
      </c>
    </row>
    <row r="2459" spans="1:13" x14ac:dyDescent="0.35">
      <c r="A2459" s="14" t="s">
        <v>1341</v>
      </c>
      <c r="B2459" s="14" t="s">
        <v>377</v>
      </c>
      <c r="D2459" s="18">
        <v>44215</v>
      </c>
      <c r="E2459" s="18">
        <v>44214</v>
      </c>
      <c r="F2459" s="34">
        <v>44238</v>
      </c>
      <c r="H2459" s="28" t="s">
        <v>305</v>
      </c>
    </row>
    <row r="2460" spans="1:13" x14ac:dyDescent="0.35">
      <c r="A2460" s="14" t="s">
        <v>1341</v>
      </c>
      <c r="B2460" s="14" t="s">
        <v>377</v>
      </c>
      <c r="D2460" s="18">
        <v>44215</v>
      </c>
      <c r="E2460" s="18">
        <v>44214</v>
      </c>
      <c r="F2460" s="34">
        <v>44238</v>
      </c>
      <c r="H2460" s="28" t="s">
        <v>60</v>
      </c>
      <c r="K2460" t="s">
        <v>380</v>
      </c>
      <c r="L2460">
        <v>6</v>
      </c>
    </row>
    <row r="2461" spans="1:13" x14ac:dyDescent="0.35">
      <c r="A2461" s="14" t="s">
        <v>1341</v>
      </c>
      <c r="B2461" s="14" t="s">
        <v>377</v>
      </c>
      <c r="D2461" s="18">
        <v>44215</v>
      </c>
      <c r="E2461" s="18">
        <v>44214</v>
      </c>
      <c r="F2461" s="34">
        <v>44238</v>
      </c>
      <c r="H2461" s="28" t="s">
        <v>345</v>
      </c>
      <c r="K2461" t="s">
        <v>381</v>
      </c>
      <c r="L2461">
        <v>50</v>
      </c>
    </row>
    <row r="2462" spans="1:13" x14ac:dyDescent="0.35">
      <c r="A2462" s="14" t="s">
        <v>1341</v>
      </c>
      <c r="B2462" s="14" t="s">
        <v>377</v>
      </c>
      <c r="D2462" s="18">
        <v>44215</v>
      </c>
      <c r="E2462" s="18">
        <v>44214</v>
      </c>
      <c r="F2462" s="34">
        <v>44238</v>
      </c>
      <c r="H2462" s="28" t="s">
        <v>368</v>
      </c>
      <c r="K2462" t="s">
        <v>380</v>
      </c>
      <c r="L2462">
        <v>6</v>
      </c>
    </row>
    <row r="2463" spans="1:13" x14ac:dyDescent="0.35">
      <c r="A2463" s="14" t="s">
        <v>391</v>
      </c>
      <c r="B2463" s="14" t="s">
        <v>377</v>
      </c>
      <c r="D2463" s="18">
        <v>44225</v>
      </c>
      <c r="E2463" s="18">
        <v>44224</v>
      </c>
      <c r="F2463" s="34">
        <v>44238</v>
      </c>
      <c r="H2463" s="28" t="s">
        <v>418</v>
      </c>
      <c r="M2463">
        <v>100</v>
      </c>
    </row>
    <row r="2464" spans="1:13" x14ac:dyDescent="0.35">
      <c r="A2464" s="14" t="s">
        <v>1341</v>
      </c>
      <c r="B2464" s="14" t="s">
        <v>377</v>
      </c>
      <c r="D2464" s="18">
        <v>44239</v>
      </c>
      <c r="E2464" s="18">
        <v>44238</v>
      </c>
      <c r="F2464" s="34">
        <v>44247</v>
      </c>
      <c r="H2464" s="28" t="s">
        <v>96</v>
      </c>
    </row>
    <row r="2465" spans="1:12" x14ac:dyDescent="0.35">
      <c r="A2465" s="14" t="s">
        <v>1341</v>
      </c>
      <c r="B2465" s="14" t="s">
        <v>377</v>
      </c>
      <c r="D2465" s="18">
        <v>44239</v>
      </c>
      <c r="E2465" s="18">
        <v>44238</v>
      </c>
      <c r="F2465" s="34">
        <v>44247</v>
      </c>
      <c r="H2465" s="28" t="s">
        <v>47</v>
      </c>
      <c r="K2465" t="s">
        <v>381</v>
      </c>
      <c r="L2465">
        <v>20</v>
      </c>
    </row>
    <row r="2466" spans="1:12" x14ac:dyDescent="0.35">
      <c r="A2466" s="14" t="s">
        <v>1341</v>
      </c>
      <c r="B2466" s="14" t="s">
        <v>377</v>
      </c>
      <c r="D2466" s="18">
        <v>44239</v>
      </c>
      <c r="E2466" s="18">
        <v>44238</v>
      </c>
      <c r="F2466" s="34">
        <v>44247</v>
      </c>
      <c r="H2466" s="28" t="s">
        <v>50</v>
      </c>
      <c r="K2466" t="s">
        <v>381</v>
      </c>
      <c r="L2466">
        <v>50</v>
      </c>
    </row>
    <row r="2467" spans="1:12" x14ac:dyDescent="0.35">
      <c r="A2467" s="14" t="s">
        <v>1341</v>
      </c>
      <c r="B2467" s="14" t="s">
        <v>377</v>
      </c>
      <c r="D2467" s="18">
        <v>44239</v>
      </c>
      <c r="E2467" s="18">
        <v>44238</v>
      </c>
      <c r="F2467" s="34">
        <v>44247</v>
      </c>
      <c r="H2467" s="28" t="s">
        <v>41</v>
      </c>
      <c r="K2467" t="s">
        <v>381</v>
      </c>
      <c r="L2467">
        <v>50</v>
      </c>
    </row>
    <row r="2468" spans="1:12" x14ac:dyDescent="0.35">
      <c r="A2468" s="14" t="s">
        <v>1341</v>
      </c>
      <c r="B2468" s="14" t="s">
        <v>377</v>
      </c>
      <c r="D2468" s="18">
        <v>44239</v>
      </c>
      <c r="E2468" s="18">
        <v>44238</v>
      </c>
      <c r="F2468" s="34">
        <v>44247</v>
      </c>
      <c r="H2468" s="28" t="s">
        <v>39</v>
      </c>
      <c r="K2468" t="s">
        <v>381</v>
      </c>
      <c r="L2468">
        <v>25</v>
      </c>
    </row>
    <row r="2469" spans="1:12" x14ac:dyDescent="0.35">
      <c r="A2469" s="14" t="s">
        <v>1341</v>
      </c>
      <c r="B2469" s="14" t="s">
        <v>377</v>
      </c>
      <c r="D2469" s="18">
        <v>44239</v>
      </c>
      <c r="E2469" s="18">
        <v>44238</v>
      </c>
      <c r="F2469" s="34">
        <v>44247</v>
      </c>
      <c r="H2469" s="28" t="s">
        <v>123</v>
      </c>
    </row>
    <row r="2470" spans="1:12" x14ac:dyDescent="0.35">
      <c r="A2470" s="14" t="s">
        <v>1341</v>
      </c>
      <c r="B2470" s="14" t="s">
        <v>377</v>
      </c>
      <c r="D2470" s="18">
        <v>44239</v>
      </c>
      <c r="E2470" s="18">
        <v>44238</v>
      </c>
      <c r="F2470" s="34">
        <v>44247</v>
      </c>
      <c r="H2470" s="28" t="s">
        <v>150</v>
      </c>
    </row>
    <row r="2471" spans="1:12" x14ac:dyDescent="0.35">
      <c r="A2471" s="14" t="s">
        <v>1341</v>
      </c>
      <c r="B2471" s="14" t="s">
        <v>377</v>
      </c>
      <c r="D2471" s="18">
        <v>44239</v>
      </c>
      <c r="E2471" s="18">
        <v>44238</v>
      </c>
      <c r="F2471" s="34">
        <v>44247</v>
      </c>
      <c r="H2471" s="28" t="s">
        <v>127</v>
      </c>
    </row>
    <row r="2472" spans="1:12" x14ac:dyDescent="0.35">
      <c r="A2472" s="14" t="s">
        <v>1341</v>
      </c>
      <c r="B2472" s="14" t="s">
        <v>377</v>
      </c>
      <c r="D2472" s="18">
        <v>44239</v>
      </c>
      <c r="E2472" s="18">
        <v>44238</v>
      </c>
      <c r="F2472" s="34">
        <v>44247</v>
      </c>
      <c r="H2472" s="28" t="s">
        <v>23</v>
      </c>
      <c r="K2472" t="s">
        <v>380</v>
      </c>
      <c r="L2472">
        <v>6</v>
      </c>
    </row>
    <row r="2473" spans="1:12" x14ac:dyDescent="0.35">
      <c r="A2473" s="14" t="s">
        <v>1341</v>
      </c>
      <c r="B2473" s="14" t="s">
        <v>377</v>
      </c>
      <c r="D2473" s="18">
        <v>44239</v>
      </c>
      <c r="E2473" s="18">
        <v>44238</v>
      </c>
      <c r="F2473" s="34">
        <v>44247</v>
      </c>
      <c r="H2473" s="28" t="s">
        <v>24</v>
      </c>
      <c r="K2473" t="s">
        <v>380</v>
      </c>
      <c r="L2473">
        <v>6</v>
      </c>
    </row>
    <row r="2474" spans="1:12" x14ac:dyDescent="0.35">
      <c r="A2474" s="14" t="s">
        <v>1341</v>
      </c>
      <c r="B2474" s="14" t="s">
        <v>377</v>
      </c>
      <c r="D2474" s="18">
        <v>44239</v>
      </c>
      <c r="E2474" s="18">
        <v>44238</v>
      </c>
      <c r="F2474" s="34">
        <v>44247</v>
      </c>
      <c r="H2474" s="28" t="s">
        <v>27</v>
      </c>
      <c r="K2474" t="s">
        <v>381</v>
      </c>
      <c r="L2474">
        <v>40</v>
      </c>
    </row>
    <row r="2475" spans="1:12" x14ac:dyDescent="0.35">
      <c r="A2475" s="14" t="s">
        <v>1341</v>
      </c>
      <c r="B2475" s="14" t="s">
        <v>377</v>
      </c>
      <c r="D2475" s="18">
        <v>44239</v>
      </c>
      <c r="E2475" s="18">
        <v>44238</v>
      </c>
      <c r="F2475" s="34">
        <v>44247</v>
      </c>
      <c r="H2475" s="28" t="s">
        <v>28</v>
      </c>
      <c r="K2475" t="s">
        <v>380</v>
      </c>
      <c r="L2475">
        <v>100</v>
      </c>
    </row>
    <row r="2476" spans="1:12" x14ac:dyDescent="0.35">
      <c r="A2476" s="14" t="s">
        <v>1341</v>
      </c>
      <c r="B2476" s="14" t="s">
        <v>377</v>
      </c>
      <c r="D2476" s="18">
        <v>44239</v>
      </c>
      <c r="E2476" s="18">
        <v>44238</v>
      </c>
      <c r="F2476" s="34">
        <v>44247</v>
      </c>
      <c r="H2476" s="28" t="s">
        <v>30</v>
      </c>
      <c r="K2476" t="s">
        <v>381</v>
      </c>
      <c r="L2476">
        <v>33</v>
      </c>
    </row>
    <row r="2477" spans="1:12" x14ac:dyDescent="0.35">
      <c r="A2477" s="14" t="s">
        <v>1341</v>
      </c>
      <c r="B2477" s="14" t="s">
        <v>377</v>
      </c>
      <c r="D2477" s="18">
        <v>44239</v>
      </c>
      <c r="E2477" s="18">
        <v>44238</v>
      </c>
      <c r="F2477" s="34">
        <v>44247</v>
      </c>
      <c r="H2477" s="28" t="s">
        <v>188</v>
      </c>
    </row>
    <row r="2478" spans="1:12" x14ac:dyDescent="0.35">
      <c r="A2478" s="14" t="s">
        <v>1341</v>
      </c>
      <c r="B2478" s="14" t="s">
        <v>377</v>
      </c>
      <c r="D2478" s="18">
        <v>44239</v>
      </c>
      <c r="E2478" s="18">
        <v>44238</v>
      </c>
      <c r="F2478" s="34">
        <v>44247</v>
      </c>
      <c r="H2478" s="28" t="s">
        <v>192</v>
      </c>
    </row>
    <row r="2479" spans="1:12" x14ac:dyDescent="0.35">
      <c r="A2479" s="14" t="s">
        <v>1341</v>
      </c>
      <c r="B2479" s="14" t="s">
        <v>377</v>
      </c>
      <c r="D2479" s="18">
        <v>44239</v>
      </c>
      <c r="E2479" s="18">
        <v>44238</v>
      </c>
      <c r="F2479" s="34">
        <v>44247</v>
      </c>
      <c r="H2479" s="28" t="s">
        <v>198</v>
      </c>
    </row>
    <row r="2480" spans="1:12" x14ac:dyDescent="0.35">
      <c r="A2480" s="14" t="s">
        <v>1341</v>
      </c>
      <c r="B2480" s="14" t="s">
        <v>377</v>
      </c>
      <c r="D2480" s="18">
        <v>44239</v>
      </c>
      <c r="E2480" s="18">
        <v>44238</v>
      </c>
      <c r="F2480" s="34">
        <v>44247</v>
      </c>
      <c r="H2480" s="28" t="s">
        <v>393</v>
      </c>
    </row>
    <row r="2481" spans="1:12" x14ac:dyDescent="0.35">
      <c r="A2481" s="14" t="s">
        <v>1341</v>
      </c>
      <c r="B2481" s="14" t="s">
        <v>377</v>
      </c>
      <c r="D2481" s="18">
        <v>44239</v>
      </c>
      <c r="E2481" s="18">
        <v>44238</v>
      </c>
      <c r="F2481" s="34">
        <v>44247</v>
      </c>
      <c r="H2481" s="28" t="s">
        <v>204</v>
      </c>
    </row>
    <row r="2482" spans="1:12" x14ac:dyDescent="0.35">
      <c r="A2482" s="14" t="s">
        <v>1341</v>
      </c>
      <c r="B2482" s="14" t="s">
        <v>377</v>
      </c>
      <c r="D2482" s="18">
        <v>44239</v>
      </c>
      <c r="E2482" s="18">
        <v>44238</v>
      </c>
      <c r="F2482" s="34">
        <v>44247</v>
      </c>
      <c r="H2482" s="28" t="s">
        <v>210</v>
      </c>
    </row>
    <row r="2483" spans="1:12" x14ac:dyDescent="0.35">
      <c r="A2483" s="14" t="s">
        <v>1341</v>
      </c>
      <c r="B2483" s="14" t="s">
        <v>377</v>
      </c>
      <c r="D2483" s="18">
        <v>44239</v>
      </c>
      <c r="E2483" s="18">
        <v>44238</v>
      </c>
      <c r="F2483" s="34">
        <v>44247</v>
      </c>
      <c r="H2483" s="28" t="s">
        <v>31</v>
      </c>
      <c r="K2483" t="s">
        <v>381</v>
      </c>
      <c r="L2483">
        <v>50</v>
      </c>
    </row>
    <row r="2484" spans="1:12" x14ac:dyDescent="0.35">
      <c r="A2484" s="14" t="s">
        <v>1341</v>
      </c>
      <c r="B2484" s="14" t="s">
        <v>377</v>
      </c>
      <c r="D2484" s="18">
        <v>44239</v>
      </c>
      <c r="E2484" s="18">
        <v>44238</v>
      </c>
      <c r="F2484" s="34">
        <v>44247</v>
      </c>
      <c r="H2484" s="28" t="s">
        <v>230</v>
      </c>
    </row>
    <row r="2485" spans="1:12" x14ac:dyDescent="0.35">
      <c r="A2485" s="14" t="s">
        <v>1341</v>
      </c>
      <c r="B2485" s="14" t="s">
        <v>377</v>
      </c>
      <c r="D2485" s="18">
        <v>44239</v>
      </c>
      <c r="E2485" s="18">
        <v>44238</v>
      </c>
      <c r="F2485" s="34">
        <v>44247</v>
      </c>
      <c r="H2485" s="28" t="s">
        <v>287</v>
      </c>
      <c r="K2485" t="s">
        <v>1345</v>
      </c>
      <c r="L2485" t="s">
        <v>1346</v>
      </c>
    </row>
    <row r="2486" spans="1:12" x14ac:dyDescent="0.35">
      <c r="A2486" s="14" t="s">
        <v>1341</v>
      </c>
      <c r="B2486" s="14" t="s">
        <v>377</v>
      </c>
      <c r="D2486" s="18">
        <v>44239</v>
      </c>
      <c r="E2486" s="18">
        <v>44238</v>
      </c>
      <c r="F2486" s="34">
        <v>44247</v>
      </c>
      <c r="H2486" s="28" t="s">
        <v>315</v>
      </c>
      <c r="K2486" t="s">
        <v>381</v>
      </c>
      <c r="L2486">
        <v>33.299999999999997</v>
      </c>
    </row>
    <row r="2487" spans="1:12" x14ac:dyDescent="0.35">
      <c r="A2487" s="14" t="s">
        <v>1341</v>
      </c>
      <c r="B2487" s="14" t="s">
        <v>377</v>
      </c>
      <c r="D2487" s="18">
        <v>44239</v>
      </c>
      <c r="E2487" s="18">
        <v>44238</v>
      </c>
      <c r="F2487" s="34">
        <v>44247</v>
      </c>
      <c r="H2487" s="28" t="s">
        <v>311</v>
      </c>
      <c r="K2487" t="s">
        <v>1345</v>
      </c>
      <c r="L2487" s="54">
        <v>0.875</v>
      </c>
    </row>
    <row r="2488" spans="1:12" x14ac:dyDescent="0.35">
      <c r="A2488" s="14" t="s">
        <v>1341</v>
      </c>
      <c r="B2488" s="14" t="s">
        <v>377</v>
      </c>
      <c r="D2488" s="18">
        <v>44239</v>
      </c>
      <c r="E2488" s="18">
        <v>44238</v>
      </c>
      <c r="F2488" s="34">
        <v>44247</v>
      </c>
      <c r="H2488" s="28" t="s">
        <v>313</v>
      </c>
      <c r="K2488" t="s">
        <v>381</v>
      </c>
      <c r="L2488">
        <v>50</v>
      </c>
    </row>
    <row r="2489" spans="1:12" x14ac:dyDescent="0.35">
      <c r="A2489" s="14" t="s">
        <v>1341</v>
      </c>
      <c r="B2489" s="14" t="s">
        <v>377</v>
      </c>
      <c r="D2489" s="18">
        <v>44239</v>
      </c>
      <c r="E2489" s="18">
        <v>44238</v>
      </c>
      <c r="F2489" s="34">
        <v>44247</v>
      </c>
      <c r="H2489" s="28" t="s">
        <v>60</v>
      </c>
      <c r="K2489" t="s">
        <v>380</v>
      </c>
      <c r="L2489">
        <v>6</v>
      </c>
    </row>
    <row r="2490" spans="1:12" x14ac:dyDescent="0.35">
      <c r="A2490" s="14" t="s">
        <v>1341</v>
      </c>
      <c r="B2490" s="14" t="s">
        <v>377</v>
      </c>
      <c r="D2490" s="18">
        <v>44239</v>
      </c>
      <c r="E2490" s="18">
        <v>44238</v>
      </c>
      <c r="F2490" s="34">
        <v>44247</v>
      </c>
      <c r="H2490" s="28" t="s">
        <v>345</v>
      </c>
      <c r="K2490" t="s">
        <v>381</v>
      </c>
      <c r="L2490">
        <v>50</v>
      </c>
    </row>
    <row r="2491" spans="1:12" x14ac:dyDescent="0.35">
      <c r="A2491" s="14" t="s">
        <v>1341</v>
      </c>
      <c r="B2491" s="14" t="s">
        <v>377</v>
      </c>
      <c r="D2491" s="18">
        <v>44239</v>
      </c>
      <c r="E2491" s="18">
        <v>44238</v>
      </c>
      <c r="F2491" s="34">
        <v>44247</v>
      </c>
      <c r="H2491" s="28" t="s">
        <v>368</v>
      </c>
      <c r="K2491" t="s">
        <v>380</v>
      </c>
      <c r="L2491">
        <v>6</v>
      </c>
    </row>
    <row r="2492" spans="1:12" x14ac:dyDescent="0.35">
      <c r="A2492" s="14" t="s">
        <v>1341</v>
      </c>
      <c r="B2492" s="14" t="s">
        <v>377</v>
      </c>
      <c r="D2492" s="18">
        <v>44239</v>
      </c>
      <c r="E2492" s="18">
        <v>44238</v>
      </c>
      <c r="F2492" s="34">
        <v>44247</v>
      </c>
      <c r="H2492" s="28" t="s">
        <v>309</v>
      </c>
    </row>
    <row r="2493" spans="1:12" x14ac:dyDescent="0.35">
      <c r="A2493" s="14" t="s">
        <v>1341</v>
      </c>
      <c r="B2493" s="14" t="s">
        <v>377</v>
      </c>
      <c r="D2493" s="18">
        <v>44248</v>
      </c>
      <c r="E2493" s="18">
        <v>44247</v>
      </c>
      <c r="H2493" t="s">
        <v>188</v>
      </c>
    </row>
    <row r="2494" spans="1:12" x14ac:dyDescent="0.35">
      <c r="A2494" s="14" t="s">
        <v>1341</v>
      </c>
      <c r="B2494" s="14" t="s">
        <v>377</v>
      </c>
      <c r="D2494" s="18">
        <v>44248</v>
      </c>
      <c r="E2494" s="18">
        <v>44247</v>
      </c>
      <c r="H2494" t="s">
        <v>192</v>
      </c>
    </row>
    <row r="2495" spans="1:12" x14ac:dyDescent="0.35">
      <c r="A2495" s="14" t="s">
        <v>1341</v>
      </c>
      <c r="B2495" s="14" t="s">
        <v>377</v>
      </c>
      <c r="D2495" s="18">
        <v>44248</v>
      </c>
      <c r="E2495" s="18">
        <v>44247</v>
      </c>
      <c r="H2495" t="s">
        <v>309</v>
      </c>
    </row>
    <row r="2496" spans="1:12" x14ac:dyDescent="0.35">
      <c r="A2496" s="14" t="s">
        <v>1341</v>
      </c>
      <c r="B2496" s="14" t="s">
        <v>377</v>
      </c>
      <c r="D2496" s="18">
        <v>44248</v>
      </c>
      <c r="E2496" s="18">
        <v>44247</v>
      </c>
      <c r="H2496" t="s">
        <v>315</v>
      </c>
      <c r="K2496" t="s">
        <v>381</v>
      </c>
      <c r="L2496">
        <v>50</v>
      </c>
    </row>
    <row r="2497" spans="1:12" x14ac:dyDescent="0.35">
      <c r="A2497" s="14" t="s">
        <v>1341</v>
      </c>
      <c r="B2497" s="14" t="s">
        <v>377</v>
      </c>
      <c r="D2497" s="18">
        <v>44248</v>
      </c>
      <c r="E2497" s="18">
        <v>44247</v>
      </c>
      <c r="H2497" t="s">
        <v>313</v>
      </c>
      <c r="K2497" t="s">
        <v>381</v>
      </c>
      <c r="L2497">
        <v>75</v>
      </c>
    </row>
    <row r="2498" spans="1:12" x14ac:dyDescent="0.35">
      <c r="A2498" s="14" t="s">
        <v>1341</v>
      </c>
      <c r="B2498" s="14" t="s">
        <v>377</v>
      </c>
      <c r="D2498" s="18">
        <v>44248</v>
      </c>
      <c r="E2498" s="18">
        <v>44247</v>
      </c>
      <c r="H2498" t="s">
        <v>56</v>
      </c>
      <c r="K2498" t="s">
        <v>381</v>
      </c>
      <c r="L2498">
        <v>50</v>
      </c>
    </row>
    <row r="2499" spans="1:12" x14ac:dyDescent="0.35">
      <c r="A2499" s="14" t="s">
        <v>1341</v>
      </c>
      <c r="B2499" s="14" t="s">
        <v>377</v>
      </c>
      <c r="D2499" s="18">
        <v>44248</v>
      </c>
      <c r="E2499" s="18">
        <v>44247</v>
      </c>
      <c r="H2499" t="s">
        <v>204</v>
      </c>
    </row>
    <row r="2500" spans="1:12" x14ac:dyDescent="0.35">
      <c r="A2500" s="14" t="s">
        <v>1341</v>
      </c>
      <c r="B2500" s="14" t="s">
        <v>377</v>
      </c>
      <c r="D2500" s="18">
        <v>44248</v>
      </c>
      <c r="E2500" s="18">
        <v>44247</v>
      </c>
      <c r="H2500" t="s">
        <v>202</v>
      </c>
      <c r="L2500" t="s">
        <v>1351</v>
      </c>
    </row>
    <row r="2501" spans="1:12" x14ac:dyDescent="0.35">
      <c r="A2501" s="14" t="s">
        <v>1341</v>
      </c>
      <c r="B2501" s="14" t="s">
        <v>377</v>
      </c>
      <c r="D2501" s="18">
        <v>44248</v>
      </c>
      <c r="E2501" s="18">
        <v>44247</v>
      </c>
      <c r="H2501" t="s">
        <v>208</v>
      </c>
    </row>
    <row r="2502" spans="1:12" x14ac:dyDescent="0.35">
      <c r="A2502" s="14" t="s">
        <v>1341</v>
      </c>
      <c r="B2502" s="14" t="s">
        <v>377</v>
      </c>
      <c r="D2502" s="18">
        <v>44248</v>
      </c>
      <c r="E2502" s="18">
        <v>44247</v>
      </c>
      <c r="H2502" t="s">
        <v>210</v>
      </c>
    </row>
    <row r="2503" spans="1:12" x14ac:dyDescent="0.35">
      <c r="A2503" s="14" t="s">
        <v>1341</v>
      </c>
      <c r="B2503" s="14" t="s">
        <v>377</v>
      </c>
      <c r="D2503" s="18">
        <v>44248</v>
      </c>
      <c r="E2503" s="18">
        <v>44247</v>
      </c>
      <c r="H2503" s="28" t="s">
        <v>23</v>
      </c>
      <c r="K2503" t="s">
        <v>380</v>
      </c>
      <c r="L2503">
        <v>6</v>
      </c>
    </row>
    <row r="2504" spans="1:12" x14ac:dyDescent="0.35">
      <c r="A2504" s="14" t="s">
        <v>1341</v>
      </c>
      <c r="B2504" s="14" t="s">
        <v>377</v>
      </c>
      <c r="D2504" s="18">
        <v>44248</v>
      </c>
      <c r="E2504" s="18">
        <v>44247</v>
      </c>
      <c r="H2504" s="28" t="s">
        <v>24</v>
      </c>
      <c r="K2504" t="s">
        <v>380</v>
      </c>
      <c r="L2504">
        <v>6</v>
      </c>
    </row>
    <row r="2505" spans="1:12" x14ac:dyDescent="0.35">
      <c r="A2505" s="14" t="s">
        <v>1341</v>
      </c>
      <c r="B2505" s="14" t="s">
        <v>377</v>
      </c>
      <c r="D2505" s="18">
        <v>44248</v>
      </c>
      <c r="E2505" s="18">
        <v>44247</v>
      </c>
      <c r="H2505" s="28" t="s">
        <v>27</v>
      </c>
      <c r="K2505" t="s">
        <v>381</v>
      </c>
      <c r="L2505">
        <v>40</v>
      </c>
    </row>
    <row r="2506" spans="1:12" x14ac:dyDescent="0.35">
      <c r="A2506" s="14" t="s">
        <v>1341</v>
      </c>
      <c r="B2506" s="14" t="s">
        <v>377</v>
      </c>
      <c r="D2506" s="18">
        <v>44248</v>
      </c>
      <c r="E2506" s="18">
        <v>44247</v>
      </c>
      <c r="H2506" s="28" t="s">
        <v>28</v>
      </c>
      <c r="K2506" t="s">
        <v>380</v>
      </c>
      <c r="L2506">
        <v>100</v>
      </c>
    </row>
    <row r="2507" spans="1:12" x14ac:dyDescent="0.35">
      <c r="A2507" s="14" t="s">
        <v>1341</v>
      </c>
      <c r="B2507" s="14" t="s">
        <v>377</v>
      </c>
      <c r="D2507" s="18">
        <v>44248</v>
      </c>
      <c r="E2507" s="18">
        <v>44247</v>
      </c>
      <c r="H2507" s="28" t="s">
        <v>55</v>
      </c>
      <c r="K2507" t="s">
        <v>381</v>
      </c>
      <c r="L2507">
        <v>50</v>
      </c>
    </row>
    <row r="2508" spans="1:12" x14ac:dyDescent="0.35">
      <c r="A2508" s="14" t="s">
        <v>1341</v>
      </c>
      <c r="B2508" s="14" t="s">
        <v>377</v>
      </c>
      <c r="D2508" s="18">
        <v>44248</v>
      </c>
      <c r="E2508" s="18">
        <v>44247</v>
      </c>
      <c r="H2508" s="28" t="s">
        <v>55</v>
      </c>
      <c r="K2508" t="s">
        <v>380</v>
      </c>
      <c r="L2508">
        <v>500</v>
      </c>
    </row>
    <row r="2509" spans="1:12" x14ac:dyDescent="0.35">
      <c r="A2509" s="14" t="s">
        <v>1341</v>
      </c>
      <c r="B2509" s="14" t="s">
        <v>377</v>
      </c>
      <c r="D2509" s="18">
        <v>44248</v>
      </c>
      <c r="E2509" s="18">
        <v>44247</v>
      </c>
      <c r="H2509" s="28" t="s">
        <v>48</v>
      </c>
      <c r="K2509" t="s">
        <v>381</v>
      </c>
      <c r="L2509">
        <v>50</v>
      </c>
    </row>
    <row r="2510" spans="1:12" x14ac:dyDescent="0.35">
      <c r="A2510" s="14" t="s">
        <v>1341</v>
      </c>
      <c r="B2510" s="14" t="s">
        <v>377</v>
      </c>
      <c r="D2510" s="18">
        <v>44248</v>
      </c>
      <c r="E2510" s="18">
        <v>44247</v>
      </c>
      <c r="H2510" s="28" t="s">
        <v>49</v>
      </c>
      <c r="K2510" t="s">
        <v>381</v>
      </c>
      <c r="L2510">
        <v>30</v>
      </c>
    </row>
    <row r="2511" spans="1:12" x14ac:dyDescent="0.35">
      <c r="A2511" s="14" t="s">
        <v>1341</v>
      </c>
      <c r="B2511" s="14" t="s">
        <v>377</v>
      </c>
      <c r="D2511" s="18">
        <v>44248</v>
      </c>
      <c r="E2511" s="18">
        <v>44247</v>
      </c>
      <c r="H2511" s="28" t="s">
        <v>48</v>
      </c>
      <c r="K2511" t="s">
        <v>380</v>
      </c>
      <c r="L2511">
        <v>500</v>
      </c>
    </row>
    <row r="2512" spans="1:12" x14ac:dyDescent="0.35">
      <c r="A2512" s="14" t="s">
        <v>1341</v>
      </c>
      <c r="B2512" s="14" t="s">
        <v>377</v>
      </c>
      <c r="D2512" s="18">
        <v>44248</v>
      </c>
      <c r="E2512" s="18">
        <v>44247</v>
      </c>
      <c r="H2512" s="28" t="s">
        <v>49</v>
      </c>
      <c r="K2512" t="s">
        <v>380</v>
      </c>
      <c r="L2512">
        <v>300</v>
      </c>
    </row>
    <row r="2513" spans="1:12" x14ac:dyDescent="0.35">
      <c r="A2513" s="14" t="s">
        <v>1341</v>
      </c>
      <c r="B2513" s="14" t="s">
        <v>377</v>
      </c>
      <c r="D2513" s="18">
        <v>44248</v>
      </c>
      <c r="E2513" s="18">
        <v>44247</v>
      </c>
      <c r="H2513" s="28" t="s">
        <v>43</v>
      </c>
      <c r="K2513" t="s">
        <v>381</v>
      </c>
      <c r="L2513">
        <v>30</v>
      </c>
    </row>
    <row r="2514" spans="1:12" x14ac:dyDescent="0.35">
      <c r="A2514" s="14" t="s">
        <v>1341</v>
      </c>
      <c r="B2514" s="14" t="s">
        <v>377</v>
      </c>
      <c r="D2514" s="18">
        <v>44248</v>
      </c>
      <c r="E2514" s="18">
        <v>44247</v>
      </c>
      <c r="H2514" s="28" t="s">
        <v>42</v>
      </c>
      <c r="K2514" t="s">
        <v>381</v>
      </c>
      <c r="L2514">
        <v>50</v>
      </c>
    </row>
    <row r="2515" spans="1:12" x14ac:dyDescent="0.35">
      <c r="A2515" s="14" t="s">
        <v>1341</v>
      </c>
      <c r="B2515" s="14" t="s">
        <v>377</v>
      </c>
      <c r="D2515" s="18">
        <v>44248</v>
      </c>
      <c r="E2515" s="18">
        <v>44247</v>
      </c>
      <c r="H2515" s="28" t="s">
        <v>368</v>
      </c>
      <c r="K2515" t="s">
        <v>381</v>
      </c>
      <c r="L2515">
        <v>50</v>
      </c>
    </row>
    <row r="2516" spans="1:12" x14ac:dyDescent="0.35">
      <c r="A2516" s="14" t="s">
        <v>1341</v>
      </c>
      <c r="B2516" s="14" t="s">
        <v>377</v>
      </c>
      <c r="D2516" s="18">
        <v>44248</v>
      </c>
      <c r="E2516" s="18">
        <v>44247</v>
      </c>
      <c r="H2516" s="28" t="s">
        <v>368</v>
      </c>
      <c r="K2516" t="s">
        <v>380</v>
      </c>
      <c r="L2516">
        <v>30</v>
      </c>
    </row>
    <row r="2517" spans="1:12" x14ac:dyDescent="0.35">
      <c r="A2517" s="14" t="s">
        <v>1341</v>
      </c>
      <c r="B2517" s="14" t="s">
        <v>377</v>
      </c>
      <c r="D2517" s="18">
        <v>44248</v>
      </c>
      <c r="E2517" s="18">
        <v>44247</v>
      </c>
      <c r="H2517" s="28" t="s">
        <v>41</v>
      </c>
      <c r="K2517" t="s">
        <v>381</v>
      </c>
      <c r="L2517">
        <v>75</v>
      </c>
    </row>
    <row r="2518" spans="1:12" x14ac:dyDescent="0.35">
      <c r="A2518" s="14" t="s">
        <v>1341</v>
      </c>
      <c r="B2518" s="14" t="s">
        <v>377</v>
      </c>
      <c r="D2518" s="18">
        <v>44248</v>
      </c>
      <c r="E2518" s="18">
        <v>44247</v>
      </c>
      <c r="H2518" s="28" t="s">
        <v>39</v>
      </c>
      <c r="K2518" t="s">
        <v>381</v>
      </c>
      <c r="L2518">
        <v>50</v>
      </c>
    </row>
    <row r="2519" spans="1:12" x14ac:dyDescent="0.35">
      <c r="A2519" s="14" t="s">
        <v>1341</v>
      </c>
      <c r="B2519" s="14" t="s">
        <v>377</v>
      </c>
      <c r="D2519" s="18">
        <v>44248</v>
      </c>
      <c r="E2519" s="18">
        <v>44247</v>
      </c>
      <c r="H2519" s="28" t="s">
        <v>96</v>
      </c>
    </row>
    <row r="2520" spans="1:12" x14ac:dyDescent="0.35">
      <c r="A2520" s="14" t="s">
        <v>1341</v>
      </c>
      <c r="B2520" s="14" t="s">
        <v>377</v>
      </c>
      <c r="D2520" s="18">
        <v>44248</v>
      </c>
      <c r="E2520" s="18">
        <v>44247</v>
      </c>
      <c r="H2520" s="28" t="s">
        <v>88</v>
      </c>
      <c r="K2520" t="s">
        <v>381</v>
      </c>
      <c r="L2520">
        <v>60</v>
      </c>
    </row>
    <row r="2521" spans="1:12" x14ac:dyDescent="0.35">
      <c r="A2521" s="14" t="s">
        <v>1341</v>
      </c>
      <c r="B2521" s="14" t="s">
        <v>377</v>
      </c>
      <c r="D2521" s="18">
        <v>44248</v>
      </c>
      <c r="E2521" s="18">
        <v>44247</v>
      </c>
      <c r="H2521" s="28" t="s">
        <v>90</v>
      </c>
      <c r="K2521" t="s">
        <v>381</v>
      </c>
      <c r="L2521">
        <v>30</v>
      </c>
    </row>
    <row r="2522" spans="1:12" x14ac:dyDescent="0.35">
      <c r="A2522" s="14" t="s">
        <v>1341</v>
      </c>
      <c r="B2522" s="14" t="s">
        <v>377</v>
      </c>
      <c r="D2522" s="18">
        <v>44248</v>
      </c>
      <c r="E2522" s="18">
        <v>44247</v>
      </c>
      <c r="H2522" s="28" t="s">
        <v>30</v>
      </c>
      <c r="L2522">
        <v>33</v>
      </c>
    </row>
    <row r="2523" spans="1:12" x14ac:dyDescent="0.35">
      <c r="A2523" s="14" t="s">
        <v>1341</v>
      </c>
      <c r="B2523" s="14" t="s">
        <v>377</v>
      </c>
      <c r="D2523" s="18">
        <v>44248</v>
      </c>
      <c r="E2523" s="18">
        <v>44247</v>
      </c>
      <c r="H2523" s="28" t="s">
        <v>287</v>
      </c>
      <c r="K2523" t="s">
        <v>1345</v>
      </c>
      <c r="L2523" t="s">
        <v>1346</v>
      </c>
    </row>
    <row r="2524" spans="1:12" x14ac:dyDescent="0.35">
      <c r="A2524" s="14" t="s">
        <v>1341</v>
      </c>
      <c r="B2524" s="14" t="s">
        <v>377</v>
      </c>
      <c r="D2524" s="18">
        <v>44248</v>
      </c>
      <c r="E2524" s="18">
        <v>44247</v>
      </c>
      <c r="H2524" s="28" t="s">
        <v>29</v>
      </c>
      <c r="K2524" t="s">
        <v>381</v>
      </c>
      <c r="L2524">
        <v>50</v>
      </c>
    </row>
  </sheetData>
  <autoFilter ref="A1:Q2435">
    <sortState ref="A2:Q1123">
      <sortCondition ref="D2:D1123"/>
      <sortCondition ref="C2:C1123"/>
      <sortCondition ref="H2:H1123"/>
    </sortState>
  </autoFilter>
  <sortState ref="A2:N1123">
    <sortCondition ref="D2:D1123"/>
    <sortCondition ref="H2:H11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rgb="FFFFC000"/>
    <pageSetUpPr fitToPage="1"/>
  </sheetPr>
  <dimension ref="A1:XFC147"/>
  <sheetViews>
    <sheetView zoomScale="70" zoomScaleNormal="70" workbookViewId="0">
      <pane ySplit="1" topLeftCell="A2" activePane="bottomLeft" state="frozen"/>
      <selection pane="bottomLeft" activeCell="C96" sqref="C96"/>
    </sheetView>
  </sheetViews>
  <sheetFormatPr baseColWidth="10" defaultColWidth="10.81640625" defaultRowHeight="14.5" x14ac:dyDescent="0.35"/>
  <cols>
    <col min="1" max="1" width="11.7265625" customWidth="1"/>
    <col min="2" max="2" width="23" customWidth="1"/>
    <col min="3" max="3" width="50.6328125" customWidth="1"/>
  </cols>
  <sheetData>
    <row r="1" spans="1:4" ht="43.5" x14ac:dyDescent="0.35">
      <c r="A1" s="40" t="s">
        <v>64</v>
      </c>
      <c r="B1" s="40" t="s">
        <v>61</v>
      </c>
      <c r="C1" s="40" t="s">
        <v>62</v>
      </c>
      <c r="D1" s="40" t="s">
        <v>63</v>
      </c>
    </row>
    <row r="2" spans="1:4" hidden="1" x14ac:dyDescent="0.35">
      <c r="A2" s="20" t="s">
        <v>68</v>
      </c>
      <c r="B2" s="20" t="s">
        <v>65</v>
      </c>
      <c r="C2" s="20" t="s">
        <v>66</v>
      </c>
      <c r="D2" s="20" t="s">
        <v>67</v>
      </c>
    </row>
    <row r="3" spans="1:4" hidden="1" x14ac:dyDescent="0.35">
      <c r="A3" s="20" t="s">
        <v>83</v>
      </c>
      <c r="B3" s="20" t="s">
        <v>65</v>
      </c>
      <c r="C3" s="20" t="s">
        <v>82</v>
      </c>
      <c r="D3" s="20" t="s">
        <v>67</v>
      </c>
    </row>
    <row r="4" spans="1:4" hidden="1" x14ac:dyDescent="0.35">
      <c r="A4" s="20" t="s">
        <v>85</v>
      </c>
      <c r="B4" s="20" t="s">
        <v>65</v>
      </c>
      <c r="C4" s="20" t="s">
        <v>84</v>
      </c>
      <c r="D4" s="20" t="s">
        <v>67</v>
      </c>
    </row>
    <row r="5" spans="1:4" hidden="1" x14ac:dyDescent="0.35">
      <c r="A5" s="21" t="s">
        <v>45</v>
      </c>
      <c r="B5" s="21" t="s">
        <v>65</v>
      </c>
      <c r="C5" s="21" t="s">
        <v>86</v>
      </c>
      <c r="D5" s="21" t="s">
        <v>67</v>
      </c>
    </row>
    <row r="6" spans="1:4" hidden="1" x14ac:dyDescent="0.35">
      <c r="A6" s="21" t="s">
        <v>88</v>
      </c>
      <c r="B6" s="21" t="s">
        <v>65</v>
      </c>
      <c r="C6" s="21" t="s">
        <v>87</v>
      </c>
      <c r="D6" s="21" t="s">
        <v>67</v>
      </c>
    </row>
    <row r="7" spans="1:4" hidden="1" x14ac:dyDescent="0.35">
      <c r="A7" s="21" t="s">
        <v>90</v>
      </c>
      <c r="B7" s="21" t="s">
        <v>65</v>
      </c>
      <c r="C7" s="21" t="s">
        <v>89</v>
      </c>
      <c r="D7" s="21" t="s">
        <v>67</v>
      </c>
    </row>
    <row r="8" spans="1:4" hidden="1" x14ac:dyDescent="0.35">
      <c r="A8" s="21" t="s">
        <v>48</v>
      </c>
      <c r="B8" s="21" t="s">
        <v>65</v>
      </c>
      <c r="C8" s="21" t="s">
        <v>91</v>
      </c>
      <c r="D8" s="21" t="s">
        <v>67</v>
      </c>
    </row>
    <row r="9" spans="1:4" hidden="1" x14ac:dyDescent="0.35">
      <c r="A9" s="21" t="s">
        <v>49</v>
      </c>
      <c r="B9" s="21" t="s">
        <v>65</v>
      </c>
      <c r="C9" s="21" t="s">
        <v>92</v>
      </c>
      <c r="D9" s="21" t="s">
        <v>67</v>
      </c>
    </row>
    <row r="10" spans="1:4" ht="14.5" hidden="1" customHeight="1" x14ac:dyDescent="0.35">
      <c r="A10" s="21" t="s">
        <v>94</v>
      </c>
      <c r="B10" s="21" t="s">
        <v>65</v>
      </c>
      <c r="C10" s="21" t="s">
        <v>93</v>
      </c>
      <c r="D10" s="21" t="s">
        <v>67</v>
      </c>
    </row>
    <row r="11" spans="1:4" hidden="1" x14ac:dyDescent="0.35">
      <c r="A11" s="21" t="s">
        <v>96</v>
      </c>
      <c r="B11" s="21" t="s">
        <v>65</v>
      </c>
      <c r="C11" s="21" t="s">
        <v>95</v>
      </c>
      <c r="D11" s="21" t="s">
        <v>67</v>
      </c>
    </row>
    <row r="12" spans="1:4" hidden="1" x14ac:dyDescent="0.35">
      <c r="A12" s="21" t="s">
        <v>51</v>
      </c>
      <c r="B12" s="21" t="s">
        <v>65</v>
      </c>
      <c r="C12" s="21" t="s">
        <v>97</v>
      </c>
      <c r="D12" s="21" t="s">
        <v>67</v>
      </c>
    </row>
    <row r="13" spans="1:4" hidden="1" x14ac:dyDescent="0.35">
      <c r="A13" s="20" t="s">
        <v>70</v>
      </c>
      <c r="B13" s="20" t="s">
        <v>65</v>
      </c>
      <c r="C13" s="20" t="s">
        <v>69</v>
      </c>
      <c r="D13" s="20" t="s">
        <v>67</v>
      </c>
    </row>
    <row r="14" spans="1:4" hidden="1" x14ac:dyDescent="0.35">
      <c r="A14" s="21" t="s">
        <v>99</v>
      </c>
      <c r="B14" s="21" t="s">
        <v>65</v>
      </c>
      <c r="C14" s="21" t="s">
        <v>98</v>
      </c>
      <c r="D14" s="21" t="s">
        <v>67</v>
      </c>
    </row>
    <row r="15" spans="1:4" hidden="1" x14ac:dyDescent="0.35">
      <c r="A15" s="21" t="s">
        <v>101</v>
      </c>
      <c r="B15" s="21" t="s">
        <v>65</v>
      </c>
      <c r="C15" s="21" t="s">
        <v>100</v>
      </c>
      <c r="D15" s="21" t="s">
        <v>67</v>
      </c>
    </row>
    <row r="16" spans="1:4" hidden="1" x14ac:dyDescent="0.35">
      <c r="A16" s="21" t="s">
        <v>103</v>
      </c>
      <c r="B16" s="21" t="s">
        <v>65</v>
      </c>
      <c r="C16" s="21" t="s">
        <v>102</v>
      </c>
      <c r="D16" s="21" t="s">
        <v>67</v>
      </c>
    </row>
    <row r="17" spans="1:4" s="41" customFormat="1" hidden="1" x14ac:dyDescent="0.35">
      <c r="A17" s="21" t="s">
        <v>52</v>
      </c>
      <c r="B17" s="21" t="s">
        <v>65</v>
      </c>
      <c r="C17" s="21" t="s">
        <v>104</v>
      </c>
      <c r="D17" s="21" t="s">
        <v>67</v>
      </c>
    </row>
    <row r="18" spans="1:4" hidden="1" x14ac:dyDescent="0.35">
      <c r="A18" s="20" t="s">
        <v>72</v>
      </c>
      <c r="B18" s="20" t="s">
        <v>65</v>
      </c>
      <c r="C18" s="20" t="s">
        <v>71</v>
      </c>
      <c r="D18" s="20" t="s">
        <v>67</v>
      </c>
    </row>
    <row r="19" spans="1:4" hidden="1" x14ac:dyDescent="0.35">
      <c r="A19" s="20" t="s">
        <v>74</v>
      </c>
      <c r="B19" s="20" t="s">
        <v>65</v>
      </c>
      <c r="C19" s="20" t="s">
        <v>73</v>
      </c>
      <c r="D19" s="20" t="s">
        <v>67</v>
      </c>
    </row>
    <row r="20" spans="1:4" hidden="1" x14ac:dyDescent="0.35">
      <c r="A20" s="20" t="s">
        <v>47</v>
      </c>
      <c r="B20" s="20" t="s">
        <v>65</v>
      </c>
      <c r="C20" s="20" t="s">
        <v>75</v>
      </c>
      <c r="D20" s="20" t="s">
        <v>67</v>
      </c>
    </row>
    <row r="21" spans="1:4" hidden="1" x14ac:dyDescent="0.35">
      <c r="A21" s="20" t="s">
        <v>50</v>
      </c>
      <c r="B21" s="20" t="s">
        <v>65</v>
      </c>
      <c r="C21" s="20" t="s">
        <v>76</v>
      </c>
      <c r="D21" s="20" t="s">
        <v>67</v>
      </c>
    </row>
    <row r="22" spans="1:4" s="42" customFormat="1" hidden="1" x14ac:dyDescent="0.35">
      <c r="A22" s="20" t="s">
        <v>46</v>
      </c>
      <c r="B22" s="20" t="s">
        <v>65</v>
      </c>
      <c r="C22" s="20" t="s">
        <v>77</v>
      </c>
      <c r="D22" s="20" t="s">
        <v>67</v>
      </c>
    </row>
    <row r="23" spans="1:4" hidden="1" x14ac:dyDescent="0.35">
      <c r="A23" s="20" t="s">
        <v>79</v>
      </c>
      <c r="B23" s="20" t="s">
        <v>65</v>
      </c>
      <c r="C23" s="20" t="s">
        <v>78</v>
      </c>
      <c r="D23" s="20" t="s">
        <v>67</v>
      </c>
    </row>
    <row r="24" spans="1:4" hidden="1" x14ac:dyDescent="0.35">
      <c r="A24" s="20" t="s">
        <v>81</v>
      </c>
      <c r="B24" s="20" t="s">
        <v>65</v>
      </c>
      <c r="C24" s="20" t="s">
        <v>80</v>
      </c>
      <c r="D24" s="20" t="s">
        <v>67</v>
      </c>
    </row>
    <row r="25" spans="1:4" hidden="1" x14ac:dyDescent="0.35">
      <c r="A25" s="20" t="s">
        <v>108</v>
      </c>
      <c r="B25" s="20" t="s">
        <v>105</v>
      </c>
      <c r="C25" s="20" t="s">
        <v>106</v>
      </c>
      <c r="D25" s="20" t="s">
        <v>107</v>
      </c>
    </row>
    <row r="26" spans="1:4" hidden="1" x14ac:dyDescent="0.35">
      <c r="A26" s="20" t="s">
        <v>41</v>
      </c>
      <c r="B26" s="20" t="s">
        <v>105</v>
      </c>
      <c r="C26" s="20" t="s">
        <v>109</v>
      </c>
      <c r="D26" s="20" t="s">
        <v>107</v>
      </c>
    </row>
    <row r="27" spans="1:4" hidden="1" x14ac:dyDescent="0.35">
      <c r="A27" s="21" t="s">
        <v>111</v>
      </c>
      <c r="B27" s="21" t="s">
        <v>105</v>
      </c>
      <c r="C27" s="21" t="s">
        <v>110</v>
      </c>
      <c r="D27" s="21" t="s">
        <v>107</v>
      </c>
    </row>
    <row r="28" spans="1:4" hidden="1" x14ac:dyDescent="0.35">
      <c r="A28" s="21" t="s">
        <v>39</v>
      </c>
      <c r="B28" s="21" t="s">
        <v>105</v>
      </c>
      <c r="C28" s="21" t="s">
        <v>112</v>
      </c>
      <c r="D28" s="21" t="s">
        <v>107</v>
      </c>
    </row>
    <row r="29" spans="1:4" hidden="1" x14ac:dyDescent="0.35">
      <c r="A29" s="20" t="s">
        <v>114</v>
      </c>
      <c r="B29" s="20" t="s">
        <v>105</v>
      </c>
      <c r="C29" s="20" t="s">
        <v>113</v>
      </c>
      <c r="D29" s="20" t="s">
        <v>107</v>
      </c>
    </row>
    <row r="30" spans="1:4" hidden="1" x14ac:dyDescent="0.35">
      <c r="A30" s="20" t="s">
        <v>116</v>
      </c>
      <c r="B30" s="20" t="s">
        <v>105</v>
      </c>
      <c r="C30" s="20" t="s">
        <v>115</v>
      </c>
      <c r="D30" s="20" t="s">
        <v>107</v>
      </c>
    </row>
    <row r="31" spans="1:4" hidden="1" x14ac:dyDescent="0.35">
      <c r="A31" s="21" t="s">
        <v>118</v>
      </c>
      <c r="B31" s="21" t="s">
        <v>105</v>
      </c>
      <c r="C31" s="21" t="s">
        <v>117</v>
      </c>
      <c r="D31" s="21" t="s">
        <v>107</v>
      </c>
    </row>
    <row r="32" spans="1:4" hidden="1" x14ac:dyDescent="0.35">
      <c r="A32" s="21" t="s">
        <v>40</v>
      </c>
      <c r="B32" s="21" t="s">
        <v>105</v>
      </c>
      <c r="C32" s="21" t="s">
        <v>119</v>
      </c>
      <c r="D32" s="21" t="s">
        <v>107</v>
      </c>
    </row>
    <row r="33" spans="1:4" hidden="1" x14ac:dyDescent="0.35">
      <c r="A33" s="20" t="s">
        <v>123</v>
      </c>
      <c r="B33" s="20" t="s">
        <v>120</v>
      </c>
      <c r="C33" s="20" t="s">
        <v>121</v>
      </c>
      <c r="D33" s="20" t="s">
        <v>122</v>
      </c>
    </row>
    <row r="34" spans="1:4" hidden="1" x14ac:dyDescent="0.35">
      <c r="A34" s="20" t="s">
        <v>139</v>
      </c>
      <c r="B34" s="20" t="s">
        <v>120</v>
      </c>
      <c r="C34" s="20" t="s">
        <v>138</v>
      </c>
      <c r="D34" s="20" t="s">
        <v>122</v>
      </c>
    </row>
    <row r="35" spans="1:4" hidden="1" x14ac:dyDescent="0.35">
      <c r="A35" s="20" t="s">
        <v>141</v>
      </c>
      <c r="B35" s="20" t="s">
        <v>120</v>
      </c>
      <c r="C35" s="20" t="s">
        <v>140</v>
      </c>
      <c r="D35" s="20" t="s">
        <v>122</v>
      </c>
    </row>
    <row r="36" spans="1:4" hidden="1" x14ac:dyDescent="0.35">
      <c r="A36" s="20" t="s">
        <v>44</v>
      </c>
      <c r="B36" s="20" t="s">
        <v>120</v>
      </c>
      <c r="C36" s="20" t="s">
        <v>142</v>
      </c>
      <c r="D36" s="20" t="s">
        <v>122</v>
      </c>
    </row>
    <row r="37" spans="1:4" hidden="1" x14ac:dyDescent="0.35">
      <c r="A37" s="20" t="s">
        <v>144</v>
      </c>
      <c r="B37" s="20" t="s">
        <v>120</v>
      </c>
      <c r="C37" s="20" t="s">
        <v>143</v>
      </c>
      <c r="D37" s="20" t="s">
        <v>122</v>
      </c>
    </row>
    <row r="38" spans="1:4" hidden="1" x14ac:dyDescent="0.35">
      <c r="A38" s="20" t="s">
        <v>55</v>
      </c>
      <c r="B38" s="20" t="s">
        <v>120</v>
      </c>
      <c r="C38" s="20" t="s">
        <v>145</v>
      </c>
      <c r="D38" s="20" t="s">
        <v>122</v>
      </c>
    </row>
    <row r="39" spans="1:4" hidden="1" x14ac:dyDescent="0.35">
      <c r="A39" s="21" t="s">
        <v>54</v>
      </c>
      <c r="B39" s="21" t="s">
        <v>120</v>
      </c>
      <c r="C39" s="21" t="s">
        <v>146</v>
      </c>
      <c r="D39" s="21" t="s">
        <v>122</v>
      </c>
    </row>
    <row r="40" spans="1:4" hidden="1" x14ac:dyDescent="0.35">
      <c r="A40" s="21" t="s">
        <v>148</v>
      </c>
      <c r="B40" s="21" t="s">
        <v>120</v>
      </c>
      <c r="C40" s="21" t="s">
        <v>147</v>
      </c>
      <c r="D40" s="21" t="s">
        <v>122</v>
      </c>
    </row>
    <row r="41" spans="1:4" hidden="1" x14ac:dyDescent="0.35">
      <c r="A41" s="21" t="s">
        <v>150</v>
      </c>
      <c r="B41" s="21" t="s">
        <v>120</v>
      </c>
      <c r="C41" s="21" t="s">
        <v>149</v>
      </c>
      <c r="D41" s="21" t="s">
        <v>122</v>
      </c>
    </row>
    <row r="42" spans="1:4" hidden="1" x14ac:dyDescent="0.35">
      <c r="A42" s="20" t="s">
        <v>125</v>
      </c>
      <c r="B42" s="20" t="s">
        <v>120</v>
      </c>
      <c r="C42" s="20" t="s">
        <v>124</v>
      </c>
      <c r="D42" s="20" t="s">
        <v>122</v>
      </c>
    </row>
    <row r="43" spans="1:4" s="42" customFormat="1" ht="15.5" hidden="1" customHeight="1" x14ac:dyDescent="0.35">
      <c r="A43" s="20" t="s">
        <v>127</v>
      </c>
      <c r="B43" s="20" t="s">
        <v>120</v>
      </c>
      <c r="C43" s="20" t="s">
        <v>126</v>
      </c>
      <c r="D43" s="20" t="s">
        <v>122</v>
      </c>
    </row>
    <row r="44" spans="1:4" hidden="1" x14ac:dyDescent="0.35">
      <c r="A44" s="20" t="s">
        <v>129</v>
      </c>
      <c r="B44" s="20" t="s">
        <v>120</v>
      </c>
      <c r="C44" s="20" t="s">
        <v>128</v>
      </c>
      <c r="D44" s="20" t="s">
        <v>122</v>
      </c>
    </row>
    <row r="45" spans="1:4" hidden="1" x14ac:dyDescent="0.35">
      <c r="A45" s="20" t="s">
        <v>131</v>
      </c>
      <c r="B45" s="20" t="s">
        <v>120</v>
      </c>
      <c r="C45" s="20" t="s">
        <v>130</v>
      </c>
      <c r="D45" s="20" t="s">
        <v>122</v>
      </c>
    </row>
    <row r="46" spans="1:4" hidden="1" x14ac:dyDescent="0.35">
      <c r="A46" s="20" t="s">
        <v>42</v>
      </c>
      <c r="B46" s="20" t="s">
        <v>120</v>
      </c>
      <c r="C46" s="20" t="s">
        <v>410</v>
      </c>
      <c r="D46" s="20" t="s">
        <v>122</v>
      </c>
    </row>
    <row r="47" spans="1:4" hidden="1" x14ac:dyDescent="0.35">
      <c r="A47" s="20" t="s">
        <v>134</v>
      </c>
      <c r="B47" s="20" t="s">
        <v>120</v>
      </c>
      <c r="C47" s="20" t="s">
        <v>411</v>
      </c>
      <c r="D47" s="20" t="s">
        <v>122</v>
      </c>
    </row>
    <row r="48" spans="1:4" hidden="1" x14ac:dyDescent="0.35">
      <c r="A48" s="20" t="s">
        <v>136</v>
      </c>
      <c r="B48" s="20" t="s">
        <v>120</v>
      </c>
      <c r="C48" s="20" t="s">
        <v>135</v>
      </c>
      <c r="D48" s="20" t="s">
        <v>122</v>
      </c>
    </row>
    <row r="49" spans="1:4" ht="29" hidden="1" x14ac:dyDescent="0.35">
      <c r="A49" s="20" t="s">
        <v>43</v>
      </c>
      <c r="B49" s="20" t="s">
        <v>120</v>
      </c>
      <c r="C49" s="20" t="s">
        <v>137</v>
      </c>
      <c r="D49" s="20" t="s">
        <v>122</v>
      </c>
    </row>
    <row r="50" spans="1:4" hidden="1" x14ac:dyDescent="0.35">
      <c r="A50" s="43" t="s">
        <v>412</v>
      </c>
      <c r="B50" s="43" t="s">
        <v>151</v>
      </c>
      <c r="C50" s="43" t="s">
        <v>413</v>
      </c>
      <c r="D50" s="43" t="s">
        <v>153</v>
      </c>
    </row>
    <row r="51" spans="1:4" hidden="1" x14ac:dyDescent="0.35">
      <c r="A51" s="20" t="s">
        <v>25</v>
      </c>
      <c r="B51" s="20" t="s">
        <v>151</v>
      </c>
      <c r="C51" s="20" t="s">
        <v>154</v>
      </c>
      <c r="D51" s="20" t="s">
        <v>153</v>
      </c>
    </row>
    <row r="52" spans="1:4" hidden="1" x14ac:dyDescent="0.35">
      <c r="A52" s="20" t="s">
        <v>23</v>
      </c>
      <c r="B52" s="20" t="s">
        <v>151</v>
      </c>
      <c r="C52" s="20" t="s">
        <v>155</v>
      </c>
      <c r="D52" s="20" t="s">
        <v>153</v>
      </c>
    </row>
    <row r="53" spans="1:4" hidden="1" x14ac:dyDescent="0.35">
      <c r="A53" s="20" t="s">
        <v>24</v>
      </c>
      <c r="B53" s="20" t="s">
        <v>151</v>
      </c>
      <c r="C53" s="20" t="s">
        <v>156</v>
      </c>
      <c r="D53" s="20" t="s">
        <v>153</v>
      </c>
    </row>
    <row r="54" spans="1:4" hidden="1" x14ac:dyDescent="0.35">
      <c r="A54" s="20" t="s">
        <v>27</v>
      </c>
      <c r="B54" s="20" t="s">
        <v>151</v>
      </c>
      <c r="C54" s="20" t="s">
        <v>157</v>
      </c>
      <c r="D54" s="20" t="s">
        <v>153</v>
      </c>
    </row>
    <row r="55" spans="1:4" hidden="1" x14ac:dyDescent="0.35">
      <c r="A55" s="20" t="s">
        <v>28</v>
      </c>
      <c r="B55" s="20" t="s">
        <v>151</v>
      </c>
      <c r="C55" s="20" t="s">
        <v>158</v>
      </c>
      <c r="D55" s="20" t="s">
        <v>153</v>
      </c>
    </row>
    <row r="56" spans="1:4" hidden="1" x14ac:dyDescent="0.35">
      <c r="A56" s="21" t="s">
        <v>160</v>
      </c>
      <c r="B56" s="21" t="s">
        <v>151</v>
      </c>
      <c r="C56" s="21" t="s">
        <v>159</v>
      </c>
      <c r="D56" s="21" t="s">
        <v>153</v>
      </c>
    </row>
    <row r="57" spans="1:4" hidden="1" x14ac:dyDescent="0.35">
      <c r="A57" s="21" t="s">
        <v>162</v>
      </c>
      <c r="B57" s="21" t="s">
        <v>151</v>
      </c>
      <c r="C57" s="21" t="s">
        <v>161</v>
      </c>
      <c r="D57" s="21" t="s">
        <v>153</v>
      </c>
    </row>
    <row r="58" spans="1:4" hidden="1" x14ac:dyDescent="0.35">
      <c r="A58" s="43" t="s">
        <v>414</v>
      </c>
      <c r="B58" s="43" t="s">
        <v>151</v>
      </c>
      <c r="C58" s="43" t="s">
        <v>415</v>
      </c>
      <c r="D58" s="43" t="s">
        <v>153</v>
      </c>
    </row>
    <row r="59" spans="1:4" hidden="1" x14ac:dyDescent="0.35">
      <c r="A59" s="20" t="s">
        <v>166</v>
      </c>
      <c r="B59" s="20" t="s">
        <v>163</v>
      </c>
      <c r="C59" s="20" t="s">
        <v>164</v>
      </c>
      <c r="D59" s="20" t="s">
        <v>165</v>
      </c>
    </row>
    <row r="60" spans="1:4" hidden="1" x14ac:dyDescent="0.35">
      <c r="A60" s="20" t="s">
        <v>30</v>
      </c>
      <c r="B60" s="20" t="s">
        <v>163</v>
      </c>
      <c r="C60" s="20" t="s">
        <v>182</v>
      </c>
      <c r="D60" s="20" t="s">
        <v>165</v>
      </c>
    </row>
    <row r="61" spans="1:4" hidden="1" x14ac:dyDescent="0.35">
      <c r="A61" s="21" t="s">
        <v>184</v>
      </c>
      <c r="B61" s="21" t="s">
        <v>163</v>
      </c>
      <c r="C61" s="21" t="s">
        <v>183</v>
      </c>
      <c r="D61" s="21" t="s">
        <v>165</v>
      </c>
    </row>
    <row r="62" spans="1:4" hidden="1" x14ac:dyDescent="0.35">
      <c r="A62" s="20" t="s">
        <v>168</v>
      </c>
      <c r="B62" s="20" t="s">
        <v>163</v>
      </c>
      <c r="C62" s="20" t="s">
        <v>167</v>
      </c>
      <c r="D62" s="20" t="s">
        <v>165</v>
      </c>
    </row>
    <row r="63" spans="1:4" hidden="1" x14ac:dyDescent="0.35">
      <c r="A63" s="20" t="s">
        <v>170</v>
      </c>
      <c r="B63" s="20" t="s">
        <v>163</v>
      </c>
      <c r="C63" s="20" t="s">
        <v>169</v>
      </c>
      <c r="D63" s="20" t="s">
        <v>165</v>
      </c>
    </row>
    <row r="64" spans="1:4" hidden="1" x14ac:dyDescent="0.35">
      <c r="A64" s="20" t="s">
        <v>172</v>
      </c>
      <c r="B64" s="20" t="s">
        <v>163</v>
      </c>
      <c r="C64" s="20" t="s">
        <v>171</v>
      </c>
      <c r="D64" s="20" t="s">
        <v>165</v>
      </c>
    </row>
    <row r="65" spans="1:4" hidden="1" x14ac:dyDescent="0.35">
      <c r="A65" s="20" t="s">
        <v>174</v>
      </c>
      <c r="B65" s="20" t="s">
        <v>163</v>
      </c>
      <c r="C65" s="20" t="s">
        <v>173</v>
      </c>
      <c r="D65" s="20" t="s">
        <v>165</v>
      </c>
    </row>
    <row r="66" spans="1:4" hidden="1" x14ac:dyDescent="0.35">
      <c r="A66" s="20" t="s">
        <v>176</v>
      </c>
      <c r="B66" s="20" t="s">
        <v>163</v>
      </c>
      <c r="C66" s="20" t="s">
        <v>175</v>
      </c>
      <c r="D66" s="20" t="s">
        <v>165</v>
      </c>
    </row>
    <row r="67" spans="1:4" hidden="1" x14ac:dyDescent="0.35">
      <c r="A67" s="20" t="s">
        <v>178</v>
      </c>
      <c r="B67" s="20" t="s">
        <v>163</v>
      </c>
      <c r="C67" s="20" t="s">
        <v>177</v>
      </c>
      <c r="D67" s="20" t="s">
        <v>165</v>
      </c>
    </row>
    <row r="68" spans="1:4" hidden="1" x14ac:dyDescent="0.35">
      <c r="A68" s="20" t="s">
        <v>29</v>
      </c>
      <c r="B68" s="20" t="s">
        <v>163</v>
      </c>
      <c r="C68" s="20" t="s">
        <v>179</v>
      </c>
      <c r="D68" s="20" t="s">
        <v>165</v>
      </c>
    </row>
    <row r="69" spans="1:4" hidden="1" x14ac:dyDescent="0.35">
      <c r="A69" s="20" t="s">
        <v>181</v>
      </c>
      <c r="B69" s="20" t="s">
        <v>163</v>
      </c>
      <c r="C69" s="20" t="s">
        <v>180</v>
      </c>
      <c r="D69" s="20" t="s">
        <v>165</v>
      </c>
    </row>
    <row r="70" spans="1:4" hidden="1" x14ac:dyDescent="0.35">
      <c r="A70" s="20" t="s">
        <v>188</v>
      </c>
      <c r="B70" s="20" t="s">
        <v>185</v>
      </c>
      <c r="C70" s="20" t="s">
        <v>186</v>
      </c>
      <c r="D70" s="20" t="s">
        <v>187</v>
      </c>
    </row>
    <row r="71" spans="1:4" hidden="1" x14ac:dyDescent="0.35">
      <c r="A71" s="20" t="s">
        <v>190</v>
      </c>
      <c r="B71" s="20" t="s">
        <v>185</v>
      </c>
      <c r="C71" s="20" t="s">
        <v>189</v>
      </c>
      <c r="D71" s="20" t="s">
        <v>187</v>
      </c>
    </row>
    <row r="72" spans="1:4" hidden="1" x14ac:dyDescent="0.35">
      <c r="A72" s="20" t="s">
        <v>192</v>
      </c>
      <c r="B72" s="20" t="s">
        <v>185</v>
      </c>
      <c r="C72" s="20" t="s">
        <v>191</v>
      </c>
      <c r="D72" s="20" t="s">
        <v>187</v>
      </c>
    </row>
    <row r="73" spans="1:4" hidden="1" x14ac:dyDescent="0.35">
      <c r="A73" s="20" t="s">
        <v>194</v>
      </c>
      <c r="B73" s="20" t="s">
        <v>185</v>
      </c>
      <c r="C73" s="20" t="s">
        <v>193</v>
      </c>
      <c r="D73" s="20" t="s">
        <v>187</v>
      </c>
    </row>
    <row r="74" spans="1:4" ht="29" hidden="1" x14ac:dyDescent="0.35">
      <c r="A74" s="20" t="s">
        <v>198</v>
      </c>
      <c r="B74" s="20" t="s">
        <v>195</v>
      </c>
      <c r="C74" s="20" t="s">
        <v>196</v>
      </c>
      <c r="D74" s="20" t="s">
        <v>197</v>
      </c>
    </row>
    <row r="75" spans="1:4" ht="29" hidden="1" x14ac:dyDescent="0.35">
      <c r="A75" s="21" t="s">
        <v>393</v>
      </c>
      <c r="B75" s="21" t="s">
        <v>195</v>
      </c>
      <c r="C75" s="21" t="s">
        <v>416</v>
      </c>
      <c r="D75" s="21" t="s">
        <v>197</v>
      </c>
    </row>
    <row r="76" spans="1:4" ht="29" hidden="1" x14ac:dyDescent="0.35">
      <c r="A76" s="20" t="s">
        <v>200</v>
      </c>
      <c r="B76" s="20" t="s">
        <v>195</v>
      </c>
      <c r="C76" s="20" t="s">
        <v>199</v>
      </c>
      <c r="D76" s="20" t="s">
        <v>197</v>
      </c>
    </row>
    <row r="77" spans="1:4" ht="29" hidden="1" x14ac:dyDescent="0.35">
      <c r="A77" s="20" t="s">
        <v>202</v>
      </c>
      <c r="B77" s="20" t="s">
        <v>195</v>
      </c>
      <c r="C77" s="20" t="s">
        <v>201</v>
      </c>
      <c r="D77" s="20" t="s">
        <v>197</v>
      </c>
    </row>
    <row r="78" spans="1:4" ht="29" hidden="1" x14ac:dyDescent="0.35">
      <c r="A78" s="20" t="s">
        <v>204</v>
      </c>
      <c r="B78" s="20" t="s">
        <v>195</v>
      </c>
      <c r="C78" s="20" t="s">
        <v>203</v>
      </c>
      <c r="D78" s="20" t="s">
        <v>197</v>
      </c>
    </row>
    <row r="79" spans="1:4" ht="29" hidden="1" x14ac:dyDescent="0.35">
      <c r="A79" s="20" t="s">
        <v>206</v>
      </c>
      <c r="B79" s="20" t="s">
        <v>195</v>
      </c>
      <c r="C79" s="20" t="s">
        <v>205</v>
      </c>
      <c r="D79" s="20" t="s">
        <v>197</v>
      </c>
    </row>
    <row r="80" spans="1:4" ht="29" hidden="1" x14ac:dyDescent="0.35">
      <c r="A80" s="21" t="s">
        <v>208</v>
      </c>
      <c r="B80" s="21" t="s">
        <v>195</v>
      </c>
      <c r="C80" s="21" t="s">
        <v>207</v>
      </c>
      <c r="D80" s="21" t="s">
        <v>197</v>
      </c>
    </row>
    <row r="81" spans="1:4" ht="29" hidden="1" x14ac:dyDescent="0.35">
      <c r="A81" s="21" t="s">
        <v>210</v>
      </c>
      <c r="B81" s="21" t="s">
        <v>195</v>
      </c>
      <c r="C81" s="21" t="s">
        <v>209</v>
      </c>
      <c r="D81" s="21" t="s">
        <v>197</v>
      </c>
    </row>
    <row r="82" spans="1:4" ht="29" hidden="1" x14ac:dyDescent="0.35">
      <c r="A82" s="21" t="s">
        <v>212</v>
      </c>
      <c r="B82" s="21" t="s">
        <v>195</v>
      </c>
      <c r="C82" s="21" t="s">
        <v>211</v>
      </c>
      <c r="D82" s="21" t="s">
        <v>197</v>
      </c>
    </row>
    <row r="83" spans="1:4" ht="29" hidden="1" x14ac:dyDescent="0.35">
      <c r="A83" s="21" t="s">
        <v>214</v>
      </c>
      <c r="B83" s="21" t="s">
        <v>195</v>
      </c>
      <c r="C83" s="21" t="s">
        <v>417</v>
      </c>
      <c r="D83" s="21" t="s">
        <v>197</v>
      </c>
    </row>
    <row r="84" spans="1:4" hidden="1" x14ac:dyDescent="0.35">
      <c r="A84" s="20" t="s">
        <v>219</v>
      </c>
      <c r="B84" s="20" t="s">
        <v>216</v>
      </c>
      <c r="C84" s="20" t="s">
        <v>217</v>
      </c>
      <c r="D84" s="20" t="s">
        <v>218</v>
      </c>
    </row>
    <row r="85" spans="1:4" ht="29" hidden="1" x14ac:dyDescent="0.35">
      <c r="A85" s="20" t="s">
        <v>223</v>
      </c>
      <c r="B85" s="20" t="s">
        <v>216</v>
      </c>
      <c r="C85" s="20" t="s">
        <v>222</v>
      </c>
      <c r="D85" s="20" t="s">
        <v>218</v>
      </c>
    </row>
    <row r="86" spans="1:4" ht="29" hidden="1" x14ac:dyDescent="0.35">
      <c r="A86" s="20" t="s">
        <v>31</v>
      </c>
      <c r="B86" s="20" t="s">
        <v>216</v>
      </c>
      <c r="C86" s="20" t="s">
        <v>224</v>
      </c>
      <c r="D86" s="20" t="s">
        <v>218</v>
      </c>
    </row>
    <row r="87" spans="1:4" hidden="1" x14ac:dyDescent="0.35">
      <c r="A87" s="21" t="s">
        <v>226</v>
      </c>
      <c r="B87" s="21" t="s">
        <v>216</v>
      </c>
      <c r="C87" s="21" t="s">
        <v>225</v>
      </c>
      <c r="D87" s="21" t="s">
        <v>218</v>
      </c>
    </row>
    <row r="88" spans="1:4" hidden="1" x14ac:dyDescent="0.35">
      <c r="A88" s="20" t="s">
        <v>230</v>
      </c>
      <c r="B88" s="20" t="s">
        <v>227</v>
      </c>
      <c r="C88" s="20" t="s">
        <v>228</v>
      </c>
      <c r="D88" s="20" t="s">
        <v>229</v>
      </c>
    </row>
    <row r="89" spans="1:4" hidden="1" x14ac:dyDescent="0.35">
      <c r="A89" s="20" t="s">
        <v>232</v>
      </c>
      <c r="B89" s="20" t="s">
        <v>227</v>
      </c>
      <c r="C89" s="20" t="s">
        <v>231</v>
      </c>
      <c r="D89" s="20" t="s">
        <v>229</v>
      </c>
    </row>
    <row r="90" spans="1:4" s="42" customFormat="1" hidden="1" x14ac:dyDescent="0.35">
      <c r="A90" s="20" t="s">
        <v>56</v>
      </c>
      <c r="B90" s="20" t="s">
        <v>227</v>
      </c>
      <c r="C90" s="20" t="s">
        <v>233</v>
      </c>
      <c r="D90" s="20" t="s">
        <v>229</v>
      </c>
    </row>
    <row r="91" spans="1:4" hidden="1" x14ac:dyDescent="0.35">
      <c r="A91" s="20" t="s">
        <v>249</v>
      </c>
      <c r="B91" s="20" t="s">
        <v>246</v>
      </c>
      <c r="C91" s="20" t="s">
        <v>247</v>
      </c>
      <c r="D91" s="20" t="s">
        <v>248</v>
      </c>
    </row>
    <row r="92" spans="1:4" s="42" customFormat="1" hidden="1" x14ac:dyDescent="0.35">
      <c r="A92" s="20" t="s">
        <v>18</v>
      </c>
      <c r="B92" s="20" t="s">
        <v>246</v>
      </c>
      <c r="C92" s="20" t="s">
        <v>250</v>
      </c>
      <c r="D92" s="20" t="s">
        <v>248</v>
      </c>
    </row>
    <row r="93" spans="1:4" s="42" customFormat="1" x14ac:dyDescent="0.35">
      <c r="A93" s="20" t="s">
        <v>255</v>
      </c>
      <c r="B93" s="20" t="s">
        <v>252</v>
      </c>
      <c r="C93" s="20" t="s">
        <v>253</v>
      </c>
      <c r="D93" s="20" t="s">
        <v>254</v>
      </c>
    </row>
    <row r="94" spans="1:4" x14ac:dyDescent="0.35">
      <c r="A94" s="20" t="s">
        <v>257</v>
      </c>
      <c r="B94" s="20" t="s">
        <v>252</v>
      </c>
      <c r="C94" s="20" t="s">
        <v>256</v>
      </c>
      <c r="D94" s="20" t="s">
        <v>254</v>
      </c>
    </row>
    <row r="95" spans="1:4" x14ac:dyDescent="0.35">
      <c r="A95" s="20" t="s">
        <v>259</v>
      </c>
      <c r="B95" s="20" t="s">
        <v>252</v>
      </c>
      <c r="C95" s="20" t="s">
        <v>258</v>
      </c>
      <c r="D95" s="20" t="s">
        <v>254</v>
      </c>
    </row>
    <row r="96" spans="1:4" x14ac:dyDescent="0.35">
      <c r="A96" s="20" t="s">
        <v>261</v>
      </c>
      <c r="B96" s="20" t="s">
        <v>252</v>
      </c>
      <c r="C96" s="20" t="s">
        <v>260</v>
      </c>
      <c r="D96" s="20" t="s">
        <v>254</v>
      </c>
    </row>
    <row r="97" spans="1:4" x14ac:dyDescent="0.35">
      <c r="A97" s="20" t="s">
        <v>263</v>
      </c>
      <c r="B97" s="20" t="s">
        <v>252</v>
      </c>
      <c r="C97" s="20" t="s">
        <v>262</v>
      </c>
      <c r="D97" s="20" t="s">
        <v>254</v>
      </c>
    </row>
    <row r="98" spans="1:4" ht="29" x14ac:dyDescent="0.35">
      <c r="A98" s="20" t="s">
        <v>265</v>
      </c>
      <c r="B98" s="20" t="s">
        <v>252</v>
      </c>
      <c r="C98" s="20" t="s">
        <v>264</v>
      </c>
      <c r="D98" s="20" t="s">
        <v>254</v>
      </c>
    </row>
    <row r="99" spans="1:4" ht="29" x14ac:dyDescent="0.35">
      <c r="A99" s="43" t="s">
        <v>418</v>
      </c>
      <c r="B99" s="43" t="s">
        <v>252</v>
      </c>
      <c r="C99" s="43" t="s">
        <v>419</v>
      </c>
      <c r="D99" s="43" t="s">
        <v>254</v>
      </c>
    </row>
    <row r="100" spans="1:4" hidden="1" x14ac:dyDescent="0.35">
      <c r="A100" s="20" t="s">
        <v>269</v>
      </c>
      <c r="B100" s="20" t="s">
        <v>266</v>
      </c>
      <c r="C100" s="20" t="s">
        <v>267</v>
      </c>
      <c r="D100" s="20" t="s">
        <v>268</v>
      </c>
    </row>
    <row r="101" spans="1:4" hidden="1" x14ac:dyDescent="0.35">
      <c r="A101" s="21" t="s">
        <v>375</v>
      </c>
      <c r="B101" s="21" t="s">
        <v>266</v>
      </c>
      <c r="C101" s="21" t="s">
        <v>376</v>
      </c>
      <c r="D101" s="21" t="s">
        <v>268</v>
      </c>
    </row>
    <row r="102" spans="1:4" hidden="1" x14ac:dyDescent="0.35">
      <c r="A102" s="20" t="s">
        <v>271</v>
      </c>
      <c r="B102" s="20" t="s">
        <v>266</v>
      </c>
      <c r="C102" s="20" t="s">
        <v>270</v>
      </c>
      <c r="D102" s="20" t="s">
        <v>268</v>
      </c>
    </row>
    <row r="103" spans="1:4" hidden="1" x14ac:dyDescent="0.35">
      <c r="A103" s="20" t="s">
        <v>36</v>
      </c>
      <c r="B103" s="20" t="s">
        <v>266</v>
      </c>
      <c r="C103" s="20" t="s">
        <v>272</v>
      </c>
      <c r="D103" s="20" t="s">
        <v>268</v>
      </c>
    </row>
    <row r="104" spans="1:4" hidden="1" x14ac:dyDescent="0.35">
      <c r="A104" s="20" t="s">
        <v>16</v>
      </c>
      <c r="B104" s="20" t="s">
        <v>266</v>
      </c>
      <c r="C104" s="20" t="s">
        <v>273</v>
      </c>
      <c r="D104" s="20" t="s">
        <v>268</v>
      </c>
    </row>
    <row r="105" spans="1:4" hidden="1" x14ac:dyDescent="0.35">
      <c r="A105" s="20" t="s">
        <v>37</v>
      </c>
      <c r="B105" s="20" t="s">
        <v>266</v>
      </c>
      <c r="C105" s="20" t="s">
        <v>274</v>
      </c>
      <c r="D105" s="20" t="s">
        <v>268</v>
      </c>
    </row>
    <row r="106" spans="1:4" hidden="1" x14ac:dyDescent="0.35">
      <c r="A106" s="20" t="s">
        <v>38</v>
      </c>
      <c r="B106" s="20" t="s">
        <v>266</v>
      </c>
      <c r="C106" s="20" t="s">
        <v>275</v>
      </c>
      <c r="D106" s="20" t="s">
        <v>268</v>
      </c>
    </row>
    <row r="107" spans="1:4" hidden="1" x14ac:dyDescent="0.35">
      <c r="A107" s="20" t="s">
        <v>277</v>
      </c>
      <c r="B107" s="20" t="s">
        <v>266</v>
      </c>
      <c r="C107" s="20" t="s">
        <v>420</v>
      </c>
      <c r="D107" s="20" t="s">
        <v>268</v>
      </c>
    </row>
    <row r="108" spans="1:4" hidden="1" x14ac:dyDescent="0.35">
      <c r="A108" s="21" t="s">
        <v>280</v>
      </c>
      <c r="B108" s="21" t="s">
        <v>266</v>
      </c>
      <c r="C108" s="21" t="s">
        <v>279</v>
      </c>
      <c r="D108" s="21" t="s">
        <v>268</v>
      </c>
    </row>
    <row r="109" spans="1:4" hidden="1" x14ac:dyDescent="0.35">
      <c r="A109" s="21" t="s">
        <v>35</v>
      </c>
      <c r="B109" s="21" t="s">
        <v>266</v>
      </c>
      <c r="C109" s="21" t="s">
        <v>278</v>
      </c>
      <c r="D109" s="21" t="s">
        <v>268</v>
      </c>
    </row>
    <row r="110" spans="1:4" hidden="1" x14ac:dyDescent="0.35">
      <c r="A110" s="20" t="s">
        <v>284</v>
      </c>
      <c r="B110" s="20" t="s">
        <v>281</v>
      </c>
      <c r="C110" s="20" t="s">
        <v>282</v>
      </c>
      <c r="D110" s="20" t="s">
        <v>283</v>
      </c>
    </row>
    <row r="111" spans="1:4" hidden="1" x14ac:dyDescent="0.35">
      <c r="A111" s="20" t="s">
        <v>53</v>
      </c>
      <c r="B111" s="20" t="s">
        <v>281</v>
      </c>
      <c r="C111" s="20" t="s">
        <v>285</v>
      </c>
      <c r="D111" s="20" t="s">
        <v>283</v>
      </c>
    </row>
    <row r="112" spans="1:4" hidden="1" x14ac:dyDescent="0.35">
      <c r="A112" s="20" t="s">
        <v>287</v>
      </c>
      <c r="B112" s="20" t="s">
        <v>281</v>
      </c>
      <c r="C112" s="20" t="s">
        <v>286</v>
      </c>
      <c r="D112" s="20" t="s">
        <v>283</v>
      </c>
    </row>
    <row r="113" spans="1:16383" hidden="1" x14ac:dyDescent="0.35">
      <c r="A113" s="21" t="s">
        <v>387</v>
      </c>
      <c r="B113" s="21" t="s">
        <v>281</v>
      </c>
      <c r="C113" s="21" t="s">
        <v>421</v>
      </c>
      <c r="D113" s="21" t="s">
        <v>283</v>
      </c>
    </row>
    <row r="114" spans="1:16383" ht="29" hidden="1" x14ac:dyDescent="0.35">
      <c r="A114" s="20" t="s">
        <v>303</v>
      </c>
      <c r="B114" s="20" t="s">
        <v>300</v>
      </c>
      <c r="C114" s="20" t="s">
        <v>301</v>
      </c>
      <c r="D114" s="20" t="s">
        <v>302</v>
      </c>
    </row>
    <row r="115" spans="1:16383" ht="29" hidden="1" x14ac:dyDescent="0.35">
      <c r="A115" s="20" t="s">
        <v>33</v>
      </c>
      <c r="B115" s="20" t="s">
        <v>300</v>
      </c>
      <c r="C115" s="20" t="s">
        <v>319</v>
      </c>
      <c r="D115" s="20" t="s">
        <v>302</v>
      </c>
    </row>
    <row r="116" spans="1:16383" ht="29" hidden="1" x14ac:dyDescent="0.35">
      <c r="A116" s="20" t="s">
        <v>34</v>
      </c>
      <c r="B116" s="20" t="s">
        <v>300</v>
      </c>
      <c r="C116" s="20" t="s">
        <v>320</v>
      </c>
      <c r="D116" s="20" t="s">
        <v>302</v>
      </c>
    </row>
    <row r="117" spans="1:16383" ht="29" hidden="1" x14ac:dyDescent="0.35">
      <c r="A117" s="20" t="s">
        <v>322</v>
      </c>
      <c r="B117" s="20" t="s">
        <v>300</v>
      </c>
      <c r="C117" s="20" t="s">
        <v>321</v>
      </c>
      <c r="D117" s="20" t="s">
        <v>302</v>
      </c>
    </row>
    <row r="118" spans="1:16383" ht="29" hidden="1" x14ac:dyDescent="0.35">
      <c r="A118" s="20" t="s">
        <v>305</v>
      </c>
      <c r="B118" s="20" t="s">
        <v>300</v>
      </c>
      <c r="C118" s="20" t="s">
        <v>304</v>
      </c>
      <c r="D118" s="20" t="s">
        <v>302</v>
      </c>
    </row>
    <row r="119" spans="1:16383" ht="29" hidden="1" x14ac:dyDescent="0.35">
      <c r="A119" s="20" t="s">
        <v>307</v>
      </c>
      <c r="B119" s="20" t="s">
        <v>300</v>
      </c>
      <c r="C119" s="20" t="s">
        <v>306</v>
      </c>
      <c r="D119" s="20" t="s">
        <v>302</v>
      </c>
    </row>
    <row r="120" spans="1:16383" s="42" customFormat="1" ht="29" hidden="1" x14ac:dyDescent="0.35">
      <c r="A120" s="20" t="s">
        <v>309</v>
      </c>
      <c r="B120" s="20" t="s">
        <v>300</v>
      </c>
      <c r="C120" s="20" t="s">
        <v>278</v>
      </c>
      <c r="D120" s="20" t="s">
        <v>302</v>
      </c>
    </row>
    <row r="121" spans="1:16383" ht="29" hidden="1" x14ac:dyDescent="0.35">
      <c r="A121" s="20" t="s">
        <v>311</v>
      </c>
      <c r="B121" s="20" t="s">
        <v>300</v>
      </c>
      <c r="C121" s="20" t="s">
        <v>310</v>
      </c>
      <c r="D121" s="20" t="s">
        <v>302</v>
      </c>
    </row>
    <row r="122" spans="1:16383" ht="29" hidden="1" x14ac:dyDescent="0.35">
      <c r="A122" s="20" t="s">
        <v>313</v>
      </c>
      <c r="B122" s="20" t="s">
        <v>300</v>
      </c>
      <c r="C122" s="20" t="s">
        <v>312</v>
      </c>
      <c r="D122" s="20" t="s">
        <v>302</v>
      </c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  <c r="AFJ122" s="41"/>
      <c r="AFK122" s="41"/>
      <c r="AFL122" s="41"/>
      <c r="AFM122" s="41"/>
      <c r="AFN122" s="41"/>
      <c r="AFO122" s="41"/>
      <c r="AFP122" s="41"/>
      <c r="AFQ122" s="41"/>
      <c r="AFR122" s="41"/>
      <c r="AFS122" s="41"/>
      <c r="AFT122" s="41"/>
      <c r="AFU122" s="41"/>
      <c r="AFV122" s="41"/>
      <c r="AFW122" s="41"/>
      <c r="AFX122" s="41"/>
      <c r="AFY122" s="41"/>
      <c r="AFZ122" s="41"/>
      <c r="AGA122" s="41"/>
      <c r="AGB122" s="41"/>
      <c r="AGC122" s="41"/>
      <c r="AGD122" s="41"/>
      <c r="AGE122" s="41"/>
      <c r="AGF122" s="41"/>
      <c r="AGG122" s="41"/>
      <c r="AGH122" s="41"/>
      <c r="AGI122" s="41"/>
      <c r="AGJ122" s="41"/>
      <c r="AGK122" s="41"/>
      <c r="AGL122" s="41"/>
      <c r="AGM122" s="41"/>
      <c r="AGN122" s="41"/>
      <c r="AGO122" s="41"/>
      <c r="AGP122" s="41"/>
      <c r="AGQ122" s="41"/>
      <c r="AGR122" s="41"/>
      <c r="AGS122" s="41"/>
      <c r="AGT122" s="41"/>
      <c r="AGU122" s="41"/>
      <c r="AGV122" s="41"/>
      <c r="AGW122" s="41"/>
      <c r="AGX122" s="41"/>
      <c r="AGY122" s="41"/>
      <c r="AGZ122" s="41"/>
      <c r="AHA122" s="41"/>
      <c r="AHB122" s="41"/>
      <c r="AHC122" s="41"/>
      <c r="AHD122" s="41"/>
      <c r="AHE122" s="41"/>
      <c r="AHF122" s="41"/>
      <c r="AHG122" s="41"/>
      <c r="AHH122" s="41"/>
      <c r="AHI122" s="41"/>
      <c r="AHJ122" s="41"/>
      <c r="AHK122" s="41"/>
      <c r="AHL122" s="41"/>
      <c r="AHM122" s="41"/>
      <c r="AHN122" s="41"/>
      <c r="AHO122" s="41"/>
      <c r="AHP122" s="41"/>
      <c r="AHQ122" s="41"/>
      <c r="AHR122" s="41"/>
      <c r="AHS122" s="41"/>
      <c r="AHT122" s="41"/>
      <c r="AHU122" s="41"/>
      <c r="AHV122" s="41"/>
      <c r="AHW122" s="41"/>
      <c r="AHX122" s="41"/>
      <c r="AHY122" s="41"/>
      <c r="AHZ122" s="41"/>
      <c r="AIA122" s="41"/>
      <c r="AIB122" s="41"/>
      <c r="AIC122" s="41"/>
      <c r="AID122" s="41"/>
      <c r="AIE122" s="41"/>
      <c r="AIF122" s="41"/>
      <c r="AIG122" s="41"/>
      <c r="AIH122" s="41"/>
      <c r="AII122" s="41"/>
      <c r="AIJ122" s="41"/>
      <c r="AIK122" s="41"/>
      <c r="AIL122" s="41"/>
      <c r="AIM122" s="41"/>
      <c r="AIN122" s="41"/>
      <c r="AIO122" s="41"/>
      <c r="AIP122" s="41"/>
      <c r="AIQ122" s="41"/>
      <c r="AIR122" s="41"/>
      <c r="AIS122" s="41"/>
      <c r="AIT122" s="41"/>
      <c r="AIU122" s="41"/>
      <c r="AIV122" s="41"/>
      <c r="AIW122" s="41"/>
      <c r="AIX122" s="41"/>
      <c r="AIY122" s="41"/>
      <c r="AIZ122" s="41"/>
      <c r="AJA122" s="41"/>
      <c r="AJB122" s="41"/>
      <c r="AJC122" s="41"/>
      <c r="AJD122" s="41"/>
      <c r="AJE122" s="41"/>
      <c r="AJF122" s="41"/>
      <c r="AJG122" s="41"/>
      <c r="AJH122" s="41"/>
      <c r="AJI122" s="41"/>
      <c r="AJJ122" s="41"/>
      <c r="AJK122" s="41"/>
      <c r="AJL122" s="41"/>
      <c r="AJM122" s="41"/>
      <c r="AJN122" s="41"/>
      <c r="AJO122" s="41"/>
      <c r="AJP122" s="41"/>
      <c r="AJQ122" s="41"/>
      <c r="AJR122" s="41"/>
      <c r="AJS122" s="41"/>
      <c r="AJT122" s="41"/>
      <c r="AJU122" s="41"/>
      <c r="AJV122" s="41"/>
      <c r="AJW122" s="41"/>
      <c r="AJX122" s="41"/>
      <c r="AJY122" s="41"/>
      <c r="AJZ122" s="41"/>
      <c r="AKA122" s="41"/>
      <c r="AKB122" s="41"/>
      <c r="AKC122" s="41"/>
      <c r="AKD122" s="41"/>
      <c r="AKE122" s="41"/>
      <c r="AKF122" s="41"/>
      <c r="AKG122" s="41"/>
      <c r="AKH122" s="41"/>
      <c r="AKI122" s="41"/>
      <c r="AKJ122" s="41"/>
      <c r="AKK122" s="41"/>
      <c r="AKL122" s="41"/>
      <c r="AKM122" s="41"/>
      <c r="AKN122" s="41"/>
      <c r="AKO122" s="41"/>
      <c r="AKP122" s="41"/>
      <c r="AKQ122" s="41"/>
      <c r="AKR122" s="41"/>
      <c r="AKS122" s="41"/>
      <c r="AKT122" s="41"/>
      <c r="AKU122" s="41"/>
      <c r="AKV122" s="41"/>
      <c r="AKW122" s="41"/>
      <c r="AKX122" s="41"/>
      <c r="AKY122" s="41"/>
      <c r="AKZ122" s="41"/>
      <c r="ALA122" s="41"/>
      <c r="ALB122" s="41"/>
      <c r="ALC122" s="41"/>
      <c r="ALD122" s="41"/>
      <c r="ALE122" s="41"/>
      <c r="ALF122" s="41"/>
      <c r="ALG122" s="41"/>
      <c r="ALH122" s="41"/>
      <c r="ALI122" s="41"/>
      <c r="ALJ122" s="41"/>
      <c r="ALK122" s="41"/>
      <c r="ALL122" s="41"/>
      <c r="ALM122" s="41"/>
      <c r="ALN122" s="41"/>
      <c r="ALO122" s="41"/>
      <c r="ALP122" s="41"/>
      <c r="ALQ122" s="41"/>
      <c r="ALR122" s="41"/>
      <c r="ALS122" s="41"/>
      <c r="ALT122" s="41"/>
      <c r="ALU122" s="41"/>
      <c r="ALV122" s="41"/>
      <c r="ALW122" s="41"/>
      <c r="ALX122" s="41"/>
      <c r="ALY122" s="41"/>
      <c r="ALZ122" s="41"/>
      <c r="AMA122" s="41"/>
      <c r="AMB122" s="41"/>
      <c r="AMC122" s="41"/>
      <c r="AMD122" s="41"/>
      <c r="AME122" s="41"/>
      <c r="AMF122" s="41"/>
      <c r="AMG122" s="41"/>
      <c r="AMH122" s="41"/>
      <c r="AMI122" s="41"/>
      <c r="AMJ122" s="41"/>
      <c r="AMK122" s="41"/>
      <c r="AML122" s="41"/>
      <c r="AMM122" s="41"/>
      <c r="AMN122" s="41"/>
      <c r="AMO122" s="41"/>
      <c r="AMP122" s="41"/>
      <c r="AMQ122" s="41"/>
      <c r="AMR122" s="41"/>
      <c r="AMS122" s="41"/>
      <c r="AMT122" s="41"/>
      <c r="AMU122" s="41"/>
      <c r="AMV122" s="41"/>
      <c r="AMW122" s="41"/>
      <c r="AMX122" s="41"/>
      <c r="AMY122" s="41"/>
      <c r="AMZ122" s="41"/>
      <c r="ANA122" s="41"/>
      <c r="ANB122" s="41"/>
      <c r="ANC122" s="41"/>
      <c r="AND122" s="41"/>
      <c r="ANE122" s="41"/>
      <c r="ANF122" s="41"/>
      <c r="ANG122" s="41"/>
      <c r="ANH122" s="41"/>
      <c r="ANI122" s="41"/>
      <c r="ANJ122" s="41"/>
      <c r="ANK122" s="41"/>
      <c r="ANL122" s="41"/>
      <c r="ANM122" s="41"/>
      <c r="ANN122" s="41"/>
      <c r="ANO122" s="41"/>
      <c r="ANP122" s="41"/>
      <c r="ANQ122" s="41"/>
      <c r="ANR122" s="41"/>
      <c r="ANS122" s="41"/>
      <c r="ANT122" s="41"/>
      <c r="ANU122" s="41"/>
      <c r="ANV122" s="41"/>
      <c r="ANW122" s="41"/>
      <c r="ANX122" s="41"/>
      <c r="ANY122" s="41"/>
      <c r="ANZ122" s="41"/>
      <c r="AOA122" s="41"/>
      <c r="AOB122" s="41"/>
      <c r="AOC122" s="41"/>
      <c r="AOD122" s="41"/>
      <c r="AOE122" s="41"/>
      <c r="AOF122" s="41"/>
      <c r="AOG122" s="41"/>
      <c r="AOH122" s="41"/>
      <c r="AOI122" s="41"/>
      <c r="AOJ122" s="41"/>
      <c r="AOK122" s="41"/>
      <c r="AOL122" s="41"/>
      <c r="AOM122" s="41"/>
      <c r="AON122" s="41"/>
      <c r="AOO122" s="41"/>
      <c r="AOP122" s="41"/>
      <c r="AOQ122" s="41"/>
      <c r="AOR122" s="41"/>
      <c r="AOS122" s="41"/>
      <c r="AOT122" s="41"/>
      <c r="AOU122" s="41"/>
      <c r="AOV122" s="41"/>
      <c r="AOW122" s="41"/>
      <c r="AOX122" s="41"/>
      <c r="AOY122" s="41"/>
      <c r="AOZ122" s="41"/>
      <c r="APA122" s="41"/>
      <c r="APB122" s="41"/>
      <c r="APC122" s="41"/>
      <c r="APD122" s="41"/>
      <c r="APE122" s="41"/>
      <c r="APF122" s="41"/>
      <c r="APG122" s="41"/>
      <c r="APH122" s="41"/>
      <c r="API122" s="41"/>
      <c r="APJ122" s="41"/>
      <c r="APK122" s="41"/>
      <c r="APL122" s="41"/>
      <c r="APM122" s="41"/>
      <c r="APN122" s="41"/>
      <c r="APO122" s="41"/>
      <c r="APP122" s="41"/>
      <c r="APQ122" s="41"/>
      <c r="APR122" s="41"/>
      <c r="APS122" s="41"/>
      <c r="APT122" s="41"/>
      <c r="APU122" s="41"/>
      <c r="APV122" s="41"/>
      <c r="APW122" s="41"/>
      <c r="APX122" s="41"/>
      <c r="APY122" s="41"/>
      <c r="APZ122" s="41"/>
      <c r="AQA122" s="41"/>
      <c r="AQB122" s="41"/>
      <c r="AQC122" s="41"/>
      <c r="AQD122" s="41"/>
      <c r="AQE122" s="41"/>
      <c r="AQF122" s="41"/>
      <c r="AQG122" s="41"/>
      <c r="AQH122" s="41"/>
      <c r="AQI122" s="41"/>
      <c r="AQJ122" s="41"/>
      <c r="AQK122" s="41"/>
      <c r="AQL122" s="41"/>
      <c r="AQM122" s="41"/>
      <c r="AQN122" s="41"/>
      <c r="AQO122" s="41"/>
      <c r="AQP122" s="41"/>
      <c r="AQQ122" s="41"/>
      <c r="AQR122" s="41"/>
      <c r="AQS122" s="41"/>
      <c r="AQT122" s="41"/>
      <c r="AQU122" s="41"/>
      <c r="AQV122" s="41"/>
      <c r="AQW122" s="41"/>
      <c r="AQX122" s="41"/>
      <c r="AQY122" s="41"/>
      <c r="AQZ122" s="41"/>
      <c r="ARA122" s="41"/>
      <c r="ARB122" s="41"/>
      <c r="ARC122" s="41"/>
      <c r="ARD122" s="41"/>
      <c r="ARE122" s="41"/>
      <c r="ARF122" s="41"/>
      <c r="ARG122" s="41"/>
      <c r="ARH122" s="41"/>
      <c r="ARI122" s="41"/>
      <c r="ARJ122" s="41"/>
      <c r="ARK122" s="41"/>
      <c r="ARL122" s="41"/>
      <c r="ARM122" s="41"/>
      <c r="ARN122" s="41"/>
      <c r="ARO122" s="41"/>
      <c r="ARP122" s="41"/>
      <c r="ARQ122" s="41"/>
      <c r="ARR122" s="41"/>
      <c r="ARS122" s="41"/>
      <c r="ART122" s="41"/>
      <c r="ARU122" s="41"/>
      <c r="ARV122" s="41"/>
      <c r="ARW122" s="41"/>
      <c r="ARX122" s="41"/>
      <c r="ARY122" s="41"/>
      <c r="ARZ122" s="41"/>
      <c r="ASA122" s="41"/>
      <c r="ASB122" s="41"/>
      <c r="ASC122" s="41"/>
      <c r="ASD122" s="41"/>
      <c r="ASE122" s="41"/>
      <c r="ASF122" s="41"/>
      <c r="ASG122" s="41"/>
      <c r="ASH122" s="41"/>
      <c r="ASI122" s="41"/>
      <c r="ASJ122" s="41"/>
      <c r="ASK122" s="41"/>
      <c r="ASL122" s="41"/>
      <c r="ASM122" s="41"/>
      <c r="ASN122" s="41"/>
      <c r="ASO122" s="41"/>
      <c r="ASP122" s="41"/>
      <c r="ASQ122" s="41"/>
      <c r="ASR122" s="41"/>
      <c r="ASS122" s="41"/>
      <c r="AST122" s="41"/>
      <c r="ASU122" s="41"/>
      <c r="ASV122" s="41"/>
      <c r="ASW122" s="41"/>
      <c r="ASX122" s="41"/>
      <c r="ASY122" s="41"/>
      <c r="ASZ122" s="41"/>
      <c r="ATA122" s="41"/>
      <c r="ATB122" s="41"/>
      <c r="ATC122" s="41"/>
      <c r="ATD122" s="41"/>
      <c r="ATE122" s="41"/>
      <c r="ATF122" s="41"/>
      <c r="ATG122" s="41"/>
      <c r="ATH122" s="41"/>
      <c r="ATI122" s="41"/>
      <c r="ATJ122" s="41"/>
      <c r="ATK122" s="41"/>
      <c r="ATL122" s="41"/>
      <c r="ATM122" s="41"/>
      <c r="ATN122" s="41"/>
      <c r="ATO122" s="41"/>
      <c r="ATP122" s="41"/>
      <c r="ATQ122" s="41"/>
      <c r="ATR122" s="41"/>
      <c r="ATS122" s="41"/>
      <c r="ATT122" s="41"/>
      <c r="ATU122" s="41"/>
      <c r="ATV122" s="41"/>
      <c r="ATW122" s="41"/>
      <c r="ATX122" s="41"/>
      <c r="ATY122" s="41"/>
      <c r="ATZ122" s="41"/>
      <c r="AUA122" s="41"/>
      <c r="AUB122" s="41"/>
      <c r="AUC122" s="41"/>
      <c r="AUD122" s="41"/>
      <c r="AUE122" s="41"/>
      <c r="AUF122" s="41"/>
      <c r="AUG122" s="41"/>
      <c r="AUH122" s="41"/>
      <c r="AUI122" s="41"/>
      <c r="AUJ122" s="41"/>
      <c r="AUK122" s="41"/>
      <c r="AUL122" s="41"/>
      <c r="AUM122" s="41"/>
      <c r="AUN122" s="41"/>
      <c r="AUO122" s="41"/>
      <c r="AUP122" s="41"/>
      <c r="AUQ122" s="41"/>
      <c r="AUR122" s="41"/>
      <c r="AUS122" s="41"/>
      <c r="AUT122" s="41"/>
      <c r="AUU122" s="41"/>
      <c r="AUV122" s="41"/>
      <c r="AUW122" s="41"/>
      <c r="AUX122" s="41"/>
      <c r="AUY122" s="41"/>
      <c r="AUZ122" s="41"/>
      <c r="AVA122" s="41"/>
      <c r="AVB122" s="41"/>
      <c r="AVC122" s="41"/>
      <c r="AVD122" s="41"/>
      <c r="AVE122" s="41"/>
      <c r="AVF122" s="41"/>
      <c r="AVG122" s="41"/>
      <c r="AVH122" s="41"/>
      <c r="AVI122" s="41"/>
      <c r="AVJ122" s="41"/>
      <c r="AVK122" s="41"/>
      <c r="AVL122" s="41"/>
      <c r="AVM122" s="41"/>
      <c r="AVN122" s="41"/>
      <c r="AVO122" s="41"/>
      <c r="AVP122" s="41"/>
      <c r="AVQ122" s="41"/>
      <c r="AVR122" s="41"/>
      <c r="AVS122" s="41"/>
      <c r="AVT122" s="41"/>
      <c r="AVU122" s="41"/>
      <c r="AVV122" s="41"/>
      <c r="AVW122" s="41"/>
      <c r="AVX122" s="41"/>
      <c r="AVY122" s="41"/>
      <c r="AVZ122" s="41"/>
      <c r="AWA122" s="41"/>
      <c r="AWB122" s="41"/>
      <c r="AWC122" s="41"/>
      <c r="AWD122" s="41"/>
      <c r="AWE122" s="41"/>
      <c r="AWF122" s="41"/>
      <c r="AWG122" s="41"/>
      <c r="AWH122" s="41"/>
      <c r="AWI122" s="41"/>
      <c r="AWJ122" s="41"/>
      <c r="AWK122" s="41"/>
      <c r="AWL122" s="41"/>
      <c r="AWM122" s="41"/>
      <c r="AWN122" s="41"/>
      <c r="AWO122" s="41"/>
      <c r="AWP122" s="41"/>
      <c r="AWQ122" s="41"/>
      <c r="AWR122" s="41"/>
      <c r="AWS122" s="41"/>
      <c r="AWT122" s="41"/>
      <c r="AWU122" s="41"/>
      <c r="AWV122" s="41"/>
      <c r="AWW122" s="41"/>
      <c r="AWX122" s="41"/>
      <c r="AWY122" s="41"/>
      <c r="AWZ122" s="41"/>
      <c r="AXA122" s="41"/>
      <c r="AXB122" s="41"/>
      <c r="AXC122" s="41"/>
      <c r="AXD122" s="41"/>
      <c r="AXE122" s="41"/>
      <c r="AXF122" s="41"/>
      <c r="AXG122" s="41"/>
      <c r="AXH122" s="41"/>
      <c r="AXI122" s="41"/>
      <c r="AXJ122" s="41"/>
      <c r="AXK122" s="41"/>
      <c r="AXL122" s="41"/>
      <c r="AXM122" s="41"/>
      <c r="AXN122" s="41"/>
      <c r="AXO122" s="41"/>
      <c r="AXP122" s="41"/>
      <c r="AXQ122" s="41"/>
      <c r="AXR122" s="41"/>
      <c r="AXS122" s="41"/>
      <c r="AXT122" s="41"/>
      <c r="AXU122" s="41"/>
      <c r="AXV122" s="41"/>
      <c r="AXW122" s="41"/>
      <c r="AXX122" s="41"/>
      <c r="AXY122" s="41"/>
      <c r="AXZ122" s="41"/>
      <c r="AYA122" s="41"/>
      <c r="AYB122" s="41"/>
      <c r="AYC122" s="41"/>
      <c r="AYD122" s="41"/>
      <c r="AYE122" s="41"/>
      <c r="AYF122" s="41"/>
      <c r="AYG122" s="41"/>
      <c r="AYH122" s="41"/>
      <c r="AYI122" s="41"/>
      <c r="AYJ122" s="41"/>
      <c r="AYK122" s="41"/>
      <c r="AYL122" s="41"/>
      <c r="AYM122" s="41"/>
      <c r="AYN122" s="41"/>
      <c r="AYO122" s="41"/>
      <c r="AYP122" s="41"/>
      <c r="AYQ122" s="41"/>
      <c r="AYR122" s="41"/>
      <c r="AYS122" s="41"/>
      <c r="AYT122" s="41"/>
      <c r="AYU122" s="41"/>
      <c r="AYV122" s="41"/>
      <c r="AYW122" s="41"/>
      <c r="AYX122" s="41"/>
      <c r="AYY122" s="41"/>
      <c r="AYZ122" s="41"/>
      <c r="AZA122" s="41"/>
      <c r="AZB122" s="41"/>
      <c r="AZC122" s="41"/>
      <c r="AZD122" s="41"/>
      <c r="AZE122" s="41"/>
      <c r="AZF122" s="41"/>
      <c r="AZG122" s="41"/>
      <c r="AZH122" s="41"/>
      <c r="AZI122" s="41"/>
      <c r="AZJ122" s="41"/>
      <c r="AZK122" s="41"/>
      <c r="AZL122" s="41"/>
      <c r="AZM122" s="41"/>
      <c r="AZN122" s="41"/>
      <c r="AZO122" s="41"/>
      <c r="AZP122" s="41"/>
      <c r="AZQ122" s="41"/>
      <c r="AZR122" s="41"/>
      <c r="AZS122" s="41"/>
      <c r="AZT122" s="41"/>
      <c r="AZU122" s="41"/>
      <c r="AZV122" s="41"/>
      <c r="AZW122" s="41"/>
      <c r="AZX122" s="41"/>
      <c r="AZY122" s="41"/>
      <c r="AZZ122" s="41"/>
      <c r="BAA122" s="41"/>
      <c r="BAB122" s="41"/>
      <c r="BAC122" s="41"/>
      <c r="BAD122" s="41"/>
      <c r="BAE122" s="41"/>
      <c r="BAF122" s="41"/>
      <c r="BAG122" s="41"/>
      <c r="BAH122" s="41"/>
      <c r="BAI122" s="41"/>
      <c r="BAJ122" s="41"/>
      <c r="BAK122" s="41"/>
      <c r="BAL122" s="41"/>
      <c r="BAM122" s="41"/>
      <c r="BAN122" s="41"/>
      <c r="BAO122" s="41"/>
      <c r="BAP122" s="41"/>
      <c r="BAQ122" s="41"/>
      <c r="BAR122" s="41"/>
      <c r="BAS122" s="41"/>
      <c r="BAT122" s="41"/>
      <c r="BAU122" s="41"/>
      <c r="BAV122" s="41"/>
      <c r="BAW122" s="41"/>
      <c r="BAX122" s="41"/>
      <c r="BAY122" s="41"/>
      <c r="BAZ122" s="41"/>
      <c r="BBA122" s="41"/>
      <c r="BBB122" s="41"/>
      <c r="BBC122" s="41"/>
      <c r="BBD122" s="41"/>
      <c r="BBE122" s="41"/>
      <c r="BBF122" s="41"/>
      <c r="BBG122" s="41"/>
      <c r="BBH122" s="41"/>
      <c r="BBI122" s="41"/>
      <c r="BBJ122" s="41"/>
      <c r="BBK122" s="41"/>
      <c r="BBL122" s="41"/>
      <c r="BBM122" s="41"/>
      <c r="BBN122" s="41"/>
      <c r="BBO122" s="41"/>
      <c r="BBP122" s="41"/>
      <c r="BBQ122" s="41"/>
      <c r="BBR122" s="41"/>
      <c r="BBS122" s="41"/>
      <c r="BBT122" s="41"/>
      <c r="BBU122" s="41"/>
      <c r="BBV122" s="41"/>
      <c r="BBW122" s="41"/>
      <c r="BBX122" s="41"/>
      <c r="BBY122" s="41"/>
      <c r="BBZ122" s="41"/>
      <c r="BCA122" s="41"/>
      <c r="BCB122" s="41"/>
      <c r="BCC122" s="41"/>
      <c r="BCD122" s="41"/>
      <c r="BCE122" s="41"/>
      <c r="BCF122" s="41"/>
      <c r="BCG122" s="41"/>
      <c r="BCH122" s="41"/>
      <c r="BCI122" s="41"/>
      <c r="BCJ122" s="41"/>
      <c r="BCK122" s="41"/>
      <c r="BCL122" s="41"/>
      <c r="BCM122" s="41"/>
      <c r="BCN122" s="41"/>
      <c r="BCO122" s="41"/>
      <c r="BCP122" s="41"/>
      <c r="BCQ122" s="41"/>
      <c r="BCR122" s="41"/>
      <c r="BCS122" s="41"/>
      <c r="BCT122" s="41"/>
      <c r="BCU122" s="41"/>
      <c r="BCV122" s="41"/>
      <c r="BCW122" s="41"/>
      <c r="BCX122" s="41"/>
      <c r="BCY122" s="41"/>
      <c r="BCZ122" s="41"/>
      <c r="BDA122" s="41"/>
      <c r="BDB122" s="41"/>
      <c r="BDC122" s="41"/>
      <c r="BDD122" s="41"/>
      <c r="BDE122" s="41"/>
      <c r="BDF122" s="41"/>
      <c r="BDG122" s="41"/>
      <c r="BDH122" s="41"/>
      <c r="BDI122" s="41"/>
      <c r="BDJ122" s="41"/>
      <c r="BDK122" s="41"/>
      <c r="BDL122" s="41"/>
      <c r="BDM122" s="41"/>
      <c r="BDN122" s="41"/>
      <c r="BDO122" s="41"/>
      <c r="BDP122" s="41"/>
      <c r="BDQ122" s="41"/>
      <c r="BDR122" s="41"/>
      <c r="BDS122" s="41"/>
      <c r="BDT122" s="41"/>
      <c r="BDU122" s="41"/>
      <c r="BDV122" s="41"/>
      <c r="BDW122" s="41"/>
      <c r="BDX122" s="41"/>
      <c r="BDY122" s="41"/>
      <c r="BDZ122" s="41"/>
      <c r="BEA122" s="41"/>
      <c r="BEB122" s="41"/>
      <c r="BEC122" s="41"/>
      <c r="BED122" s="41"/>
      <c r="BEE122" s="41"/>
      <c r="BEF122" s="41"/>
      <c r="BEG122" s="41"/>
      <c r="BEH122" s="41"/>
      <c r="BEI122" s="41"/>
      <c r="BEJ122" s="41"/>
      <c r="BEK122" s="41"/>
      <c r="BEL122" s="41"/>
      <c r="BEM122" s="41"/>
      <c r="BEN122" s="41"/>
      <c r="BEO122" s="41"/>
      <c r="BEP122" s="41"/>
      <c r="BEQ122" s="41"/>
      <c r="BER122" s="41"/>
      <c r="BES122" s="41"/>
      <c r="BET122" s="41"/>
      <c r="BEU122" s="41"/>
      <c r="BEV122" s="41"/>
      <c r="BEW122" s="41"/>
      <c r="BEX122" s="41"/>
      <c r="BEY122" s="41"/>
      <c r="BEZ122" s="41"/>
      <c r="BFA122" s="41"/>
      <c r="BFB122" s="41"/>
      <c r="BFC122" s="41"/>
      <c r="BFD122" s="41"/>
      <c r="BFE122" s="41"/>
      <c r="BFF122" s="41"/>
      <c r="BFG122" s="41"/>
      <c r="BFH122" s="41"/>
      <c r="BFI122" s="41"/>
      <c r="BFJ122" s="41"/>
      <c r="BFK122" s="41"/>
      <c r="BFL122" s="41"/>
      <c r="BFM122" s="41"/>
      <c r="BFN122" s="41"/>
      <c r="BFO122" s="41"/>
      <c r="BFP122" s="41"/>
      <c r="BFQ122" s="41"/>
      <c r="BFR122" s="41"/>
      <c r="BFS122" s="41"/>
      <c r="BFT122" s="41"/>
      <c r="BFU122" s="41"/>
      <c r="BFV122" s="41"/>
      <c r="BFW122" s="41"/>
      <c r="BFX122" s="41"/>
      <c r="BFY122" s="41"/>
      <c r="BFZ122" s="41"/>
      <c r="BGA122" s="41"/>
      <c r="BGB122" s="41"/>
      <c r="BGC122" s="41"/>
      <c r="BGD122" s="41"/>
      <c r="BGE122" s="41"/>
      <c r="BGF122" s="41"/>
      <c r="BGG122" s="41"/>
      <c r="BGH122" s="41"/>
      <c r="BGI122" s="41"/>
      <c r="BGJ122" s="41"/>
      <c r="BGK122" s="41"/>
      <c r="BGL122" s="41"/>
      <c r="BGM122" s="41"/>
      <c r="BGN122" s="41"/>
      <c r="BGO122" s="41"/>
      <c r="BGP122" s="41"/>
      <c r="BGQ122" s="41"/>
      <c r="BGR122" s="41"/>
      <c r="BGS122" s="41"/>
      <c r="BGT122" s="41"/>
      <c r="BGU122" s="41"/>
      <c r="BGV122" s="41"/>
      <c r="BGW122" s="41"/>
      <c r="BGX122" s="41"/>
      <c r="BGY122" s="41"/>
      <c r="BGZ122" s="41"/>
      <c r="BHA122" s="41"/>
      <c r="BHB122" s="41"/>
      <c r="BHC122" s="41"/>
      <c r="BHD122" s="41"/>
      <c r="BHE122" s="41"/>
      <c r="BHF122" s="41"/>
      <c r="BHG122" s="41"/>
      <c r="BHH122" s="41"/>
      <c r="BHI122" s="41"/>
      <c r="BHJ122" s="41"/>
      <c r="BHK122" s="41"/>
      <c r="BHL122" s="41"/>
      <c r="BHM122" s="41"/>
      <c r="BHN122" s="41"/>
      <c r="BHO122" s="41"/>
      <c r="BHP122" s="41"/>
      <c r="BHQ122" s="41"/>
      <c r="BHR122" s="41"/>
      <c r="BHS122" s="41"/>
      <c r="BHT122" s="41"/>
      <c r="BHU122" s="41"/>
      <c r="BHV122" s="41"/>
      <c r="BHW122" s="41"/>
      <c r="BHX122" s="41"/>
      <c r="BHY122" s="41"/>
      <c r="BHZ122" s="41"/>
      <c r="BIA122" s="41"/>
      <c r="BIB122" s="41"/>
      <c r="BIC122" s="41"/>
      <c r="BID122" s="41"/>
      <c r="BIE122" s="41"/>
      <c r="BIF122" s="41"/>
      <c r="BIG122" s="41"/>
      <c r="BIH122" s="41"/>
      <c r="BII122" s="41"/>
      <c r="BIJ122" s="41"/>
      <c r="BIK122" s="41"/>
      <c r="BIL122" s="41"/>
      <c r="BIM122" s="41"/>
      <c r="BIN122" s="41"/>
      <c r="BIO122" s="41"/>
      <c r="BIP122" s="41"/>
      <c r="BIQ122" s="41"/>
      <c r="BIR122" s="41"/>
      <c r="BIS122" s="41"/>
      <c r="BIT122" s="41"/>
      <c r="BIU122" s="41"/>
      <c r="BIV122" s="41"/>
      <c r="BIW122" s="41"/>
      <c r="BIX122" s="41"/>
      <c r="BIY122" s="41"/>
      <c r="BIZ122" s="41"/>
      <c r="BJA122" s="41"/>
      <c r="BJB122" s="41"/>
      <c r="BJC122" s="41"/>
      <c r="BJD122" s="41"/>
      <c r="BJE122" s="41"/>
      <c r="BJF122" s="41"/>
      <c r="BJG122" s="41"/>
      <c r="BJH122" s="41"/>
      <c r="BJI122" s="41"/>
      <c r="BJJ122" s="41"/>
      <c r="BJK122" s="41"/>
      <c r="BJL122" s="41"/>
      <c r="BJM122" s="41"/>
      <c r="BJN122" s="41"/>
      <c r="BJO122" s="41"/>
      <c r="BJP122" s="41"/>
      <c r="BJQ122" s="41"/>
      <c r="BJR122" s="41"/>
      <c r="BJS122" s="41"/>
      <c r="BJT122" s="41"/>
      <c r="BJU122" s="41"/>
      <c r="BJV122" s="41"/>
      <c r="BJW122" s="41"/>
      <c r="BJX122" s="41"/>
      <c r="BJY122" s="41"/>
      <c r="BJZ122" s="41"/>
      <c r="BKA122" s="41"/>
      <c r="BKB122" s="41"/>
      <c r="BKC122" s="41"/>
      <c r="BKD122" s="41"/>
      <c r="BKE122" s="41"/>
      <c r="BKF122" s="41"/>
      <c r="BKG122" s="41"/>
      <c r="BKH122" s="41"/>
      <c r="BKI122" s="41"/>
      <c r="BKJ122" s="41"/>
      <c r="BKK122" s="41"/>
      <c r="BKL122" s="41"/>
      <c r="BKM122" s="41"/>
      <c r="BKN122" s="41"/>
      <c r="BKO122" s="41"/>
      <c r="BKP122" s="41"/>
      <c r="BKQ122" s="41"/>
      <c r="BKR122" s="41"/>
      <c r="BKS122" s="41"/>
      <c r="BKT122" s="41"/>
      <c r="BKU122" s="41"/>
      <c r="BKV122" s="41"/>
      <c r="BKW122" s="41"/>
      <c r="BKX122" s="41"/>
      <c r="BKY122" s="41"/>
      <c r="BKZ122" s="41"/>
      <c r="BLA122" s="41"/>
      <c r="BLB122" s="41"/>
      <c r="BLC122" s="41"/>
      <c r="BLD122" s="41"/>
      <c r="BLE122" s="41"/>
      <c r="BLF122" s="41"/>
      <c r="BLG122" s="41"/>
      <c r="BLH122" s="41"/>
      <c r="BLI122" s="41"/>
      <c r="BLJ122" s="41"/>
      <c r="BLK122" s="41"/>
      <c r="BLL122" s="41"/>
      <c r="BLM122" s="41"/>
      <c r="BLN122" s="41"/>
      <c r="BLO122" s="41"/>
      <c r="BLP122" s="41"/>
      <c r="BLQ122" s="41"/>
      <c r="BLR122" s="41"/>
      <c r="BLS122" s="41"/>
      <c r="BLT122" s="41"/>
      <c r="BLU122" s="41"/>
      <c r="BLV122" s="41"/>
      <c r="BLW122" s="41"/>
      <c r="BLX122" s="41"/>
      <c r="BLY122" s="41"/>
      <c r="BLZ122" s="41"/>
      <c r="BMA122" s="41"/>
      <c r="BMB122" s="41"/>
      <c r="BMC122" s="41"/>
      <c r="BMD122" s="41"/>
      <c r="BME122" s="41"/>
      <c r="BMF122" s="41"/>
      <c r="BMG122" s="41"/>
      <c r="BMH122" s="41"/>
      <c r="BMI122" s="41"/>
      <c r="BMJ122" s="41"/>
      <c r="BMK122" s="41"/>
      <c r="BML122" s="41"/>
      <c r="BMM122" s="41"/>
      <c r="BMN122" s="41"/>
      <c r="BMO122" s="41"/>
      <c r="BMP122" s="41"/>
      <c r="BMQ122" s="41"/>
      <c r="BMR122" s="41"/>
      <c r="BMS122" s="41"/>
      <c r="BMT122" s="41"/>
      <c r="BMU122" s="41"/>
      <c r="BMV122" s="41"/>
      <c r="BMW122" s="41"/>
      <c r="BMX122" s="41"/>
      <c r="BMY122" s="41"/>
      <c r="BMZ122" s="41"/>
      <c r="BNA122" s="41"/>
      <c r="BNB122" s="41"/>
      <c r="BNC122" s="41"/>
      <c r="BND122" s="41"/>
      <c r="BNE122" s="41"/>
      <c r="BNF122" s="41"/>
      <c r="BNG122" s="41"/>
      <c r="BNH122" s="41"/>
      <c r="BNI122" s="41"/>
      <c r="BNJ122" s="41"/>
      <c r="BNK122" s="41"/>
      <c r="BNL122" s="41"/>
      <c r="BNM122" s="41"/>
      <c r="BNN122" s="41"/>
      <c r="BNO122" s="41"/>
      <c r="BNP122" s="41"/>
      <c r="BNQ122" s="41"/>
      <c r="BNR122" s="41"/>
      <c r="BNS122" s="41"/>
      <c r="BNT122" s="41"/>
      <c r="BNU122" s="41"/>
      <c r="BNV122" s="41"/>
      <c r="BNW122" s="41"/>
      <c r="BNX122" s="41"/>
      <c r="BNY122" s="41"/>
      <c r="BNZ122" s="41"/>
      <c r="BOA122" s="41"/>
      <c r="BOB122" s="41"/>
      <c r="BOC122" s="41"/>
      <c r="BOD122" s="41"/>
      <c r="BOE122" s="41"/>
      <c r="BOF122" s="41"/>
      <c r="BOG122" s="41"/>
      <c r="BOH122" s="41"/>
      <c r="BOI122" s="41"/>
      <c r="BOJ122" s="41"/>
      <c r="BOK122" s="41"/>
      <c r="BOL122" s="41"/>
      <c r="BOM122" s="41"/>
      <c r="BON122" s="41"/>
      <c r="BOO122" s="41"/>
      <c r="BOP122" s="41"/>
      <c r="BOQ122" s="41"/>
      <c r="BOR122" s="41"/>
      <c r="BOS122" s="41"/>
      <c r="BOT122" s="41"/>
      <c r="BOU122" s="41"/>
      <c r="BOV122" s="41"/>
      <c r="BOW122" s="41"/>
      <c r="BOX122" s="41"/>
      <c r="BOY122" s="41"/>
      <c r="BOZ122" s="41"/>
      <c r="BPA122" s="41"/>
      <c r="BPB122" s="41"/>
      <c r="BPC122" s="41"/>
      <c r="BPD122" s="41"/>
      <c r="BPE122" s="41"/>
      <c r="BPF122" s="41"/>
      <c r="BPG122" s="41"/>
      <c r="BPH122" s="41"/>
      <c r="BPI122" s="41"/>
      <c r="BPJ122" s="41"/>
      <c r="BPK122" s="41"/>
      <c r="BPL122" s="41"/>
      <c r="BPM122" s="41"/>
      <c r="BPN122" s="41"/>
      <c r="BPO122" s="41"/>
      <c r="BPP122" s="41"/>
      <c r="BPQ122" s="41"/>
      <c r="BPR122" s="41"/>
      <c r="BPS122" s="41"/>
      <c r="BPT122" s="41"/>
      <c r="BPU122" s="41"/>
      <c r="BPV122" s="41"/>
      <c r="BPW122" s="41"/>
      <c r="BPX122" s="41"/>
      <c r="BPY122" s="41"/>
      <c r="BPZ122" s="41"/>
      <c r="BQA122" s="41"/>
      <c r="BQB122" s="41"/>
      <c r="BQC122" s="41"/>
      <c r="BQD122" s="41"/>
      <c r="BQE122" s="41"/>
      <c r="BQF122" s="41"/>
      <c r="BQG122" s="41"/>
      <c r="BQH122" s="41"/>
      <c r="BQI122" s="41"/>
      <c r="BQJ122" s="41"/>
      <c r="BQK122" s="41"/>
      <c r="BQL122" s="41"/>
      <c r="BQM122" s="41"/>
      <c r="BQN122" s="41"/>
      <c r="BQO122" s="41"/>
      <c r="BQP122" s="41"/>
      <c r="BQQ122" s="41"/>
      <c r="BQR122" s="41"/>
      <c r="BQS122" s="41"/>
      <c r="BQT122" s="41"/>
      <c r="BQU122" s="41"/>
      <c r="BQV122" s="41"/>
      <c r="BQW122" s="41"/>
      <c r="BQX122" s="41"/>
      <c r="BQY122" s="41"/>
      <c r="BQZ122" s="41"/>
      <c r="BRA122" s="41"/>
      <c r="BRB122" s="41"/>
      <c r="BRC122" s="41"/>
      <c r="BRD122" s="41"/>
      <c r="BRE122" s="41"/>
      <c r="BRF122" s="41"/>
      <c r="BRG122" s="41"/>
      <c r="BRH122" s="41"/>
      <c r="BRI122" s="41"/>
      <c r="BRJ122" s="41"/>
      <c r="BRK122" s="41"/>
      <c r="BRL122" s="41"/>
      <c r="BRM122" s="41"/>
      <c r="BRN122" s="41"/>
      <c r="BRO122" s="41"/>
      <c r="BRP122" s="41"/>
      <c r="BRQ122" s="41"/>
      <c r="BRR122" s="41"/>
      <c r="BRS122" s="41"/>
      <c r="BRT122" s="41"/>
      <c r="BRU122" s="41"/>
      <c r="BRV122" s="41"/>
      <c r="BRW122" s="41"/>
      <c r="BRX122" s="41"/>
      <c r="BRY122" s="41"/>
      <c r="BRZ122" s="41"/>
      <c r="BSA122" s="41"/>
      <c r="BSB122" s="41"/>
      <c r="BSC122" s="41"/>
      <c r="BSD122" s="41"/>
      <c r="BSE122" s="41"/>
      <c r="BSF122" s="41"/>
      <c r="BSG122" s="41"/>
      <c r="BSH122" s="41"/>
      <c r="BSI122" s="41"/>
      <c r="BSJ122" s="41"/>
      <c r="BSK122" s="41"/>
      <c r="BSL122" s="41"/>
      <c r="BSM122" s="41"/>
      <c r="BSN122" s="41"/>
      <c r="BSO122" s="41"/>
      <c r="BSP122" s="41"/>
      <c r="BSQ122" s="41"/>
      <c r="BSR122" s="41"/>
      <c r="BSS122" s="41"/>
      <c r="BST122" s="41"/>
      <c r="BSU122" s="41"/>
      <c r="BSV122" s="41"/>
      <c r="BSW122" s="41"/>
      <c r="BSX122" s="41"/>
      <c r="BSY122" s="41"/>
      <c r="BSZ122" s="41"/>
      <c r="BTA122" s="41"/>
      <c r="BTB122" s="41"/>
      <c r="BTC122" s="41"/>
      <c r="BTD122" s="41"/>
      <c r="BTE122" s="41"/>
      <c r="BTF122" s="41"/>
      <c r="BTG122" s="41"/>
      <c r="BTH122" s="41"/>
      <c r="BTI122" s="41"/>
      <c r="BTJ122" s="41"/>
      <c r="BTK122" s="41"/>
      <c r="BTL122" s="41"/>
      <c r="BTM122" s="41"/>
      <c r="BTN122" s="41"/>
      <c r="BTO122" s="41"/>
      <c r="BTP122" s="41"/>
      <c r="BTQ122" s="41"/>
      <c r="BTR122" s="41"/>
      <c r="BTS122" s="41"/>
      <c r="BTT122" s="41"/>
      <c r="BTU122" s="41"/>
      <c r="BTV122" s="41"/>
      <c r="BTW122" s="41"/>
      <c r="BTX122" s="41"/>
      <c r="BTY122" s="41"/>
      <c r="BTZ122" s="41"/>
      <c r="BUA122" s="41"/>
      <c r="BUB122" s="41"/>
      <c r="BUC122" s="41"/>
      <c r="BUD122" s="41"/>
      <c r="BUE122" s="41"/>
      <c r="BUF122" s="41"/>
      <c r="BUG122" s="41"/>
      <c r="BUH122" s="41"/>
      <c r="BUI122" s="41"/>
      <c r="BUJ122" s="41"/>
      <c r="BUK122" s="41"/>
      <c r="BUL122" s="41"/>
      <c r="BUM122" s="41"/>
      <c r="BUN122" s="41"/>
      <c r="BUO122" s="41"/>
      <c r="BUP122" s="41"/>
      <c r="BUQ122" s="41"/>
      <c r="BUR122" s="41"/>
      <c r="BUS122" s="41"/>
      <c r="BUT122" s="41"/>
      <c r="BUU122" s="41"/>
      <c r="BUV122" s="41"/>
      <c r="BUW122" s="41"/>
      <c r="BUX122" s="41"/>
      <c r="BUY122" s="41"/>
      <c r="BUZ122" s="41"/>
      <c r="BVA122" s="41"/>
      <c r="BVB122" s="41"/>
      <c r="BVC122" s="41"/>
      <c r="BVD122" s="41"/>
      <c r="BVE122" s="41"/>
      <c r="BVF122" s="41"/>
      <c r="BVG122" s="41"/>
      <c r="BVH122" s="41"/>
      <c r="BVI122" s="41"/>
      <c r="BVJ122" s="41"/>
      <c r="BVK122" s="41"/>
      <c r="BVL122" s="41"/>
      <c r="BVM122" s="41"/>
      <c r="BVN122" s="41"/>
      <c r="BVO122" s="41"/>
      <c r="BVP122" s="41"/>
      <c r="BVQ122" s="41"/>
      <c r="BVR122" s="41"/>
      <c r="BVS122" s="41"/>
      <c r="BVT122" s="41"/>
      <c r="BVU122" s="41"/>
      <c r="BVV122" s="41"/>
      <c r="BVW122" s="41"/>
      <c r="BVX122" s="41"/>
      <c r="BVY122" s="41"/>
      <c r="BVZ122" s="41"/>
      <c r="BWA122" s="41"/>
      <c r="BWB122" s="41"/>
      <c r="BWC122" s="41"/>
      <c r="BWD122" s="41"/>
      <c r="BWE122" s="41"/>
      <c r="BWF122" s="41"/>
      <c r="BWG122" s="41"/>
      <c r="BWH122" s="41"/>
      <c r="BWI122" s="41"/>
      <c r="BWJ122" s="41"/>
      <c r="BWK122" s="41"/>
      <c r="BWL122" s="41"/>
      <c r="BWM122" s="41"/>
      <c r="BWN122" s="41"/>
      <c r="BWO122" s="41"/>
      <c r="BWP122" s="41"/>
      <c r="BWQ122" s="41"/>
      <c r="BWR122" s="41"/>
      <c r="BWS122" s="41"/>
      <c r="BWT122" s="41"/>
      <c r="BWU122" s="41"/>
      <c r="BWV122" s="41"/>
      <c r="BWW122" s="41"/>
      <c r="BWX122" s="41"/>
      <c r="BWY122" s="41"/>
      <c r="BWZ122" s="41"/>
      <c r="BXA122" s="41"/>
      <c r="BXB122" s="41"/>
      <c r="BXC122" s="41"/>
      <c r="BXD122" s="41"/>
      <c r="BXE122" s="41"/>
      <c r="BXF122" s="41"/>
      <c r="BXG122" s="41"/>
      <c r="BXH122" s="41"/>
      <c r="BXI122" s="41"/>
      <c r="BXJ122" s="41"/>
      <c r="BXK122" s="41"/>
      <c r="BXL122" s="41"/>
      <c r="BXM122" s="41"/>
      <c r="BXN122" s="41"/>
      <c r="BXO122" s="41"/>
      <c r="BXP122" s="41"/>
      <c r="BXQ122" s="41"/>
      <c r="BXR122" s="41"/>
      <c r="BXS122" s="41"/>
      <c r="BXT122" s="41"/>
      <c r="BXU122" s="41"/>
      <c r="BXV122" s="41"/>
      <c r="BXW122" s="41"/>
      <c r="BXX122" s="41"/>
      <c r="BXY122" s="41"/>
      <c r="BXZ122" s="41"/>
      <c r="BYA122" s="41"/>
      <c r="BYB122" s="41"/>
      <c r="BYC122" s="41"/>
      <c r="BYD122" s="41"/>
      <c r="BYE122" s="41"/>
      <c r="BYF122" s="41"/>
      <c r="BYG122" s="41"/>
      <c r="BYH122" s="41"/>
      <c r="BYI122" s="41"/>
      <c r="BYJ122" s="41"/>
      <c r="BYK122" s="41"/>
      <c r="BYL122" s="41"/>
      <c r="BYM122" s="41"/>
      <c r="BYN122" s="41"/>
      <c r="BYO122" s="41"/>
      <c r="BYP122" s="41"/>
      <c r="BYQ122" s="41"/>
      <c r="BYR122" s="41"/>
      <c r="BYS122" s="41"/>
      <c r="BYT122" s="41"/>
      <c r="BYU122" s="41"/>
      <c r="BYV122" s="41"/>
      <c r="BYW122" s="41"/>
      <c r="BYX122" s="41"/>
      <c r="BYY122" s="41"/>
      <c r="BYZ122" s="41"/>
      <c r="BZA122" s="41"/>
      <c r="BZB122" s="41"/>
      <c r="BZC122" s="41"/>
      <c r="BZD122" s="41"/>
      <c r="BZE122" s="41"/>
      <c r="BZF122" s="41"/>
      <c r="BZG122" s="41"/>
      <c r="BZH122" s="41"/>
      <c r="BZI122" s="41"/>
      <c r="BZJ122" s="41"/>
      <c r="BZK122" s="41"/>
      <c r="BZL122" s="41"/>
      <c r="BZM122" s="41"/>
      <c r="BZN122" s="41"/>
      <c r="BZO122" s="41"/>
      <c r="BZP122" s="41"/>
      <c r="BZQ122" s="41"/>
      <c r="BZR122" s="41"/>
      <c r="BZS122" s="41"/>
      <c r="BZT122" s="41"/>
      <c r="BZU122" s="41"/>
      <c r="BZV122" s="41"/>
      <c r="BZW122" s="41"/>
      <c r="BZX122" s="41"/>
      <c r="BZY122" s="41"/>
      <c r="BZZ122" s="41"/>
      <c r="CAA122" s="41"/>
      <c r="CAB122" s="41"/>
      <c r="CAC122" s="41"/>
      <c r="CAD122" s="41"/>
      <c r="CAE122" s="41"/>
      <c r="CAF122" s="41"/>
      <c r="CAG122" s="41"/>
      <c r="CAH122" s="41"/>
      <c r="CAI122" s="41"/>
      <c r="CAJ122" s="41"/>
      <c r="CAK122" s="41"/>
      <c r="CAL122" s="41"/>
      <c r="CAM122" s="41"/>
      <c r="CAN122" s="41"/>
      <c r="CAO122" s="41"/>
      <c r="CAP122" s="41"/>
      <c r="CAQ122" s="41"/>
      <c r="CAR122" s="41"/>
      <c r="CAS122" s="41"/>
      <c r="CAT122" s="41"/>
      <c r="CAU122" s="41"/>
      <c r="CAV122" s="41"/>
      <c r="CAW122" s="41"/>
      <c r="CAX122" s="41"/>
      <c r="CAY122" s="41"/>
      <c r="CAZ122" s="41"/>
      <c r="CBA122" s="41"/>
      <c r="CBB122" s="41"/>
      <c r="CBC122" s="41"/>
      <c r="CBD122" s="41"/>
      <c r="CBE122" s="41"/>
      <c r="CBF122" s="41"/>
      <c r="CBG122" s="41"/>
      <c r="CBH122" s="41"/>
      <c r="CBI122" s="41"/>
      <c r="CBJ122" s="41"/>
      <c r="CBK122" s="41"/>
      <c r="CBL122" s="41"/>
      <c r="CBM122" s="41"/>
      <c r="CBN122" s="41"/>
      <c r="CBO122" s="41"/>
      <c r="CBP122" s="41"/>
      <c r="CBQ122" s="41"/>
      <c r="CBR122" s="41"/>
      <c r="CBS122" s="41"/>
      <c r="CBT122" s="41"/>
      <c r="CBU122" s="41"/>
      <c r="CBV122" s="41"/>
      <c r="CBW122" s="41"/>
      <c r="CBX122" s="41"/>
      <c r="CBY122" s="41"/>
      <c r="CBZ122" s="41"/>
      <c r="CCA122" s="41"/>
      <c r="CCB122" s="41"/>
      <c r="CCC122" s="41"/>
      <c r="CCD122" s="41"/>
      <c r="CCE122" s="41"/>
      <c r="CCF122" s="41"/>
      <c r="CCG122" s="41"/>
      <c r="CCH122" s="41"/>
      <c r="CCI122" s="41"/>
      <c r="CCJ122" s="41"/>
      <c r="CCK122" s="41"/>
      <c r="CCL122" s="41"/>
      <c r="CCM122" s="41"/>
      <c r="CCN122" s="41"/>
      <c r="CCO122" s="41"/>
      <c r="CCP122" s="41"/>
      <c r="CCQ122" s="41"/>
      <c r="CCR122" s="41"/>
      <c r="CCS122" s="41"/>
      <c r="CCT122" s="41"/>
      <c r="CCU122" s="41"/>
      <c r="CCV122" s="41"/>
      <c r="CCW122" s="41"/>
      <c r="CCX122" s="41"/>
      <c r="CCY122" s="41"/>
      <c r="CCZ122" s="41"/>
      <c r="CDA122" s="41"/>
      <c r="CDB122" s="41"/>
      <c r="CDC122" s="41"/>
      <c r="CDD122" s="41"/>
      <c r="CDE122" s="41"/>
      <c r="CDF122" s="41"/>
      <c r="CDG122" s="41"/>
      <c r="CDH122" s="41"/>
      <c r="CDI122" s="41"/>
      <c r="CDJ122" s="41"/>
      <c r="CDK122" s="41"/>
      <c r="CDL122" s="41"/>
      <c r="CDM122" s="41"/>
      <c r="CDN122" s="41"/>
      <c r="CDO122" s="41"/>
      <c r="CDP122" s="41"/>
      <c r="CDQ122" s="41"/>
      <c r="CDR122" s="41"/>
      <c r="CDS122" s="41"/>
      <c r="CDT122" s="41"/>
      <c r="CDU122" s="41"/>
      <c r="CDV122" s="41"/>
      <c r="CDW122" s="41"/>
      <c r="CDX122" s="41"/>
      <c r="CDY122" s="41"/>
      <c r="CDZ122" s="41"/>
      <c r="CEA122" s="41"/>
      <c r="CEB122" s="41"/>
      <c r="CEC122" s="41"/>
      <c r="CED122" s="41"/>
      <c r="CEE122" s="41"/>
      <c r="CEF122" s="41"/>
      <c r="CEG122" s="41"/>
      <c r="CEH122" s="41"/>
      <c r="CEI122" s="41"/>
      <c r="CEJ122" s="41"/>
      <c r="CEK122" s="41"/>
      <c r="CEL122" s="41"/>
      <c r="CEM122" s="41"/>
      <c r="CEN122" s="41"/>
      <c r="CEO122" s="41"/>
      <c r="CEP122" s="41"/>
      <c r="CEQ122" s="41"/>
      <c r="CER122" s="41"/>
      <c r="CES122" s="41"/>
      <c r="CET122" s="41"/>
      <c r="CEU122" s="41"/>
      <c r="CEV122" s="41"/>
      <c r="CEW122" s="41"/>
      <c r="CEX122" s="41"/>
      <c r="CEY122" s="41"/>
      <c r="CEZ122" s="41"/>
      <c r="CFA122" s="41"/>
      <c r="CFB122" s="41"/>
      <c r="CFC122" s="41"/>
      <c r="CFD122" s="41"/>
      <c r="CFE122" s="41"/>
      <c r="CFF122" s="41"/>
      <c r="CFG122" s="41"/>
      <c r="CFH122" s="41"/>
      <c r="CFI122" s="41"/>
      <c r="CFJ122" s="41"/>
      <c r="CFK122" s="41"/>
      <c r="CFL122" s="41"/>
      <c r="CFM122" s="41"/>
      <c r="CFN122" s="41"/>
      <c r="CFO122" s="41"/>
      <c r="CFP122" s="41"/>
      <c r="CFQ122" s="41"/>
      <c r="CFR122" s="41"/>
      <c r="CFS122" s="41"/>
      <c r="CFT122" s="41"/>
      <c r="CFU122" s="41"/>
      <c r="CFV122" s="41"/>
      <c r="CFW122" s="41"/>
      <c r="CFX122" s="41"/>
      <c r="CFY122" s="41"/>
      <c r="CFZ122" s="41"/>
      <c r="CGA122" s="41"/>
      <c r="CGB122" s="41"/>
      <c r="CGC122" s="41"/>
      <c r="CGD122" s="41"/>
      <c r="CGE122" s="41"/>
      <c r="CGF122" s="41"/>
      <c r="CGG122" s="41"/>
      <c r="CGH122" s="41"/>
      <c r="CGI122" s="41"/>
      <c r="CGJ122" s="41"/>
      <c r="CGK122" s="41"/>
      <c r="CGL122" s="41"/>
      <c r="CGM122" s="41"/>
      <c r="CGN122" s="41"/>
      <c r="CGO122" s="41"/>
      <c r="CGP122" s="41"/>
      <c r="CGQ122" s="41"/>
      <c r="CGR122" s="41"/>
      <c r="CGS122" s="41"/>
      <c r="CGT122" s="41"/>
      <c r="CGU122" s="41"/>
      <c r="CGV122" s="41"/>
      <c r="CGW122" s="41"/>
      <c r="CGX122" s="41"/>
      <c r="CGY122" s="41"/>
      <c r="CGZ122" s="41"/>
      <c r="CHA122" s="41"/>
      <c r="CHB122" s="41"/>
      <c r="CHC122" s="41"/>
      <c r="CHD122" s="41"/>
      <c r="CHE122" s="41"/>
      <c r="CHF122" s="41"/>
      <c r="CHG122" s="41"/>
      <c r="CHH122" s="41"/>
      <c r="CHI122" s="41"/>
      <c r="CHJ122" s="41"/>
      <c r="CHK122" s="41"/>
      <c r="CHL122" s="41"/>
      <c r="CHM122" s="41"/>
      <c r="CHN122" s="41"/>
      <c r="CHO122" s="41"/>
      <c r="CHP122" s="41"/>
      <c r="CHQ122" s="41"/>
      <c r="CHR122" s="41"/>
      <c r="CHS122" s="41"/>
      <c r="CHT122" s="41"/>
      <c r="CHU122" s="41"/>
      <c r="CHV122" s="41"/>
      <c r="CHW122" s="41"/>
      <c r="CHX122" s="41"/>
      <c r="CHY122" s="41"/>
      <c r="CHZ122" s="41"/>
      <c r="CIA122" s="41"/>
      <c r="CIB122" s="41"/>
      <c r="CIC122" s="41"/>
      <c r="CID122" s="41"/>
      <c r="CIE122" s="41"/>
      <c r="CIF122" s="41"/>
      <c r="CIG122" s="41"/>
      <c r="CIH122" s="41"/>
      <c r="CII122" s="41"/>
      <c r="CIJ122" s="41"/>
      <c r="CIK122" s="41"/>
      <c r="CIL122" s="41"/>
      <c r="CIM122" s="41"/>
      <c r="CIN122" s="41"/>
      <c r="CIO122" s="41"/>
      <c r="CIP122" s="41"/>
      <c r="CIQ122" s="41"/>
      <c r="CIR122" s="41"/>
      <c r="CIS122" s="41"/>
      <c r="CIT122" s="41"/>
      <c r="CIU122" s="41"/>
      <c r="CIV122" s="41"/>
      <c r="CIW122" s="41"/>
      <c r="CIX122" s="41"/>
      <c r="CIY122" s="41"/>
      <c r="CIZ122" s="41"/>
      <c r="CJA122" s="41"/>
      <c r="CJB122" s="41"/>
      <c r="CJC122" s="41"/>
      <c r="CJD122" s="41"/>
      <c r="CJE122" s="41"/>
      <c r="CJF122" s="41"/>
      <c r="CJG122" s="41"/>
      <c r="CJH122" s="41"/>
      <c r="CJI122" s="41"/>
      <c r="CJJ122" s="41"/>
      <c r="CJK122" s="41"/>
      <c r="CJL122" s="41"/>
      <c r="CJM122" s="41"/>
      <c r="CJN122" s="41"/>
      <c r="CJO122" s="41"/>
      <c r="CJP122" s="41"/>
      <c r="CJQ122" s="41"/>
      <c r="CJR122" s="41"/>
      <c r="CJS122" s="41"/>
      <c r="CJT122" s="41"/>
      <c r="CJU122" s="41"/>
      <c r="CJV122" s="41"/>
      <c r="CJW122" s="41"/>
      <c r="CJX122" s="41"/>
      <c r="CJY122" s="41"/>
      <c r="CJZ122" s="41"/>
      <c r="CKA122" s="41"/>
      <c r="CKB122" s="41"/>
      <c r="CKC122" s="41"/>
      <c r="CKD122" s="41"/>
      <c r="CKE122" s="41"/>
      <c r="CKF122" s="41"/>
      <c r="CKG122" s="41"/>
      <c r="CKH122" s="41"/>
      <c r="CKI122" s="41"/>
      <c r="CKJ122" s="41"/>
      <c r="CKK122" s="41"/>
      <c r="CKL122" s="41"/>
      <c r="CKM122" s="41"/>
      <c r="CKN122" s="41"/>
      <c r="CKO122" s="41"/>
      <c r="CKP122" s="41"/>
      <c r="CKQ122" s="41"/>
      <c r="CKR122" s="41"/>
      <c r="CKS122" s="41"/>
      <c r="CKT122" s="41"/>
      <c r="CKU122" s="41"/>
      <c r="CKV122" s="41"/>
      <c r="CKW122" s="41"/>
      <c r="CKX122" s="41"/>
      <c r="CKY122" s="41"/>
      <c r="CKZ122" s="41"/>
      <c r="CLA122" s="41"/>
      <c r="CLB122" s="41"/>
      <c r="CLC122" s="41"/>
      <c r="CLD122" s="41"/>
      <c r="CLE122" s="41"/>
      <c r="CLF122" s="41"/>
      <c r="CLG122" s="41"/>
      <c r="CLH122" s="41"/>
      <c r="CLI122" s="41"/>
      <c r="CLJ122" s="41"/>
      <c r="CLK122" s="41"/>
      <c r="CLL122" s="41"/>
      <c r="CLM122" s="41"/>
      <c r="CLN122" s="41"/>
      <c r="CLO122" s="41"/>
      <c r="CLP122" s="41"/>
      <c r="CLQ122" s="41"/>
      <c r="CLR122" s="41"/>
      <c r="CLS122" s="41"/>
      <c r="CLT122" s="41"/>
      <c r="CLU122" s="41"/>
      <c r="CLV122" s="41"/>
      <c r="CLW122" s="41"/>
      <c r="CLX122" s="41"/>
      <c r="CLY122" s="41"/>
      <c r="CLZ122" s="41"/>
      <c r="CMA122" s="41"/>
      <c r="CMB122" s="41"/>
      <c r="CMC122" s="41"/>
      <c r="CMD122" s="41"/>
      <c r="CME122" s="41"/>
      <c r="CMF122" s="41"/>
      <c r="CMG122" s="41"/>
      <c r="CMH122" s="41"/>
      <c r="CMI122" s="41"/>
      <c r="CMJ122" s="41"/>
      <c r="CMK122" s="41"/>
      <c r="CML122" s="41"/>
      <c r="CMM122" s="41"/>
      <c r="CMN122" s="41"/>
      <c r="CMO122" s="41"/>
      <c r="CMP122" s="41"/>
      <c r="CMQ122" s="41"/>
      <c r="CMR122" s="41"/>
      <c r="CMS122" s="41"/>
      <c r="CMT122" s="41"/>
      <c r="CMU122" s="41"/>
      <c r="CMV122" s="41"/>
      <c r="CMW122" s="41"/>
      <c r="CMX122" s="41"/>
      <c r="CMY122" s="41"/>
      <c r="CMZ122" s="41"/>
      <c r="CNA122" s="41"/>
      <c r="CNB122" s="41"/>
      <c r="CNC122" s="41"/>
      <c r="CND122" s="41"/>
      <c r="CNE122" s="41"/>
      <c r="CNF122" s="41"/>
      <c r="CNG122" s="41"/>
      <c r="CNH122" s="41"/>
      <c r="CNI122" s="41"/>
      <c r="CNJ122" s="41"/>
      <c r="CNK122" s="41"/>
      <c r="CNL122" s="41"/>
      <c r="CNM122" s="41"/>
      <c r="CNN122" s="41"/>
      <c r="CNO122" s="41"/>
      <c r="CNP122" s="41"/>
      <c r="CNQ122" s="41"/>
      <c r="CNR122" s="41"/>
      <c r="CNS122" s="41"/>
      <c r="CNT122" s="41"/>
      <c r="CNU122" s="41"/>
      <c r="CNV122" s="41"/>
      <c r="CNW122" s="41"/>
      <c r="CNX122" s="41"/>
      <c r="CNY122" s="41"/>
      <c r="CNZ122" s="41"/>
      <c r="COA122" s="41"/>
      <c r="COB122" s="41"/>
      <c r="COC122" s="41"/>
      <c r="COD122" s="41"/>
      <c r="COE122" s="41"/>
      <c r="COF122" s="41"/>
      <c r="COG122" s="41"/>
      <c r="COH122" s="41"/>
      <c r="COI122" s="41"/>
      <c r="COJ122" s="41"/>
      <c r="COK122" s="41"/>
      <c r="COL122" s="41"/>
      <c r="COM122" s="41"/>
      <c r="CON122" s="41"/>
      <c r="COO122" s="41"/>
      <c r="COP122" s="41"/>
      <c r="COQ122" s="41"/>
      <c r="COR122" s="41"/>
      <c r="COS122" s="41"/>
      <c r="COT122" s="41"/>
      <c r="COU122" s="41"/>
      <c r="COV122" s="41"/>
      <c r="COW122" s="41"/>
      <c r="COX122" s="41"/>
      <c r="COY122" s="41"/>
      <c r="COZ122" s="41"/>
      <c r="CPA122" s="41"/>
      <c r="CPB122" s="41"/>
      <c r="CPC122" s="41"/>
      <c r="CPD122" s="41"/>
      <c r="CPE122" s="41"/>
      <c r="CPF122" s="41"/>
      <c r="CPG122" s="41"/>
      <c r="CPH122" s="41"/>
      <c r="CPI122" s="41"/>
      <c r="CPJ122" s="41"/>
      <c r="CPK122" s="41"/>
      <c r="CPL122" s="41"/>
      <c r="CPM122" s="41"/>
      <c r="CPN122" s="41"/>
      <c r="CPO122" s="41"/>
      <c r="CPP122" s="41"/>
      <c r="CPQ122" s="41"/>
      <c r="CPR122" s="41"/>
      <c r="CPS122" s="41"/>
      <c r="CPT122" s="41"/>
      <c r="CPU122" s="41"/>
      <c r="CPV122" s="41"/>
      <c r="CPW122" s="41"/>
      <c r="CPX122" s="41"/>
      <c r="CPY122" s="41"/>
      <c r="CPZ122" s="41"/>
      <c r="CQA122" s="41"/>
      <c r="CQB122" s="41"/>
      <c r="CQC122" s="41"/>
      <c r="CQD122" s="41"/>
      <c r="CQE122" s="41"/>
      <c r="CQF122" s="41"/>
      <c r="CQG122" s="41"/>
      <c r="CQH122" s="41"/>
      <c r="CQI122" s="41"/>
      <c r="CQJ122" s="41"/>
      <c r="CQK122" s="41"/>
      <c r="CQL122" s="41"/>
      <c r="CQM122" s="41"/>
      <c r="CQN122" s="41"/>
      <c r="CQO122" s="41"/>
      <c r="CQP122" s="41"/>
      <c r="CQQ122" s="41"/>
      <c r="CQR122" s="41"/>
      <c r="CQS122" s="41"/>
      <c r="CQT122" s="41"/>
      <c r="CQU122" s="41"/>
      <c r="CQV122" s="41"/>
      <c r="CQW122" s="41"/>
      <c r="CQX122" s="41"/>
      <c r="CQY122" s="41"/>
      <c r="CQZ122" s="41"/>
      <c r="CRA122" s="41"/>
      <c r="CRB122" s="41"/>
      <c r="CRC122" s="41"/>
      <c r="CRD122" s="41"/>
      <c r="CRE122" s="41"/>
      <c r="CRF122" s="41"/>
      <c r="CRG122" s="41"/>
      <c r="CRH122" s="41"/>
      <c r="CRI122" s="41"/>
      <c r="CRJ122" s="41"/>
      <c r="CRK122" s="41"/>
      <c r="CRL122" s="41"/>
      <c r="CRM122" s="41"/>
      <c r="CRN122" s="41"/>
      <c r="CRO122" s="41"/>
      <c r="CRP122" s="41"/>
      <c r="CRQ122" s="41"/>
      <c r="CRR122" s="41"/>
      <c r="CRS122" s="41"/>
      <c r="CRT122" s="41"/>
      <c r="CRU122" s="41"/>
      <c r="CRV122" s="41"/>
      <c r="CRW122" s="41"/>
      <c r="CRX122" s="41"/>
      <c r="CRY122" s="41"/>
      <c r="CRZ122" s="41"/>
      <c r="CSA122" s="41"/>
      <c r="CSB122" s="41"/>
      <c r="CSC122" s="41"/>
      <c r="CSD122" s="41"/>
      <c r="CSE122" s="41"/>
      <c r="CSF122" s="41"/>
      <c r="CSG122" s="41"/>
      <c r="CSH122" s="41"/>
      <c r="CSI122" s="41"/>
      <c r="CSJ122" s="41"/>
      <c r="CSK122" s="41"/>
      <c r="CSL122" s="41"/>
      <c r="CSM122" s="41"/>
      <c r="CSN122" s="41"/>
      <c r="CSO122" s="41"/>
      <c r="CSP122" s="41"/>
      <c r="CSQ122" s="41"/>
      <c r="CSR122" s="41"/>
      <c r="CSS122" s="41"/>
      <c r="CST122" s="41"/>
      <c r="CSU122" s="41"/>
      <c r="CSV122" s="41"/>
      <c r="CSW122" s="41"/>
      <c r="CSX122" s="41"/>
      <c r="CSY122" s="41"/>
      <c r="CSZ122" s="41"/>
      <c r="CTA122" s="41"/>
      <c r="CTB122" s="41"/>
      <c r="CTC122" s="41"/>
      <c r="CTD122" s="41"/>
      <c r="CTE122" s="41"/>
      <c r="CTF122" s="41"/>
      <c r="CTG122" s="41"/>
      <c r="CTH122" s="41"/>
      <c r="CTI122" s="41"/>
      <c r="CTJ122" s="41"/>
      <c r="CTK122" s="41"/>
      <c r="CTL122" s="41"/>
      <c r="CTM122" s="41"/>
      <c r="CTN122" s="41"/>
      <c r="CTO122" s="41"/>
      <c r="CTP122" s="41"/>
      <c r="CTQ122" s="41"/>
      <c r="CTR122" s="41"/>
      <c r="CTS122" s="41"/>
      <c r="CTT122" s="41"/>
      <c r="CTU122" s="41"/>
      <c r="CTV122" s="41"/>
      <c r="CTW122" s="41"/>
      <c r="CTX122" s="41"/>
      <c r="CTY122" s="41"/>
      <c r="CTZ122" s="41"/>
      <c r="CUA122" s="41"/>
      <c r="CUB122" s="41"/>
      <c r="CUC122" s="41"/>
      <c r="CUD122" s="41"/>
      <c r="CUE122" s="41"/>
      <c r="CUF122" s="41"/>
      <c r="CUG122" s="41"/>
      <c r="CUH122" s="41"/>
      <c r="CUI122" s="41"/>
      <c r="CUJ122" s="41"/>
      <c r="CUK122" s="41"/>
      <c r="CUL122" s="41"/>
      <c r="CUM122" s="41"/>
      <c r="CUN122" s="41"/>
      <c r="CUO122" s="41"/>
      <c r="CUP122" s="41"/>
      <c r="CUQ122" s="41"/>
      <c r="CUR122" s="41"/>
      <c r="CUS122" s="41"/>
      <c r="CUT122" s="41"/>
      <c r="CUU122" s="41"/>
      <c r="CUV122" s="41"/>
      <c r="CUW122" s="41"/>
      <c r="CUX122" s="41"/>
      <c r="CUY122" s="41"/>
      <c r="CUZ122" s="41"/>
      <c r="CVA122" s="41"/>
      <c r="CVB122" s="41"/>
      <c r="CVC122" s="41"/>
      <c r="CVD122" s="41"/>
      <c r="CVE122" s="41"/>
      <c r="CVF122" s="41"/>
      <c r="CVG122" s="41"/>
      <c r="CVH122" s="41"/>
      <c r="CVI122" s="41"/>
      <c r="CVJ122" s="41"/>
      <c r="CVK122" s="41"/>
      <c r="CVL122" s="41"/>
      <c r="CVM122" s="41"/>
      <c r="CVN122" s="41"/>
      <c r="CVO122" s="41"/>
      <c r="CVP122" s="41"/>
      <c r="CVQ122" s="41"/>
      <c r="CVR122" s="41"/>
      <c r="CVS122" s="41"/>
      <c r="CVT122" s="41"/>
      <c r="CVU122" s="41"/>
      <c r="CVV122" s="41"/>
      <c r="CVW122" s="41"/>
      <c r="CVX122" s="41"/>
      <c r="CVY122" s="41"/>
      <c r="CVZ122" s="41"/>
      <c r="CWA122" s="41"/>
      <c r="CWB122" s="41"/>
      <c r="CWC122" s="41"/>
      <c r="CWD122" s="41"/>
      <c r="CWE122" s="41"/>
      <c r="CWF122" s="41"/>
      <c r="CWG122" s="41"/>
      <c r="CWH122" s="41"/>
      <c r="CWI122" s="41"/>
      <c r="CWJ122" s="41"/>
      <c r="CWK122" s="41"/>
      <c r="CWL122" s="41"/>
      <c r="CWM122" s="41"/>
      <c r="CWN122" s="41"/>
      <c r="CWO122" s="41"/>
      <c r="CWP122" s="41"/>
      <c r="CWQ122" s="41"/>
      <c r="CWR122" s="41"/>
      <c r="CWS122" s="41"/>
      <c r="CWT122" s="41"/>
      <c r="CWU122" s="41"/>
      <c r="CWV122" s="41"/>
      <c r="CWW122" s="41"/>
      <c r="CWX122" s="41"/>
      <c r="CWY122" s="41"/>
      <c r="CWZ122" s="41"/>
      <c r="CXA122" s="41"/>
      <c r="CXB122" s="41"/>
      <c r="CXC122" s="41"/>
      <c r="CXD122" s="41"/>
      <c r="CXE122" s="41"/>
      <c r="CXF122" s="41"/>
      <c r="CXG122" s="41"/>
      <c r="CXH122" s="41"/>
      <c r="CXI122" s="41"/>
      <c r="CXJ122" s="41"/>
      <c r="CXK122" s="41"/>
      <c r="CXL122" s="41"/>
      <c r="CXM122" s="41"/>
      <c r="CXN122" s="41"/>
      <c r="CXO122" s="41"/>
      <c r="CXP122" s="41"/>
      <c r="CXQ122" s="41"/>
      <c r="CXR122" s="41"/>
      <c r="CXS122" s="41"/>
      <c r="CXT122" s="41"/>
      <c r="CXU122" s="41"/>
      <c r="CXV122" s="41"/>
      <c r="CXW122" s="41"/>
      <c r="CXX122" s="41"/>
      <c r="CXY122" s="41"/>
      <c r="CXZ122" s="41"/>
      <c r="CYA122" s="41"/>
      <c r="CYB122" s="41"/>
      <c r="CYC122" s="41"/>
      <c r="CYD122" s="41"/>
      <c r="CYE122" s="41"/>
      <c r="CYF122" s="41"/>
      <c r="CYG122" s="41"/>
      <c r="CYH122" s="41"/>
      <c r="CYI122" s="41"/>
      <c r="CYJ122" s="41"/>
      <c r="CYK122" s="41"/>
      <c r="CYL122" s="41"/>
      <c r="CYM122" s="41"/>
      <c r="CYN122" s="41"/>
      <c r="CYO122" s="41"/>
      <c r="CYP122" s="41"/>
      <c r="CYQ122" s="41"/>
      <c r="CYR122" s="41"/>
      <c r="CYS122" s="41"/>
      <c r="CYT122" s="41"/>
      <c r="CYU122" s="41"/>
      <c r="CYV122" s="41"/>
      <c r="CYW122" s="41"/>
      <c r="CYX122" s="41"/>
      <c r="CYY122" s="41"/>
      <c r="CYZ122" s="41"/>
      <c r="CZA122" s="41"/>
      <c r="CZB122" s="41"/>
      <c r="CZC122" s="41"/>
      <c r="CZD122" s="41"/>
      <c r="CZE122" s="41"/>
      <c r="CZF122" s="41"/>
      <c r="CZG122" s="41"/>
      <c r="CZH122" s="41"/>
      <c r="CZI122" s="41"/>
      <c r="CZJ122" s="41"/>
      <c r="CZK122" s="41"/>
      <c r="CZL122" s="41"/>
      <c r="CZM122" s="41"/>
      <c r="CZN122" s="41"/>
      <c r="CZO122" s="41"/>
      <c r="CZP122" s="41"/>
      <c r="CZQ122" s="41"/>
      <c r="CZR122" s="41"/>
      <c r="CZS122" s="41"/>
      <c r="CZT122" s="41"/>
      <c r="CZU122" s="41"/>
      <c r="CZV122" s="41"/>
      <c r="CZW122" s="41"/>
      <c r="CZX122" s="41"/>
      <c r="CZY122" s="41"/>
      <c r="CZZ122" s="41"/>
      <c r="DAA122" s="41"/>
      <c r="DAB122" s="41"/>
      <c r="DAC122" s="41"/>
      <c r="DAD122" s="41"/>
      <c r="DAE122" s="41"/>
      <c r="DAF122" s="41"/>
      <c r="DAG122" s="41"/>
      <c r="DAH122" s="41"/>
      <c r="DAI122" s="41"/>
      <c r="DAJ122" s="41"/>
      <c r="DAK122" s="41"/>
      <c r="DAL122" s="41"/>
      <c r="DAM122" s="41"/>
      <c r="DAN122" s="41"/>
      <c r="DAO122" s="41"/>
      <c r="DAP122" s="41"/>
      <c r="DAQ122" s="41"/>
      <c r="DAR122" s="41"/>
      <c r="DAS122" s="41"/>
      <c r="DAT122" s="41"/>
      <c r="DAU122" s="41"/>
      <c r="DAV122" s="41"/>
      <c r="DAW122" s="41"/>
      <c r="DAX122" s="41"/>
      <c r="DAY122" s="41"/>
      <c r="DAZ122" s="41"/>
      <c r="DBA122" s="41"/>
      <c r="DBB122" s="41"/>
      <c r="DBC122" s="41"/>
      <c r="DBD122" s="41"/>
      <c r="DBE122" s="41"/>
      <c r="DBF122" s="41"/>
      <c r="DBG122" s="41"/>
      <c r="DBH122" s="41"/>
      <c r="DBI122" s="41"/>
      <c r="DBJ122" s="41"/>
      <c r="DBK122" s="41"/>
      <c r="DBL122" s="41"/>
      <c r="DBM122" s="41"/>
      <c r="DBN122" s="41"/>
      <c r="DBO122" s="41"/>
      <c r="DBP122" s="41"/>
      <c r="DBQ122" s="41"/>
      <c r="DBR122" s="41"/>
      <c r="DBS122" s="41"/>
      <c r="DBT122" s="41"/>
      <c r="DBU122" s="41"/>
      <c r="DBV122" s="41"/>
      <c r="DBW122" s="41"/>
      <c r="DBX122" s="41"/>
      <c r="DBY122" s="41"/>
      <c r="DBZ122" s="41"/>
      <c r="DCA122" s="41"/>
      <c r="DCB122" s="41"/>
      <c r="DCC122" s="41"/>
      <c r="DCD122" s="41"/>
      <c r="DCE122" s="41"/>
      <c r="DCF122" s="41"/>
      <c r="DCG122" s="41"/>
      <c r="DCH122" s="41"/>
      <c r="DCI122" s="41"/>
      <c r="DCJ122" s="41"/>
      <c r="DCK122" s="41"/>
      <c r="DCL122" s="41"/>
      <c r="DCM122" s="41"/>
      <c r="DCN122" s="41"/>
      <c r="DCO122" s="41"/>
      <c r="DCP122" s="41"/>
      <c r="DCQ122" s="41"/>
      <c r="DCR122" s="41"/>
      <c r="DCS122" s="41"/>
      <c r="DCT122" s="41"/>
      <c r="DCU122" s="41"/>
      <c r="DCV122" s="41"/>
      <c r="DCW122" s="41"/>
      <c r="DCX122" s="41"/>
      <c r="DCY122" s="41"/>
      <c r="DCZ122" s="41"/>
      <c r="DDA122" s="41"/>
      <c r="DDB122" s="41"/>
      <c r="DDC122" s="41"/>
      <c r="DDD122" s="41"/>
      <c r="DDE122" s="41"/>
      <c r="DDF122" s="41"/>
      <c r="DDG122" s="41"/>
      <c r="DDH122" s="41"/>
      <c r="DDI122" s="41"/>
      <c r="DDJ122" s="41"/>
      <c r="DDK122" s="41"/>
      <c r="DDL122" s="41"/>
      <c r="DDM122" s="41"/>
      <c r="DDN122" s="41"/>
      <c r="DDO122" s="41"/>
      <c r="DDP122" s="41"/>
      <c r="DDQ122" s="41"/>
      <c r="DDR122" s="41"/>
      <c r="DDS122" s="41"/>
      <c r="DDT122" s="41"/>
      <c r="DDU122" s="41"/>
      <c r="DDV122" s="41"/>
      <c r="DDW122" s="41"/>
      <c r="DDX122" s="41"/>
      <c r="DDY122" s="41"/>
      <c r="DDZ122" s="41"/>
      <c r="DEA122" s="41"/>
      <c r="DEB122" s="41"/>
      <c r="DEC122" s="41"/>
      <c r="DED122" s="41"/>
      <c r="DEE122" s="41"/>
      <c r="DEF122" s="41"/>
      <c r="DEG122" s="41"/>
      <c r="DEH122" s="41"/>
      <c r="DEI122" s="41"/>
      <c r="DEJ122" s="41"/>
      <c r="DEK122" s="41"/>
      <c r="DEL122" s="41"/>
      <c r="DEM122" s="41"/>
      <c r="DEN122" s="41"/>
      <c r="DEO122" s="41"/>
      <c r="DEP122" s="41"/>
      <c r="DEQ122" s="41"/>
      <c r="DER122" s="41"/>
      <c r="DES122" s="41"/>
      <c r="DET122" s="41"/>
      <c r="DEU122" s="41"/>
      <c r="DEV122" s="41"/>
      <c r="DEW122" s="41"/>
      <c r="DEX122" s="41"/>
      <c r="DEY122" s="41"/>
      <c r="DEZ122" s="41"/>
      <c r="DFA122" s="41"/>
      <c r="DFB122" s="41"/>
      <c r="DFC122" s="41"/>
      <c r="DFD122" s="41"/>
      <c r="DFE122" s="41"/>
      <c r="DFF122" s="41"/>
      <c r="DFG122" s="41"/>
      <c r="DFH122" s="41"/>
      <c r="DFI122" s="41"/>
      <c r="DFJ122" s="41"/>
      <c r="DFK122" s="41"/>
      <c r="DFL122" s="41"/>
      <c r="DFM122" s="41"/>
      <c r="DFN122" s="41"/>
      <c r="DFO122" s="41"/>
      <c r="DFP122" s="41"/>
      <c r="DFQ122" s="41"/>
      <c r="DFR122" s="41"/>
      <c r="DFS122" s="41"/>
      <c r="DFT122" s="41"/>
      <c r="DFU122" s="41"/>
      <c r="DFV122" s="41"/>
      <c r="DFW122" s="41"/>
      <c r="DFX122" s="41"/>
      <c r="DFY122" s="41"/>
      <c r="DFZ122" s="41"/>
      <c r="DGA122" s="41"/>
      <c r="DGB122" s="41"/>
      <c r="DGC122" s="41"/>
      <c r="DGD122" s="41"/>
      <c r="DGE122" s="41"/>
      <c r="DGF122" s="41"/>
      <c r="DGG122" s="41"/>
      <c r="DGH122" s="41"/>
      <c r="DGI122" s="41"/>
      <c r="DGJ122" s="41"/>
      <c r="DGK122" s="41"/>
      <c r="DGL122" s="41"/>
      <c r="DGM122" s="41"/>
      <c r="DGN122" s="41"/>
      <c r="DGO122" s="41"/>
      <c r="DGP122" s="41"/>
      <c r="DGQ122" s="41"/>
      <c r="DGR122" s="41"/>
      <c r="DGS122" s="41"/>
      <c r="DGT122" s="41"/>
      <c r="DGU122" s="41"/>
      <c r="DGV122" s="41"/>
      <c r="DGW122" s="41"/>
      <c r="DGX122" s="41"/>
      <c r="DGY122" s="41"/>
      <c r="DGZ122" s="41"/>
      <c r="DHA122" s="41"/>
      <c r="DHB122" s="41"/>
      <c r="DHC122" s="41"/>
      <c r="DHD122" s="41"/>
      <c r="DHE122" s="41"/>
      <c r="DHF122" s="41"/>
      <c r="DHG122" s="41"/>
      <c r="DHH122" s="41"/>
      <c r="DHI122" s="41"/>
      <c r="DHJ122" s="41"/>
      <c r="DHK122" s="41"/>
      <c r="DHL122" s="41"/>
      <c r="DHM122" s="41"/>
      <c r="DHN122" s="41"/>
      <c r="DHO122" s="41"/>
      <c r="DHP122" s="41"/>
      <c r="DHQ122" s="41"/>
      <c r="DHR122" s="41"/>
      <c r="DHS122" s="41"/>
      <c r="DHT122" s="41"/>
      <c r="DHU122" s="41"/>
      <c r="DHV122" s="41"/>
      <c r="DHW122" s="41"/>
      <c r="DHX122" s="41"/>
      <c r="DHY122" s="41"/>
      <c r="DHZ122" s="41"/>
      <c r="DIA122" s="41"/>
      <c r="DIB122" s="41"/>
      <c r="DIC122" s="41"/>
      <c r="DID122" s="41"/>
      <c r="DIE122" s="41"/>
      <c r="DIF122" s="41"/>
      <c r="DIG122" s="41"/>
      <c r="DIH122" s="41"/>
      <c r="DII122" s="41"/>
      <c r="DIJ122" s="41"/>
      <c r="DIK122" s="41"/>
      <c r="DIL122" s="41"/>
      <c r="DIM122" s="41"/>
      <c r="DIN122" s="41"/>
      <c r="DIO122" s="41"/>
      <c r="DIP122" s="41"/>
      <c r="DIQ122" s="41"/>
      <c r="DIR122" s="41"/>
      <c r="DIS122" s="41"/>
      <c r="DIT122" s="41"/>
      <c r="DIU122" s="41"/>
      <c r="DIV122" s="41"/>
      <c r="DIW122" s="41"/>
      <c r="DIX122" s="41"/>
      <c r="DIY122" s="41"/>
      <c r="DIZ122" s="41"/>
      <c r="DJA122" s="41"/>
      <c r="DJB122" s="41"/>
      <c r="DJC122" s="41"/>
      <c r="DJD122" s="41"/>
      <c r="DJE122" s="41"/>
      <c r="DJF122" s="41"/>
      <c r="DJG122" s="41"/>
      <c r="DJH122" s="41"/>
      <c r="DJI122" s="41"/>
      <c r="DJJ122" s="41"/>
      <c r="DJK122" s="41"/>
      <c r="DJL122" s="41"/>
      <c r="DJM122" s="41"/>
      <c r="DJN122" s="41"/>
      <c r="DJO122" s="41"/>
      <c r="DJP122" s="41"/>
      <c r="DJQ122" s="41"/>
      <c r="DJR122" s="41"/>
      <c r="DJS122" s="41"/>
      <c r="DJT122" s="41"/>
      <c r="DJU122" s="41"/>
      <c r="DJV122" s="41"/>
      <c r="DJW122" s="41"/>
      <c r="DJX122" s="41"/>
      <c r="DJY122" s="41"/>
      <c r="DJZ122" s="41"/>
      <c r="DKA122" s="41"/>
      <c r="DKB122" s="41"/>
      <c r="DKC122" s="41"/>
      <c r="DKD122" s="41"/>
      <c r="DKE122" s="41"/>
      <c r="DKF122" s="41"/>
      <c r="DKG122" s="41"/>
      <c r="DKH122" s="41"/>
      <c r="DKI122" s="41"/>
      <c r="DKJ122" s="41"/>
      <c r="DKK122" s="41"/>
      <c r="DKL122" s="41"/>
      <c r="DKM122" s="41"/>
      <c r="DKN122" s="41"/>
      <c r="DKO122" s="41"/>
      <c r="DKP122" s="41"/>
      <c r="DKQ122" s="41"/>
      <c r="DKR122" s="41"/>
      <c r="DKS122" s="41"/>
      <c r="DKT122" s="41"/>
      <c r="DKU122" s="41"/>
      <c r="DKV122" s="41"/>
      <c r="DKW122" s="41"/>
      <c r="DKX122" s="41"/>
      <c r="DKY122" s="41"/>
      <c r="DKZ122" s="41"/>
      <c r="DLA122" s="41"/>
      <c r="DLB122" s="41"/>
      <c r="DLC122" s="41"/>
      <c r="DLD122" s="41"/>
      <c r="DLE122" s="41"/>
      <c r="DLF122" s="41"/>
      <c r="DLG122" s="41"/>
      <c r="DLH122" s="41"/>
      <c r="DLI122" s="41"/>
      <c r="DLJ122" s="41"/>
      <c r="DLK122" s="41"/>
      <c r="DLL122" s="41"/>
      <c r="DLM122" s="41"/>
      <c r="DLN122" s="41"/>
      <c r="DLO122" s="41"/>
      <c r="DLP122" s="41"/>
      <c r="DLQ122" s="41"/>
      <c r="DLR122" s="41"/>
      <c r="DLS122" s="41"/>
      <c r="DLT122" s="41"/>
      <c r="DLU122" s="41"/>
      <c r="DLV122" s="41"/>
      <c r="DLW122" s="41"/>
      <c r="DLX122" s="41"/>
      <c r="DLY122" s="41"/>
      <c r="DLZ122" s="41"/>
      <c r="DMA122" s="41"/>
      <c r="DMB122" s="41"/>
      <c r="DMC122" s="41"/>
      <c r="DMD122" s="41"/>
      <c r="DME122" s="41"/>
      <c r="DMF122" s="41"/>
      <c r="DMG122" s="41"/>
      <c r="DMH122" s="41"/>
      <c r="DMI122" s="41"/>
      <c r="DMJ122" s="41"/>
      <c r="DMK122" s="41"/>
      <c r="DML122" s="41"/>
      <c r="DMM122" s="41"/>
      <c r="DMN122" s="41"/>
      <c r="DMO122" s="41"/>
      <c r="DMP122" s="41"/>
      <c r="DMQ122" s="41"/>
      <c r="DMR122" s="41"/>
      <c r="DMS122" s="41"/>
      <c r="DMT122" s="41"/>
      <c r="DMU122" s="41"/>
      <c r="DMV122" s="41"/>
      <c r="DMW122" s="41"/>
      <c r="DMX122" s="41"/>
      <c r="DMY122" s="41"/>
      <c r="DMZ122" s="41"/>
      <c r="DNA122" s="41"/>
      <c r="DNB122" s="41"/>
      <c r="DNC122" s="41"/>
      <c r="DND122" s="41"/>
      <c r="DNE122" s="41"/>
      <c r="DNF122" s="41"/>
      <c r="DNG122" s="41"/>
      <c r="DNH122" s="41"/>
      <c r="DNI122" s="41"/>
      <c r="DNJ122" s="41"/>
      <c r="DNK122" s="41"/>
      <c r="DNL122" s="41"/>
      <c r="DNM122" s="41"/>
      <c r="DNN122" s="41"/>
      <c r="DNO122" s="41"/>
      <c r="DNP122" s="41"/>
      <c r="DNQ122" s="41"/>
      <c r="DNR122" s="41"/>
      <c r="DNS122" s="41"/>
      <c r="DNT122" s="41"/>
      <c r="DNU122" s="41"/>
      <c r="DNV122" s="41"/>
      <c r="DNW122" s="41"/>
      <c r="DNX122" s="41"/>
      <c r="DNY122" s="41"/>
      <c r="DNZ122" s="41"/>
      <c r="DOA122" s="41"/>
      <c r="DOB122" s="41"/>
      <c r="DOC122" s="41"/>
      <c r="DOD122" s="41"/>
      <c r="DOE122" s="41"/>
      <c r="DOF122" s="41"/>
      <c r="DOG122" s="41"/>
      <c r="DOH122" s="41"/>
      <c r="DOI122" s="41"/>
      <c r="DOJ122" s="41"/>
      <c r="DOK122" s="41"/>
      <c r="DOL122" s="41"/>
      <c r="DOM122" s="41"/>
      <c r="DON122" s="41"/>
      <c r="DOO122" s="41"/>
      <c r="DOP122" s="41"/>
      <c r="DOQ122" s="41"/>
      <c r="DOR122" s="41"/>
      <c r="DOS122" s="41"/>
      <c r="DOT122" s="41"/>
      <c r="DOU122" s="41"/>
      <c r="DOV122" s="41"/>
      <c r="DOW122" s="41"/>
      <c r="DOX122" s="41"/>
      <c r="DOY122" s="41"/>
      <c r="DOZ122" s="41"/>
      <c r="DPA122" s="41"/>
      <c r="DPB122" s="41"/>
      <c r="DPC122" s="41"/>
      <c r="DPD122" s="41"/>
      <c r="DPE122" s="41"/>
      <c r="DPF122" s="41"/>
      <c r="DPG122" s="41"/>
      <c r="DPH122" s="41"/>
      <c r="DPI122" s="41"/>
      <c r="DPJ122" s="41"/>
      <c r="DPK122" s="41"/>
      <c r="DPL122" s="41"/>
      <c r="DPM122" s="41"/>
      <c r="DPN122" s="41"/>
      <c r="DPO122" s="41"/>
      <c r="DPP122" s="41"/>
      <c r="DPQ122" s="41"/>
      <c r="DPR122" s="41"/>
      <c r="DPS122" s="41"/>
      <c r="DPT122" s="41"/>
      <c r="DPU122" s="41"/>
      <c r="DPV122" s="41"/>
      <c r="DPW122" s="41"/>
      <c r="DPX122" s="41"/>
      <c r="DPY122" s="41"/>
      <c r="DPZ122" s="41"/>
      <c r="DQA122" s="41"/>
      <c r="DQB122" s="41"/>
      <c r="DQC122" s="41"/>
      <c r="DQD122" s="41"/>
      <c r="DQE122" s="41"/>
      <c r="DQF122" s="41"/>
      <c r="DQG122" s="41"/>
      <c r="DQH122" s="41"/>
      <c r="DQI122" s="41"/>
      <c r="DQJ122" s="41"/>
      <c r="DQK122" s="41"/>
      <c r="DQL122" s="41"/>
      <c r="DQM122" s="41"/>
      <c r="DQN122" s="41"/>
      <c r="DQO122" s="41"/>
      <c r="DQP122" s="41"/>
      <c r="DQQ122" s="41"/>
      <c r="DQR122" s="41"/>
      <c r="DQS122" s="41"/>
      <c r="DQT122" s="41"/>
      <c r="DQU122" s="41"/>
      <c r="DQV122" s="41"/>
      <c r="DQW122" s="41"/>
      <c r="DQX122" s="41"/>
      <c r="DQY122" s="41"/>
      <c r="DQZ122" s="41"/>
      <c r="DRA122" s="41"/>
      <c r="DRB122" s="41"/>
      <c r="DRC122" s="41"/>
      <c r="DRD122" s="41"/>
      <c r="DRE122" s="41"/>
      <c r="DRF122" s="41"/>
      <c r="DRG122" s="41"/>
      <c r="DRH122" s="41"/>
      <c r="DRI122" s="41"/>
      <c r="DRJ122" s="41"/>
      <c r="DRK122" s="41"/>
      <c r="DRL122" s="41"/>
      <c r="DRM122" s="41"/>
      <c r="DRN122" s="41"/>
      <c r="DRO122" s="41"/>
      <c r="DRP122" s="41"/>
      <c r="DRQ122" s="41"/>
      <c r="DRR122" s="41"/>
      <c r="DRS122" s="41"/>
      <c r="DRT122" s="41"/>
      <c r="DRU122" s="41"/>
      <c r="DRV122" s="41"/>
      <c r="DRW122" s="41"/>
      <c r="DRX122" s="41"/>
      <c r="DRY122" s="41"/>
      <c r="DRZ122" s="41"/>
      <c r="DSA122" s="41"/>
      <c r="DSB122" s="41"/>
      <c r="DSC122" s="41"/>
      <c r="DSD122" s="41"/>
      <c r="DSE122" s="41"/>
      <c r="DSF122" s="41"/>
      <c r="DSG122" s="41"/>
      <c r="DSH122" s="41"/>
      <c r="DSI122" s="41"/>
      <c r="DSJ122" s="41"/>
      <c r="DSK122" s="41"/>
      <c r="DSL122" s="41"/>
      <c r="DSM122" s="41"/>
      <c r="DSN122" s="41"/>
      <c r="DSO122" s="41"/>
      <c r="DSP122" s="41"/>
      <c r="DSQ122" s="41"/>
      <c r="DSR122" s="41"/>
      <c r="DSS122" s="41"/>
      <c r="DST122" s="41"/>
      <c r="DSU122" s="41"/>
      <c r="DSV122" s="41"/>
      <c r="DSW122" s="41"/>
      <c r="DSX122" s="41"/>
      <c r="DSY122" s="41"/>
      <c r="DSZ122" s="41"/>
      <c r="DTA122" s="41"/>
      <c r="DTB122" s="41"/>
      <c r="DTC122" s="41"/>
      <c r="DTD122" s="41"/>
      <c r="DTE122" s="41"/>
      <c r="DTF122" s="41"/>
      <c r="DTG122" s="41"/>
      <c r="DTH122" s="41"/>
      <c r="DTI122" s="41"/>
      <c r="DTJ122" s="41"/>
      <c r="DTK122" s="41"/>
      <c r="DTL122" s="41"/>
      <c r="DTM122" s="41"/>
      <c r="DTN122" s="41"/>
      <c r="DTO122" s="41"/>
      <c r="DTP122" s="41"/>
      <c r="DTQ122" s="41"/>
      <c r="DTR122" s="41"/>
      <c r="DTS122" s="41"/>
      <c r="DTT122" s="41"/>
      <c r="DTU122" s="41"/>
      <c r="DTV122" s="41"/>
      <c r="DTW122" s="41"/>
      <c r="DTX122" s="41"/>
      <c r="DTY122" s="41"/>
      <c r="DTZ122" s="41"/>
      <c r="DUA122" s="41"/>
      <c r="DUB122" s="41"/>
      <c r="DUC122" s="41"/>
      <c r="DUD122" s="41"/>
      <c r="DUE122" s="41"/>
      <c r="DUF122" s="41"/>
      <c r="DUG122" s="41"/>
      <c r="DUH122" s="41"/>
      <c r="DUI122" s="41"/>
      <c r="DUJ122" s="41"/>
      <c r="DUK122" s="41"/>
      <c r="DUL122" s="41"/>
      <c r="DUM122" s="41"/>
      <c r="DUN122" s="41"/>
      <c r="DUO122" s="41"/>
      <c r="DUP122" s="41"/>
      <c r="DUQ122" s="41"/>
      <c r="DUR122" s="41"/>
      <c r="DUS122" s="41"/>
      <c r="DUT122" s="41"/>
      <c r="DUU122" s="41"/>
      <c r="DUV122" s="41"/>
      <c r="DUW122" s="41"/>
      <c r="DUX122" s="41"/>
      <c r="DUY122" s="41"/>
      <c r="DUZ122" s="41"/>
      <c r="DVA122" s="41"/>
      <c r="DVB122" s="41"/>
      <c r="DVC122" s="41"/>
      <c r="DVD122" s="41"/>
      <c r="DVE122" s="41"/>
      <c r="DVF122" s="41"/>
      <c r="DVG122" s="41"/>
      <c r="DVH122" s="41"/>
      <c r="DVI122" s="41"/>
      <c r="DVJ122" s="41"/>
      <c r="DVK122" s="41"/>
      <c r="DVL122" s="41"/>
      <c r="DVM122" s="41"/>
      <c r="DVN122" s="41"/>
      <c r="DVO122" s="41"/>
      <c r="DVP122" s="41"/>
      <c r="DVQ122" s="41"/>
      <c r="DVR122" s="41"/>
      <c r="DVS122" s="41"/>
      <c r="DVT122" s="41"/>
      <c r="DVU122" s="41"/>
      <c r="DVV122" s="41"/>
      <c r="DVW122" s="41"/>
      <c r="DVX122" s="41"/>
      <c r="DVY122" s="41"/>
      <c r="DVZ122" s="41"/>
      <c r="DWA122" s="41"/>
      <c r="DWB122" s="41"/>
      <c r="DWC122" s="41"/>
      <c r="DWD122" s="41"/>
      <c r="DWE122" s="41"/>
      <c r="DWF122" s="41"/>
      <c r="DWG122" s="41"/>
      <c r="DWH122" s="41"/>
      <c r="DWI122" s="41"/>
      <c r="DWJ122" s="41"/>
      <c r="DWK122" s="41"/>
      <c r="DWL122" s="41"/>
      <c r="DWM122" s="41"/>
      <c r="DWN122" s="41"/>
      <c r="DWO122" s="41"/>
      <c r="DWP122" s="41"/>
      <c r="DWQ122" s="41"/>
      <c r="DWR122" s="41"/>
      <c r="DWS122" s="41"/>
      <c r="DWT122" s="41"/>
      <c r="DWU122" s="41"/>
      <c r="DWV122" s="41"/>
      <c r="DWW122" s="41"/>
      <c r="DWX122" s="41"/>
      <c r="DWY122" s="41"/>
      <c r="DWZ122" s="41"/>
      <c r="DXA122" s="41"/>
      <c r="DXB122" s="41"/>
      <c r="DXC122" s="41"/>
      <c r="DXD122" s="41"/>
      <c r="DXE122" s="41"/>
      <c r="DXF122" s="41"/>
      <c r="DXG122" s="41"/>
      <c r="DXH122" s="41"/>
      <c r="DXI122" s="41"/>
      <c r="DXJ122" s="41"/>
      <c r="DXK122" s="41"/>
      <c r="DXL122" s="41"/>
      <c r="DXM122" s="41"/>
      <c r="DXN122" s="41"/>
      <c r="DXO122" s="41"/>
      <c r="DXP122" s="41"/>
      <c r="DXQ122" s="41"/>
      <c r="DXR122" s="41"/>
      <c r="DXS122" s="41"/>
      <c r="DXT122" s="41"/>
      <c r="DXU122" s="41"/>
      <c r="DXV122" s="41"/>
      <c r="DXW122" s="41"/>
      <c r="DXX122" s="41"/>
      <c r="DXY122" s="41"/>
      <c r="DXZ122" s="41"/>
      <c r="DYA122" s="41"/>
      <c r="DYB122" s="41"/>
      <c r="DYC122" s="41"/>
      <c r="DYD122" s="41"/>
      <c r="DYE122" s="41"/>
      <c r="DYF122" s="41"/>
      <c r="DYG122" s="41"/>
      <c r="DYH122" s="41"/>
      <c r="DYI122" s="41"/>
      <c r="DYJ122" s="41"/>
      <c r="DYK122" s="41"/>
      <c r="DYL122" s="41"/>
      <c r="DYM122" s="41"/>
      <c r="DYN122" s="41"/>
      <c r="DYO122" s="41"/>
      <c r="DYP122" s="41"/>
      <c r="DYQ122" s="41"/>
      <c r="DYR122" s="41"/>
      <c r="DYS122" s="41"/>
      <c r="DYT122" s="41"/>
      <c r="DYU122" s="41"/>
      <c r="DYV122" s="41"/>
      <c r="DYW122" s="41"/>
      <c r="DYX122" s="41"/>
      <c r="DYY122" s="41"/>
      <c r="DYZ122" s="41"/>
      <c r="DZA122" s="41"/>
      <c r="DZB122" s="41"/>
      <c r="DZC122" s="41"/>
      <c r="DZD122" s="41"/>
      <c r="DZE122" s="41"/>
      <c r="DZF122" s="41"/>
      <c r="DZG122" s="41"/>
      <c r="DZH122" s="41"/>
      <c r="DZI122" s="41"/>
      <c r="DZJ122" s="41"/>
      <c r="DZK122" s="41"/>
      <c r="DZL122" s="41"/>
      <c r="DZM122" s="41"/>
      <c r="DZN122" s="41"/>
      <c r="DZO122" s="41"/>
      <c r="DZP122" s="41"/>
      <c r="DZQ122" s="41"/>
      <c r="DZR122" s="41"/>
      <c r="DZS122" s="41"/>
      <c r="DZT122" s="41"/>
      <c r="DZU122" s="41"/>
      <c r="DZV122" s="41"/>
      <c r="DZW122" s="41"/>
      <c r="DZX122" s="41"/>
      <c r="DZY122" s="41"/>
      <c r="DZZ122" s="41"/>
      <c r="EAA122" s="41"/>
      <c r="EAB122" s="41"/>
      <c r="EAC122" s="41"/>
      <c r="EAD122" s="41"/>
      <c r="EAE122" s="41"/>
      <c r="EAF122" s="41"/>
      <c r="EAG122" s="41"/>
      <c r="EAH122" s="41"/>
      <c r="EAI122" s="41"/>
      <c r="EAJ122" s="41"/>
      <c r="EAK122" s="41"/>
      <c r="EAL122" s="41"/>
      <c r="EAM122" s="41"/>
      <c r="EAN122" s="41"/>
      <c r="EAO122" s="41"/>
      <c r="EAP122" s="41"/>
      <c r="EAQ122" s="41"/>
      <c r="EAR122" s="41"/>
      <c r="EAS122" s="41"/>
      <c r="EAT122" s="41"/>
      <c r="EAU122" s="41"/>
      <c r="EAV122" s="41"/>
      <c r="EAW122" s="41"/>
      <c r="EAX122" s="41"/>
      <c r="EAY122" s="41"/>
      <c r="EAZ122" s="41"/>
      <c r="EBA122" s="41"/>
      <c r="EBB122" s="41"/>
      <c r="EBC122" s="41"/>
      <c r="EBD122" s="41"/>
      <c r="EBE122" s="41"/>
      <c r="EBF122" s="41"/>
      <c r="EBG122" s="41"/>
      <c r="EBH122" s="41"/>
      <c r="EBI122" s="41"/>
      <c r="EBJ122" s="41"/>
      <c r="EBK122" s="41"/>
      <c r="EBL122" s="41"/>
      <c r="EBM122" s="41"/>
      <c r="EBN122" s="41"/>
      <c r="EBO122" s="41"/>
      <c r="EBP122" s="41"/>
      <c r="EBQ122" s="41"/>
      <c r="EBR122" s="41"/>
      <c r="EBS122" s="41"/>
      <c r="EBT122" s="41"/>
      <c r="EBU122" s="41"/>
      <c r="EBV122" s="41"/>
      <c r="EBW122" s="41"/>
      <c r="EBX122" s="41"/>
      <c r="EBY122" s="41"/>
      <c r="EBZ122" s="41"/>
      <c r="ECA122" s="41"/>
      <c r="ECB122" s="41"/>
      <c r="ECC122" s="41"/>
      <c r="ECD122" s="41"/>
      <c r="ECE122" s="41"/>
      <c r="ECF122" s="41"/>
      <c r="ECG122" s="41"/>
      <c r="ECH122" s="41"/>
      <c r="ECI122" s="41"/>
      <c r="ECJ122" s="41"/>
      <c r="ECK122" s="41"/>
      <c r="ECL122" s="41"/>
      <c r="ECM122" s="41"/>
      <c r="ECN122" s="41"/>
      <c r="ECO122" s="41"/>
      <c r="ECP122" s="41"/>
      <c r="ECQ122" s="41"/>
      <c r="ECR122" s="41"/>
      <c r="ECS122" s="41"/>
      <c r="ECT122" s="41"/>
      <c r="ECU122" s="41"/>
      <c r="ECV122" s="41"/>
      <c r="ECW122" s="41"/>
      <c r="ECX122" s="41"/>
      <c r="ECY122" s="41"/>
      <c r="ECZ122" s="41"/>
      <c r="EDA122" s="41"/>
      <c r="EDB122" s="41"/>
      <c r="EDC122" s="41"/>
      <c r="EDD122" s="41"/>
      <c r="EDE122" s="41"/>
      <c r="EDF122" s="41"/>
      <c r="EDG122" s="41"/>
      <c r="EDH122" s="41"/>
      <c r="EDI122" s="41"/>
      <c r="EDJ122" s="41"/>
      <c r="EDK122" s="41"/>
      <c r="EDL122" s="41"/>
      <c r="EDM122" s="41"/>
      <c r="EDN122" s="41"/>
      <c r="EDO122" s="41"/>
      <c r="EDP122" s="41"/>
      <c r="EDQ122" s="41"/>
      <c r="EDR122" s="41"/>
      <c r="EDS122" s="41"/>
      <c r="EDT122" s="41"/>
      <c r="EDU122" s="41"/>
      <c r="EDV122" s="41"/>
      <c r="EDW122" s="41"/>
      <c r="EDX122" s="41"/>
      <c r="EDY122" s="41"/>
      <c r="EDZ122" s="41"/>
      <c r="EEA122" s="41"/>
      <c r="EEB122" s="41"/>
      <c r="EEC122" s="41"/>
      <c r="EED122" s="41"/>
      <c r="EEE122" s="41"/>
      <c r="EEF122" s="41"/>
      <c r="EEG122" s="41"/>
      <c r="EEH122" s="41"/>
      <c r="EEI122" s="41"/>
      <c r="EEJ122" s="41"/>
      <c r="EEK122" s="41"/>
      <c r="EEL122" s="41"/>
      <c r="EEM122" s="41"/>
      <c r="EEN122" s="41"/>
      <c r="EEO122" s="41"/>
      <c r="EEP122" s="41"/>
      <c r="EEQ122" s="41"/>
      <c r="EER122" s="41"/>
      <c r="EES122" s="41"/>
      <c r="EET122" s="41"/>
      <c r="EEU122" s="41"/>
      <c r="EEV122" s="41"/>
      <c r="EEW122" s="41"/>
      <c r="EEX122" s="41"/>
      <c r="EEY122" s="41"/>
      <c r="EEZ122" s="41"/>
      <c r="EFA122" s="41"/>
      <c r="EFB122" s="41"/>
      <c r="EFC122" s="41"/>
      <c r="EFD122" s="41"/>
      <c r="EFE122" s="41"/>
      <c r="EFF122" s="41"/>
      <c r="EFG122" s="41"/>
      <c r="EFH122" s="41"/>
      <c r="EFI122" s="41"/>
      <c r="EFJ122" s="41"/>
      <c r="EFK122" s="41"/>
      <c r="EFL122" s="41"/>
      <c r="EFM122" s="41"/>
      <c r="EFN122" s="41"/>
      <c r="EFO122" s="41"/>
      <c r="EFP122" s="41"/>
      <c r="EFQ122" s="41"/>
      <c r="EFR122" s="41"/>
      <c r="EFS122" s="41"/>
      <c r="EFT122" s="41"/>
      <c r="EFU122" s="41"/>
      <c r="EFV122" s="41"/>
      <c r="EFW122" s="41"/>
      <c r="EFX122" s="41"/>
      <c r="EFY122" s="41"/>
      <c r="EFZ122" s="41"/>
      <c r="EGA122" s="41"/>
      <c r="EGB122" s="41"/>
      <c r="EGC122" s="41"/>
      <c r="EGD122" s="41"/>
      <c r="EGE122" s="41"/>
      <c r="EGF122" s="41"/>
      <c r="EGG122" s="41"/>
      <c r="EGH122" s="41"/>
      <c r="EGI122" s="41"/>
      <c r="EGJ122" s="41"/>
      <c r="EGK122" s="41"/>
      <c r="EGL122" s="41"/>
      <c r="EGM122" s="41"/>
      <c r="EGN122" s="41"/>
      <c r="EGO122" s="41"/>
      <c r="EGP122" s="41"/>
      <c r="EGQ122" s="41"/>
      <c r="EGR122" s="41"/>
      <c r="EGS122" s="41"/>
      <c r="EGT122" s="41"/>
      <c r="EGU122" s="41"/>
      <c r="EGV122" s="41"/>
      <c r="EGW122" s="41"/>
      <c r="EGX122" s="41"/>
      <c r="EGY122" s="41"/>
      <c r="EGZ122" s="41"/>
      <c r="EHA122" s="41"/>
      <c r="EHB122" s="41"/>
      <c r="EHC122" s="41"/>
      <c r="EHD122" s="41"/>
      <c r="EHE122" s="41"/>
      <c r="EHF122" s="41"/>
      <c r="EHG122" s="41"/>
      <c r="EHH122" s="41"/>
      <c r="EHI122" s="41"/>
      <c r="EHJ122" s="41"/>
      <c r="EHK122" s="41"/>
      <c r="EHL122" s="41"/>
      <c r="EHM122" s="41"/>
      <c r="EHN122" s="41"/>
      <c r="EHO122" s="41"/>
      <c r="EHP122" s="41"/>
      <c r="EHQ122" s="41"/>
      <c r="EHR122" s="41"/>
      <c r="EHS122" s="41"/>
      <c r="EHT122" s="41"/>
      <c r="EHU122" s="41"/>
      <c r="EHV122" s="41"/>
      <c r="EHW122" s="41"/>
      <c r="EHX122" s="41"/>
      <c r="EHY122" s="41"/>
      <c r="EHZ122" s="41"/>
      <c r="EIA122" s="41"/>
      <c r="EIB122" s="41"/>
      <c r="EIC122" s="41"/>
      <c r="EID122" s="41"/>
      <c r="EIE122" s="41"/>
      <c r="EIF122" s="41"/>
      <c r="EIG122" s="41"/>
      <c r="EIH122" s="41"/>
      <c r="EII122" s="41"/>
      <c r="EIJ122" s="41"/>
      <c r="EIK122" s="41"/>
      <c r="EIL122" s="41"/>
      <c r="EIM122" s="41"/>
      <c r="EIN122" s="41"/>
      <c r="EIO122" s="41"/>
      <c r="EIP122" s="41"/>
      <c r="EIQ122" s="41"/>
      <c r="EIR122" s="41"/>
      <c r="EIS122" s="41"/>
      <c r="EIT122" s="41"/>
      <c r="EIU122" s="41"/>
      <c r="EIV122" s="41"/>
      <c r="EIW122" s="41"/>
      <c r="EIX122" s="41"/>
      <c r="EIY122" s="41"/>
      <c r="EIZ122" s="41"/>
      <c r="EJA122" s="41"/>
      <c r="EJB122" s="41"/>
      <c r="EJC122" s="41"/>
      <c r="EJD122" s="41"/>
      <c r="EJE122" s="41"/>
      <c r="EJF122" s="41"/>
      <c r="EJG122" s="41"/>
      <c r="EJH122" s="41"/>
      <c r="EJI122" s="41"/>
      <c r="EJJ122" s="41"/>
      <c r="EJK122" s="41"/>
      <c r="EJL122" s="41"/>
      <c r="EJM122" s="41"/>
      <c r="EJN122" s="41"/>
      <c r="EJO122" s="41"/>
      <c r="EJP122" s="41"/>
      <c r="EJQ122" s="41"/>
      <c r="EJR122" s="41"/>
      <c r="EJS122" s="41"/>
      <c r="EJT122" s="41"/>
      <c r="EJU122" s="41"/>
      <c r="EJV122" s="41"/>
      <c r="EJW122" s="41"/>
      <c r="EJX122" s="41"/>
      <c r="EJY122" s="41"/>
      <c r="EJZ122" s="41"/>
      <c r="EKA122" s="41"/>
      <c r="EKB122" s="41"/>
      <c r="EKC122" s="41"/>
      <c r="EKD122" s="41"/>
      <c r="EKE122" s="41"/>
      <c r="EKF122" s="41"/>
      <c r="EKG122" s="41"/>
      <c r="EKH122" s="41"/>
      <c r="EKI122" s="41"/>
      <c r="EKJ122" s="41"/>
      <c r="EKK122" s="41"/>
      <c r="EKL122" s="41"/>
      <c r="EKM122" s="41"/>
      <c r="EKN122" s="41"/>
      <c r="EKO122" s="41"/>
      <c r="EKP122" s="41"/>
      <c r="EKQ122" s="41"/>
      <c r="EKR122" s="41"/>
      <c r="EKS122" s="41"/>
      <c r="EKT122" s="41"/>
      <c r="EKU122" s="41"/>
      <c r="EKV122" s="41"/>
      <c r="EKW122" s="41"/>
      <c r="EKX122" s="41"/>
      <c r="EKY122" s="41"/>
      <c r="EKZ122" s="41"/>
      <c r="ELA122" s="41"/>
      <c r="ELB122" s="41"/>
      <c r="ELC122" s="41"/>
      <c r="ELD122" s="41"/>
      <c r="ELE122" s="41"/>
      <c r="ELF122" s="41"/>
      <c r="ELG122" s="41"/>
      <c r="ELH122" s="41"/>
      <c r="ELI122" s="41"/>
      <c r="ELJ122" s="41"/>
      <c r="ELK122" s="41"/>
      <c r="ELL122" s="41"/>
      <c r="ELM122" s="41"/>
      <c r="ELN122" s="41"/>
      <c r="ELO122" s="41"/>
      <c r="ELP122" s="41"/>
      <c r="ELQ122" s="41"/>
      <c r="ELR122" s="41"/>
      <c r="ELS122" s="41"/>
      <c r="ELT122" s="41"/>
      <c r="ELU122" s="41"/>
      <c r="ELV122" s="41"/>
      <c r="ELW122" s="41"/>
      <c r="ELX122" s="41"/>
      <c r="ELY122" s="41"/>
      <c r="ELZ122" s="41"/>
      <c r="EMA122" s="41"/>
      <c r="EMB122" s="41"/>
      <c r="EMC122" s="41"/>
      <c r="EMD122" s="41"/>
      <c r="EME122" s="41"/>
      <c r="EMF122" s="41"/>
      <c r="EMG122" s="41"/>
      <c r="EMH122" s="41"/>
      <c r="EMI122" s="41"/>
      <c r="EMJ122" s="41"/>
      <c r="EMK122" s="41"/>
      <c r="EML122" s="41"/>
      <c r="EMM122" s="41"/>
      <c r="EMN122" s="41"/>
      <c r="EMO122" s="41"/>
      <c r="EMP122" s="41"/>
      <c r="EMQ122" s="41"/>
      <c r="EMR122" s="41"/>
      <c r="EMS122" s="41"/>
      <c r="EMT122" s="41"/>
      <c r="EMU122" s="41"/>
      <c r="EMV122" s="41"/>
      <c r="EMW122" s="41"/>
      <c r="EMX122" s="41"/>
      <c r="EMY122" s="41"/>
      <c r="EMZ122" s="41"/>
      <c r="ENA122" s="41"/>
      <c r="ENB122" s="41"/>
      <c r="ENC122" s="41"/>
      <c r="END122" s="41"/>
      <c r="ENE122" s="41"/>
      <c r="ENF122" s="41"/>
      <c r="ENG122" s="41"/>
      <c r="ENH122" s="41"/>
      <c r="ENI122" s="41"/>
      <c r="ENJ122" s="41"/>
      <c r="ENK122" s="41"/>
      <c r="ENL122" s="41"/>
      <c r="ENM122" s="41"/>
      <c r="ENN122" s="41"/>
      <c r="ENO122" s="41"/>
      <c r="ENP122" s="41"/>
      <c r="ENQ122" s="41"/>
      <c r="ENR122" s="41"/>
      <c r="ENS122" s="41"/>
      <c r="ENT122" s="41"/>
      <c r="ENU122" s="41"/>
      <c r="ENV122" s="41"/>
      <c r="ENW122" s="41"/>
      <c r="ENX122" s="41"/>
      <c r="ENY122" s="41"/>
      <c r="ENZ122" s="41"/>
      <c r="EOA122" s="41"/>
      <c r="EOB122" s="41"/>
      <c r="EOC122" s="41"/>
      <c r="EOD122" s="41"/>
      <c r="EOE122" s="41"/>
      <c r="EOF122" s="41"/>
      <c r="EOG122" s="41"/>
      <c r="EOH122" s="41"/>
      <c r="EOI122" s="41"/>
      <c r="EOJ122" s="41"/>
      <c r="EOK122" s="41"/>
      <c r="EOL122" s="41"/>
      <c r="EOM122" s="41"/>
      <c r="EON122" s="41"/>
      <c r="EOO122" s="41"/>
      <c r="EOP122" s="41"/>
      <c r="EOQ122" s="41"/>
      <c r="EOR122" s="41"/>
      <c r="EOS122" s="41"/>
      <c r="EOT122" s="41"/>
      <c r="EOU122" s="41"/>
      <c r="EOV122" s="41"/>
      <c r="EOW122" s="41"/>
      <c r="EOX122" s="41"/>
      <c r="EOY122" s="41"/>
      <c r="EOZ122" s="41"/>
      <c r="EPA122" s="41"/>
      <c r="EPB122" s="41"/>
      <c r="EPC122" s="41"/>
      <c r="EPD122" s="41"/>
      <c r="EPE122" s="41"/>
      <c r="EPF122" s="41"/>
      <c r="EPG122" s="41"/>
      <c r="EPH122" s="41"/>
      <c r="EPI122" s="41"/>
      <c r="EPJ122" s="41"/>
      <c r="EPK122" s="41"/>
      <c r="EPL122" s="41"/>
      <c r="EPM122" s="41"/>
      <c r="EPN122" s="41"/>
      <c r="EPO122" s="41"/>
      <c r="EPP122" s="41"/>
      <c r="EPQ122" s="41"/>
      <c r="EPR122" s="41"/>
      <c r="EPS122" s="41"/>
      <c r="EPT122" s="41"/>
      <c r="EPU122" s="41"/>
      <c r="EPV122" s="41"/>
      <c r="EPW122" s="41"/>
      <c r="EPX122" s="41"/>
      <c r="EPY122" s="41"/>
      <c r="EPZ122" s="41"/>
      <c r="EQA122" s="41"/>
      <c r="EQB122" s="41"/>
      <c r="EQC122" s="41"/>
      <c r="EQD122" s="41"/>
      <c r="EQE122" s="41"/>
      <c r="EQF122" s="41"/>
      <c r="EQG122" s="41"/>
      <c r="EQH122" s="41"/>
      <c r="EQI122" s="41"/>
      <c r="EQJ122" s="41"/>
      <c r="EQK122" s="41"/>
      <c r="EQL122" s="41"/>
      <c r="EQM122" s="41"/>
      <c r="EQN122" s="41"/>
      <c r="EQO122" s="41"/>
      <c r="EQP122" s="41"/>
      <c r="EQQ122" s="41"/>
      <c r="EQR122" s="41"/>
      <c r="EQS122" s="41"/>
      <c r="EQT122" s="41"/>
      <c r="EQU122" s="41"/>
      <c r="EQV122" s="41"/>
      <c r="EQW122" s="41"/>
      <c r="EQX122" s="41"/>
      <c r="EQY122" s="41"/>
      <c r="EQZ122" s="41"/>
      <c r="ERA122" s="41"/>
      <c r="ERB122" s="41"/>
      <c r="ERC122" s="41"/>
      <c r="ERD122" s="41"/>
      <c r="ERE122" s="41"/>
      <c r="ERF122" s="41"/>
      <c r="ERG122" s="41"/>
      <c r="ERH122" s="41"/>
      <c r="ERI122" s="41"/>
      <c r="ERJ122" s="41"/>
      <c r="ERK122" s="41"/>
      <c r="ERL122" s="41"/>
      <c r="ERM122" s="41"/>
      <c r="ERN122" s="41"/>
      <c r="ERO122" s="41"/>
      <c r="ERP122" s="41"/>
      <c r="ERQ122" s="41"/>
      <c r="ERR122" s="41"/>
      <c r="ERS122" s="41"/>
      <c r="ERT122" s="41"/>
      <c r="ERU122" s="41"/>
      <c r="ERV122" s="41"/>
      <c r="ERW122" s="41"/>
      <c r="ERX122" s="41"/>
      <c r="ERY122" s="41"/>
      <c r="ERZ122" s="41"/>
      <c r="ESA122" s="41"/>
      <c r="ESB122" s="41"/>
      <c r="ESC122" s="41"/>
      <c r="ESD122" s="41"/>
      <c r="ESE122" s="41"/>
      <c r="ESF122" s="41"/>
      <c r="ESG122" s="41"/>
      <c r="ESH122" s="41"/>
      <c r="ESI122" s="41"/>
      <c r="ESJ122" s="41"/>
      <c r="ESK122" s="41"/>
      <c r="ESL122" s="41"/>
      <c r="ESM122" s="41"/>
      <c r="ESN122" s="41"/>
      <c r="ESO122" s="41"/>
      <c r="ESP122" s="41"/>
      <c r="ESQ122" s="41"/>
      <c r="ESR122" s="41"/>
      <c r="ESS122" s="41"/>
      <c r="EST122" s="41"/>
      <c r="ESU122" s="41"/>
      <c r="ESV122" s="41"/>
      <c r="ESW122" s="41"/>
      <c r="ESX122" s="41"/>
      <c r="ESY122" s="41"/>
      <c r="ESZ122" s="41"/>
      <c r="ETA122" s="41"/>
      <c r="ETB122" s="41"/>
      <c r="ETC122" s="41"/>
      <c r="ETD122" s="41"/>
      <c r="ETE122" s="41"/>
      <c r="ETF122" s="41"/>
      <c r="ETG122" s="41"/>
      <c r="ETH122" s="41"/>
      <c r="ETI122" s="41"/>
      <c r="ETJ122" s="41"/>
      <c r="ETK122" s="41"/>
      <c r="ETL122" s="41"/>
      <c r="ETM122" s="41"/>
      <c r="ETN122" s="41"/>
      <c r="ETO122" s="41"/>
      <c r="ETP122" s="41"/>
      <c r="ETQ122" s="41"/>
      <c r="ETR122" s="41"/>
      <c r="ETS122" s="41"/>
      <c r="ETT122" s="41"/>
      <c r="ETU122" s="41"/>
      <c r="ETV122" s="41"/>
      <c r="ETW122" s="41"/>
      <c r="ETX122" s="41"/>
      <c r="ETY122" s="41"/>
      <c r="ETZ122" s="41"/>
      <c r="EUA122" s="41"/>
      <c r="EUB122" s="41"/>
      <c r="EUC122" s="41"/>
      <c r="EUD122" s="41"/>
      <c r="EUE122" s="41"/>
      <c r="EUF122" s="41"/>
      <c r="EUG122" s="41"/>
      <c r="EUH122" s="41"/>
      <c r="EUI122" s="41"/>
      <c r="EUJ122" s="41"/>
      <c r="EUK122" s="41"/>
      <c r="EUL122" s="41"/>
      <c r="EUM122" s="41"/>
      <c r="EUN122" s="41"/>
      <c r="EUO122" s="41"/>
      <c r="EUP122" s="41"/>
      <c r="EUQ122" s="41"/>
      <c r="EUR122" s="41"/>
      <c r="EUS122" s="41"/>
      <c r="EUT122" s="41"/>
      <c r="EUU122" s="41"/>
      <c r="EUV122" s="41"/>
      <c r="EUW122" s="41"/>
      <c r="EUX122" s="41"/>
      <c r="EUY122" s="41"/>
      <c r="EUZ122" s="41"/>
      <c r="EVA122" s="41"/>
      <c r="EVB122" s="41"/>
      <c r="EVC122" s="41"/>
      <c r="EVD122" s="41"/>
      <c r="EVE122" s="41"/>
      <c r="EVF122" s="41"/>
      <c r="EVG122" s="41"/>
      <c r="EVH122" s="41"/>
      <c r="EVI122" s="41"/>
      <c r="EVJ122" s="41"/>
      <c r="EVK122" s="41"/>
      <c r="EVL122" s="41"/>
      <c r="EVM122" s="41"/>
      <c r="EVN122" s="41"/>
      <c r="EVO122" s="41"/>
      <c r="EVP122" s="41"/>
      <c r="EVQ122" s="41"/>
      <c r="EVR122" s="41"/>
      <c r="EVS122" s="41"/>
      <c r="EVT122" s="41"/>
      <c r="EVU122" s="41"/>
      <c r="EVV122" s="41"/>
      <c r="EVW122" s="41"/>
      <c r="EVX122" s="41"/>
      <c r="EVY122" s="41"/>
      <c r="EVZ122" s="41"/>
      <c r="EWA122" s="41"/>
      <c r="EWB122" s="41"/>
      <c r="EWC122" s="41"/>
      <c r="EWD122" s="41"/>
      <c r="EWE122" s="41"/>
      <c r="EWF122" s="41"/>
      <c r="EWG122" s="41"/>
      <c r="EWH122" s="41"/>
      <c r="EWI122" s="41"/>
      <c r="EWJ122" s="41"/>
      <c r="EWK122" s="41"/>
      <c r="EWL122" s="41"/>
      <c r="EWM122" s="41"/>
      <c r="EWN122" s="41"/>
      <c r="EWO122" s="41"/>
      <c r="EWP122" s="41"/>
      <c r="EWQ122" s="41"/>
      <c r="EWR122" s="41"/>
      <c r="EWS122" s="41"/>
      <c r="EWT122" s="41"/>
      <c r="EWU122" s="41"/>
      <c r="EWV122" s="41"/>
      <c r="EWW122" s="41"/>
      <c r="EWX122" s="41"/>
      <c r="EWY122" s="41"/>
      <c r="EWZ122" s="41"/>
      <c r="EXA122" s="41"/>
      <c r="EXB122" s="41"/>
      <c r="EXC122" s="41"/>
      <c r="EXD122" s="41"/>
      <c r="EXE122" s="41"/>
      <c r="EXF122" s="41"/>
      <c r="EXG122" s="41"/>
      <c r="EXH122" s="41"/>
      <c r="EXI122" s="41"/>
      <c r="EXJ122" s="41"/>
      <c r="EXK122" s="41"/>
      <c r="EXL122" s="41"/>
      <c r="EXM122" s="41"/>
      <c r="EXN122" s="41"/>
      <c r="EXO122" s="41"/>
      <c r="EXP122" s="41"/>
      <c r="EXQ122" s="41"/>
      <c r="EXR122" s="41"/>
      <c r="EXS122" s="41"/>
      <c r="EXT122" s="41"/>
      <c r="EXU122" s="41"/>
      <c r="EXV122" s="41"/>
      <c r="EXW122" s="41"/>
      <c r="EXX122" s="41"/>
      <c r="EXY122" s="41"/>
      <c r="EXZ122" s="41"/>
      <c r="EYA122" s="41"/>
      <c r="EYB122" s="41"/>
      <c r="EYC122" s="41"/>
      <c r="EYD122" s="41"/>
      <c r="EYE122" s="41"/>
      <c r="EYF122" s="41"/>
      <c r="EYG122" s="41"/>
      <c r="EYH122" s="41"/>
      <c r="EYI122" s="41"/>
      <c r="EYJ122" s="41"/>
      <c r="EYK122" s="41"/>
      <c r="EYL122" s="41"/>
      <c r="EYM122" s="41"/>
      <c r="EYN122" s="41"/>
      <c r="EYO122" s="41"/>
      <c r="EYP122" s="41"/>
      <c r="EYQ122" s="41"/>
      <c r="EYR122" s="41"/>
      <c r="EYS122" s="41"/>
      <c r="EYT122" s="41"/>
      <c r="EYU122" s="41"/>
      <c r="EYV122" s="41"/>
      <c r="EYW122" s="41"/>
      <c r="EYX122" s="41"/>
      <c r="EYY122" s="41"/>
      <c r="EYZ122" s="41"/>
      <c r="EZA122" s="41"/>
      <c r="EZB122" s="41"/>
      <c r="EZC122" s="41"/>
      <c r="EZD122" s="41"/>
      <c r="EZE122" s="41"/>
      <c r="EZF122" s="41"/>
      <c r="EZG122" s="41"/>
      <c r="EZH122" s="41"/>
      <c r="EZI122" s="41"/>
      <c r="EZJ122" s="41"/>
      <c r="EZK122" s="41"/>
      <c r="EZL122" s="41"/>
      <c r="EZM122" s="41"/>
      <c r="EZN122" s="41"/>
      <c r="EZO122" s="41"/>
      <c r="EZP122" s="41"/>
      <c r="EZQ122" s="41"/>
      <c r="EZR122" s="41"/>
      <c r="EZS122" s="41"/>
      <c r="EZT122" s="41"/>
      <c r="EZU122" s="41"/>
      <c r="EZV122" s="41"/>
      <c r="EZW122" s="41"/>
      <c r="EZX122" s="41"/>
      <c r="EZY122" s="41"/>
      <c r="EZZ122" s="41"/>
      <c r="FAA122" s="41"/>
      <c r="FAB122" s="41"/>
      <c r="FAC122" s="41"/>
      <c r="FAD122" s="41"/>
      <c r="FAE122" s="41"/>
      <c r="FAF122" s="41"/>
      <c r="FAG122" s="41"/>
      <c r="FAH122" s="41"/>
      <c r="FAI122" s="41"/>
      <c r="FAJ122" s="41"/>
      <c r="FAK122" s="41"/>
      <c r="FAL122" s="41"/>
      <c r="FAM122" s="41"/>
      <c r="FAN122" s="41"/>
      <c r="FAO122" s="41"/>
      <c r="FAP122" s="41"/>
      <c r="FAQ122" s="41"/>
      <c r="FAR122" s="41"/>
      <c r="FAS122" s="41"/>
      <c r="FAT122" s="41"/>
      <c r="FAU122" s="41"/>
      <c r="FAV122" s="41"/>
      <c r="FAW122" s="41"/>
      <c r="FAX122" s="41"/>
      <c r="FAY122" s="41"/>
      <c r="FAZ122" s="41"/>
      <c r="FBA122" s="41"/>
      <c r="FBB122" s="41"/>
      <c r="FBC122" s="41"/>
      <c r="FBD122" s="41"/>
      <c r="FBE122" s="41"/>
      <c r="FBF122" s="41"/>
      <c r="FBG122" s="41"/>
      <c r="FBH122" s="41"/>
      <c r="FBI122" s="41"/>
      <c r="FBJ122" s="41"/>
      <c r="FBK122" s="41"/>
      <c r="FBL122" s="41"/>
      <c r="FBM122" s="41"/>
      <c r="FBN122" s="41"/>
      <c r="FBO122" s="41"/>
      <c r="FBP122" s="41"/>
      <c r="FBQ122" s="41"/>
      <c r="FBR122" s="41"/>
      <c r="FBS122" s="41"/>
      <c r="FBT122" s="41"/>
      <c r="FBU122" s="41"/>
      <c r="FBV122" s="41"/>
      <c r="FBW122" s="41"/>
      <c r="FBX122" s="41"/>
      <c r="FBY122" s="41"/>
      <c r="FBZ122" s="41"/>
      <c r="FCA122" s="41"/>
      <c r="FCB122" s="41"/>
      <c r="FCC122" s="41"/>
      <c r="FCD122" s="41"/>
      <c r="FCE122" s="41"/>
      <c r="FCF122" s="41"/>
      <c r="FCG122" s="41"/>
      <c r="FCH122" s="41"/>
      <c r="FCI122" s="41"/>
      <c r="FCJ122" s="41"/>
      <c r="FCK122" s="41"/>
      <c r="FCL122" s="41"/>
      <c r="FCM122" s="41"/>
      <c r="FCN122" s="41"/>
      <c r="FCO122" s="41"/>
      <c r="FCP122" s="41"/>
      <c r="FCQ122" s="41"/>
      <c r="FCR122" s="41"/>
      <c r="FCS122" s="41"/>
      <c r="FCT122" s="41"/>
      <c r="FCU122" s="41"/>
      <c r="FCV122" s="41"/>
      <c r="FCW122" s="41"/>
      <c r="FCX122" s="41"/>
      <c r="FCY122" s="41"/>
      <c r="FCZ122" s="41"/>
      <c r="FDA122" s="41"/>
      <c r="FDB122" s="41"/>
      <c r="FDC122" s="41"/>
      <c r="FDD122" s="41"/>
      <c r="FDE122" s="41"/>
      <c r="FDF122" s="41"/>
      <c r="FDG122" s="41"/>
      <c r="FDH122" s="41"/>
      <c r="FDI122" s="41"/>
      <c r="FDJ122" s="41"/>
      <c r="FDK122" s="41"/>
      <c r="FDL122" s="41"/>
      <c r="FDM122" s="41"/>
      <c r="FDN122" s="41"/>
      <c r="FDO122" s="41"/>
      <c r="FDP122" s="41"/>
      <c r="FDQ122" s="41"/>
      <c r="FDR122" s="41"/>
      <c r="FDS122" s="41"/>
      <c r="FDT122" s="41"/>
      <c r="FDU122" s="41"/>
      <c r="FDV122" s="41"/>
      <c r="FDW122" s="41"/>
      <c r="FDX122" s="41"/>
      <c r="FDY122" s="41"/>
      <c r="FDZ122" s="41"/>
      <c r="FEA122" s="41"/>
      <c r="FEB122" s="41"/>
      <c r="FEC122" s="41"/>
      <c r="FED122" s="41"/>
      <c r="FEE122" s="41"/>
      <c r="FEF122" s="41"/>
      <c r="FEG122" s="41"/>
      <c r="FEH122" s="41"/>
      <c r="FEI122" s="41"/>
      <c r="FEJ122" s="41"/>
      <c r="FEK122" s="41"/>
      <c r="FEL122" s="41"/>
      <c r="FEM122" s="41"/>
      <c r="FEN122" s="41"/>
      <c r="FEO122" s="41"/>
      <c r="FEP122" s="41"/>
      <c r="FEQ122" s="41"/>
      <c r="FER122" s="41"/>
      <c r="FES122" s="41"/>
      <c r="FET122" s="41"/>
      <c r="FEU122" s="41"/>
      <c r="FEV122" s="41"/>
      <c r="FEW122" s="41"/>
      <c r="FEX122" s="41"/>
      <c r="FEY122" s="41"/>
      <c r="FEZ122" s="41"/>
      <c r="FFA122" s="41"/>
      <c r="FFB122" s="41"/>
      <c r="FFC122" s="41"/>
      <c r="FFD122" s="41"/>
      <c r="FFE122" s="41"/>
      <c r="FFF122" s="41"/>
      <c r="FFG122" s="41"/>
      <c r="FFH122" s="41"/>
      <c r="FFI122" s="41"/>
      <c r="FFJ122" s="41"/>
      <c r="FFK122" s="41"/>
      <c r="FFL122" s="41"/>
      <c r="FFM122" s="41"/>
      <c r="FFN122" s="41"/>
      <c r="FFO122" s="41"/>
      <c r="FFP122" s="41"/>
      <c r="FFQ122" s="41"/>
      <c r="FFR122" s="41"/>
      <c r="FFS122" s="41"/>
      <c r="FFT122" s="41"/>
      <c r="FFU122" s="41"/>
      <c r="FFV122" s="41"/>
      <c r="FFW122" s="41"/>
      <c r="FFX122" s="41"/>
      <c r="FFY122" s="41"/>
      <c r="FFZ122" s="41"/>
      <c r="FGA122" s="41"/>
      <c r="FGB122" s="41"/>
      <c r="FGC122" s="41"/>
      <c r="FGD122" s="41"/>
      <c r="FGE122" s="41"/>
      <c r="FGF122" s="41"/>
      <c r="FGG122" s="41"/>
      <c r="FGH122" s="41"/>
      <c r="FGI122" s="41"/>
      <c r="FGJ122" s="41"/>
      <c r="FGK122" s="41"/>
      <c r="FGL122" s="41"/>
      <c r="FGM122" s="41"/>
      <c r="FGN122" s="41"/>
      <c r="FGO122" s="41"/>
      <c r="FGP122" s="41"/>
      <c r="FGQ122" s="41"/>
      <c r="FGR122" s="41"/>
      <c r="FGS122" s="41"/>
      <c r="FGT122" s="41"/>
      <c r="FGU122" s="41"/>
      <c r="FGV122" s="41"/>
      <c r="FGW122" s="41"/>
      <c r="FGX122" s="41"/>
      <c r="FGY122" s="41"/>
      <c r="FGZ122" s="41"/>
      <c r="FHA122" s="41"/>
      <c r="FHB122" s="41"/>
      <c r="FHC122" s="41"/>
      <c r="FHD122" s="41"/>
      <c r="FHE122" s="41"/>
      <c r="FHF122" s="41"/>
      <c r="FHG122" s="41"/>
      <c r="FHH122" s="41"/>
      <c r="FHI122" s="41"/>
      <c r="FHJ122" s="41"/>
      <c r="FHK122" s="41"/>
      <c r="FHL122" s="41"/>
      <c r="FHM122" s="41"/>
      <c r="FHN122" s="41"/>
      <c r="FHO122" s="41"/>
      <c r="FHP122" s="41"/>
      <c r="FHQ122" s="41"/>
      <c r="FHR122" s="41"/>
      <c r="FHS122" s="41"/>
      <c r="FHT122" s="41"/>
      <c r="FHU122" s="41"/>
      <c r="FHV122" s="41"/>
      <c r="FHW122" s="41"/>
      <c r="FHX122" s="41"/>
      <c r="FHY122" s="41"/>
      <c r="FHZ122" s="41"/>
      <c r="FIA122" s="41"/>
      <c r="FIB122" s="41"/>
      <c r="FIC122" s="41"/>
      <c r="FID122" s="41"/>
      <c r="FIE122" s="41"/>
      <c r="FIF122" s="41"/>
      <c r="FIG122" s="41"/>
      <c r="FIH122" s="41"/>
      <c r="FII122" s="41"/>
      <c r="FIJ122" s="41"/>
      <c r="FIK122" s="41"/>
      <c r="FIL122" s="41"/>
      <c r="FIM122" s="41"/>
      <c r="FIN122" s="41"/>
      <c r="FIO122" s="41"/>
      <c r="FIP122" s="41"/>
      <c r="FIQ122" s="41"/>
      <c r="FIR122" s="41"/>
      <c r="FIS122" s="41"/>
      <c r="FIT122" s="41"/>
      <c r="FIU122" s="41"/>
      <c r="FIV122" s="41"/>
      <c r="FIW122" s="41"/>
      <c r="FIX122" s="41"/>
      <c r="FIY122" s="41"/>
      <c r="FIZ122" s="41"/>
      <c r="FJA122" s="41"/>
      <c r="FJB122" s="41"/>
      <c r="FJC122" s="41"/>
      <c r="FJD122" s="41"/>
      <c r="FJE122" s="41"/>
      <c r="FJF122" s="41"/>
      <c r="FJG122" s="41"/>
      <c r="FJH122" s="41"/>
      <c r="FJI122" s="41"/>
      <c r="FJJ122" s="41"/>
      <c r="FJK122" s="41"/>
      <c r="FJL122" s="41"/>
      <c r="FJM122" s="41"/>
      <c r="FJN122" s="41"/>
      <c r="FJO122" s="41"/>
      <c r="FJP122" s="41"/>
      <c r="FJQ122" s="41"/>
      <c r="FJR122" s="41"/>
      <c r="FJS122" s="41"/>
      <c r="FJT122" s="41"/>
      <c r="FJU122" s="41"/>
      <c r="FJV122" s="41"/>
      <c r="FJW122" s="41"/>
      <c r="FJX122" s="41"/>
      <c r="FJY122" s="41"/>
      <c r="FJZ122" s="41"/>
      <c r="FKA122" s="41"/>
      <c r="FKB122" s="41"/>
      <c r="FKC122" s="41"/>
      <c r="FKD122" s="41"/>
      <c r="FKE122" s="41"/>
      <c r="FKF122" s="41"/>
      <c r="FKG122" s="41"/>
      <c r="FKH122" s="41"/>
      <c r="FKI122" s="41"/>
      <c r="FKJ122" s="41"/>
      <c r="FKK122" s="41"/>
      <c r="FKL122" s="41"/>
      <c r="FKM122" s="41"/>
      <c r="FKN122" s="41"/>
      <c r="FKO122" s="41"/>
      <c r="FKP122" s="41"/>
      <c r="FKQ122" s="41"/>
      <c r="FKR122" s="41"/>
      <c r="FKS122" s="41"/>
      <c r="FKT122" s="41"/>
      <c r="FKU122" s="41"/>
      <c r="FKV122" s="41"/>
      <c r="FKW122" s="41"/>
      <c r="FKX122" s="41"/>
      <c r="FKY122" s="41"/>
      <c r="FKZ122" s="41"/>
      <c r="FLA122" s="41"/>
      <c r="FLB122" s="41"/>
      <c r="FLC122" s="41"/>
      <c r="FLD122" s="41"/>
      <c r="FLE122" s="41"/>
      <c r="FLF122" s="41"/>
      <c r="FLG122" s="41"/>
      <c r="FLH122" s="41"/>
      <c r="FLI122" s="41"/>
      <c r="FLJ122" s="41"/>
      <c r="FLK122" s="41"/>
      <c r="FLL122" s="41"/>
      <c r="FLM122" s="41"/>
      <c r="FLN122" s="41"/>
      <c r="FLO122" s="41"/>
      <c r="FLP122" s="41"/>
      <c r="FLQ122" s="41"/>
      <c r="FLR122" s="41"/>
      <c r="FLS122" s="41"/>
      <c r="FLT122" s="41"/>
      <c r="FLU122" s="41"/>
      <c r="FLV122" s="41"/>
      <c r="FLW122" s="41"/>
      <c r="FLX122" s="41"/>
      <c r="FLY122" s="41"/>
      <c r="FLZ122" s="41"/>
      <c r="FMA122" s="41"/>
      <c r="FMB122" s="41"/>
      <c r="FMC122" s="41"/>
      <c r="FMD122" s="41"/>
      <c r="FME122" s="41"/>
      <c r="FMF122" s="41"/>
      <c r="FMG122" s="41"/>
      <c r="FMH122" s="41"/>
      <c r="FMI122" s="41"/>
      <c r="FMJ122" s="41"/>
      <c r="FMK122" s="41"/>
      <c r="FML122" s="41"/>
      <c r="FMM122" s="41"/>
      <c r="FMN122" s="41"/>
      <c r="FMO122" s="41"/>
      <c r="FMP122" s="41"/>
      <c r="FMQ122" s="41"/>
      <c r="FMR122" s="41"/>
      <c r="FMS122" s="41"/>
      <c r="FMT122" s="41"/>
      <c r="FMU122" s="41"/>
      <c r="FMV122" s="41"/>
      <c r="FMW122" s="41"/>
      <c r="FMX122" s="41"/>
      <c r="FMY122" s="41"/>
      <c r="FMZ122" s="41"/>
      <c r="FNA122" s="41"/>
      <c r="FNB122" s="41"/>
      <c r="FNC122" s="41"/>
      <c r="FND122" s="41"/>
      <c r="FNE122" s="41"/>
      <c r="FNF122" s="41"/>
      <c r="FNG122" s="41"/>
      <c r="FNH122" s="41"/>
      <c r="FNI122" s="41"/>
      <c r="FNJ122" s="41"/>
      <c r="FNK122" s="41"/>
      <c r="FNL122" s="41"/>
      <c r="FNM122" s="41"/>
      <c r="FNN122" s="41"/>
      <c r="FNO122" s="41"/>
      <c r="FNP122" s="41"/>
      <c r="FNQ122" s="41"/>
      <c r="FNR122" s="41"/>
      <c r="FNS122" s="41"/>
      <c r="FNT122" s="41"/>
      <c r="FNU122" s="41"/>
      <c r="FNV122" s="41"/>
      <c r="FNW122" s="41"/>
      <c r="FNX122" s="41"/>
      <c r="FNY122" s="41"/>
      <c r="FNZ122" s="41"/>
      <c r="FOA122" s="41"/>
      <c r="FOB122" s="41"/>
      <c r="FOC122" s="41"/>
      <c r="FOD122" s="41"/>
      <c r="FOE122" s="41"/>
      <c r="FOF122" s="41"/>
      <c r="FOG122" s="41"/>
      <c r="FOH122" s="41"/>
      <c r="FOI122" s="41"/>
      <c r="FOJ122" s="41"/>
      <c r="FOK122" s="41"/>
      <c r="FOL122" s="41"/>
      <c r="FOM122" s="41"/>
      <c r="FON122" s="41"/>
      <c r="FOO122" s="41"/>
      <c r="FOP122" s="41"/>
      <c r="FOQ122" s="41"/>
      <c r="FOR122" s="41"/>
      <c r="FOS122" s="41"/>
      <c r="FOT122" s="41"/>
      <c r="FOU122" s="41"/>
      <c r="FOV122" s="41"/>
      <c r="FOW122" s="41"/>
      <c r="FOX122" s="41"/>
      <c r="FOY122" s="41"/>
      <c r="FOZ122" s="41"/>
      <c r="FPA122" s="41"/>
      <c r="FPB122" s="41"/>
      <c r="FPC122" s="41"/>
      <c r="FPD122" s="41"/>
      <c r="FPE122" s="41"/>
      <c r="FPF122" s="41"/>
      <c r="FPG122" s="41"/>
      <c r="FPH122" s="41"/>
      <c r="FPI122" s="41"/>
      <c r="FPJ122" s="41"/>
      <c r="FPK122" s="41"/>
      <c r="FPL122" s="41"/>
      <c r="FPM122" s="41"/>
      <c r="FPN122" s="41"/>
      <c r="FPO122" s="41"/>
      <c r="FPP122" s="41"/>
      <c r="FPQ122" s="41"/>
      <c r="FPR122" s="41"/>
      <c r="FPS122" s="41"/>
      <c r="FPT122" s="41"/>
      <c r="FPU122" s="41"/>
      <c r="FPV122" s="41"/>
      <c r="FPW122" s="41"/>
      <c r="FPX122" s="41"/>
      <c r="FPY122" s="41"/>
      <c r="FPZ122" s="41"/>
      <c r="FQA122" s="41"/>
      <c r="FQB122" s="41"/>
      <c r="FQC122" s="41"/>
      <c r="FQD122" s="41"/>
      <c r="FQE122" s="41"/>
      <c r="FQF122" s="41"/>
      <c r="FQG122" s="41"/>
      <c r="FQH122" s="41"/>
      <c r="FQI122" s="41"/>
      <c r="FQJ122" s="41"/>
      <c r="FQK122" s="41"/>
      <c r="FQL122" s="41"/>
      <c r="FQM122" s="41"/>
      <c r="FQN122" s="41"/>
      <c r="FQO122" s="41"/>
      <c r="FQP122" s="41"/>
      <c r="FQQ122" s="41"/>
      <c r="FQR122" s="41"/>
      <c r="FQS122" s="41"/>
      <c r="FQT122" s="41"/>
      <c r="FQU122" s="41"/>
      <c r="FQV122" s="41"/>
      <c r="FQW122" s="41"/>
      <c r="FQX122" s="41"/>
      <c r="FQY122" s="41"/>
      <c r="FQZ122" s="41"/>
      <c r="FRA122" s="41"/>
      <c r="FRB122" s="41"/>
      <c r="FRC122" s="41"/>
      <c r="FRD122" s="41"/>
      <c r="FRE122" s="41"/>
      <c r="FRF122" s="41"/>
      <c r="FRG122" s="41"/>
      <c r="FRH122" s="41"/>
      <c r="FRI122" s="41"/>
      <c r="FRJ122" s="41"/>
      <c r="FRK122" s="41"/>
      <c r="FRL122" s="41"/>
      <c r="FRM122" s="41"/>
      <c r="FRN122" s="41"/>
      <c r="FRO122" s="41"/>
      <c r="FRP122" s="41"/>
      <c r="FRQ122" s="41"/>
      <c r="FRR122" s="41"/>
      <c r="FRS122" s="41"/>
      <c r="FRT122" s="41"/>
      <c r="FRU122" s="41"/>
      <c r="FRV122" s="41"/>
      <c r="FRW122" s="41"/>
      <c r="FRX122" s="41"/>
      <c r="FRY122" s="41"/>
      <c r="FRZ122" s="41"/>
      <c r="FSA122" s="41"/>
      <c r="FSB122" s="41"/>
      <c r="FSC122" s="41"/>
      <c r="FSD122" s="41"/>
      <c r="FSE122" s="41"/>
      <c r="FSF122" s="41"/>
      <c r="FSG122" s="41"/>
      <c r="FSH122" s="41"/>
      <c r="FSI122" s="41"/>
      <c r="FSJ122" s="41"/>
      <c r="FSK122" s="41"/>
      <c r="FSL122" s="41"/>
      <c r="FSM122" s="41"/>
      <c r="FSN122" s="41"/>
      <c r="FSO122" s="41"/>
      <c r="FSP122" s="41"/>
      <c r="FSQ122" s="41"/>
      <c r="FSR122" s="41"/>
      <c r="FSS122" s="41"/>
      <c r="FST122" s="41"/>
      <c r="FSU122" s="41"/>
      <c r="FSV122" s="41"/>
      <c r="FSW122" s="41"/>
      <c r="FSX122" s="41"/>
      <c r="FSY122" s="41"/>
      <c r="FSZ122" s="41"/>
      <c r="FTA122" s="41"/>
      <c r="FTB122" s="41"/>
      <c r="FTC122" s="41"/>
      <c r="FTD122" s="41"/>
      <c r="FTE122" s="41"/>
      <c r="FTF122" s="41"/>
      <c r="FTG122" s="41"/>
      <c r="FTH122" s="41"/>
      <c r="FTI122" s="41"/>
      <c r="FTJ122" s="41"/>
      <c r="FTK122" s="41"/>
      <c r="FTL122" s="41"/>
      <c r="FTM122" s="41"/>
      <c r="FTN122" s="41"/>
      <c r="FTO122" s="41"/>
      <c r="FTP122" s="41"/>
      <c r="FTQ122" s="41"/>
      <c r="FTR122" s="41"/>
      <c r="FTS122" s="41"/>
      <c r="FTT122" s="41"/>
      <c r="FTU122" s="41"/>
      <c r="FTV122" s="41"/>
      <c r="FTW122" s="41"/>
      <c r="FTX122" s="41"/>
      <c r="FTY122" s="41"/>
      <c r="FTZ122" s="41"/>
      <c r="FUA122" s="41"/>
      <c r="FUB122" s="41"/>
      <c r="FUC122" s="41"/>
      <c r="FUD122" s="41"/>
      <c r="FUE122" s="41"/>
      <c r="FUF122" s="41"/>
      <c r="FUG122" s="41"/>
      <c r="FUH122" s="41"/>
      <c r="FUI122" s="41"/>
      <c r="FUJ122" s="41"/>
      <c r="FUK122" s="41"/>
      <c r="FUL122" s="41"/>
      <c r="FUM122" s="41"/>
      <c r="FUN122" s="41"/>
      <c r="FUO122" s="41"/>
      <c r="FUP122" s="41"/>
      <c r="FUQ122" s="41"/>
      <c r="FUR122" s="41"/>
      <c r="FUS122" s="41"/>
      <c r="FUT122" s="41"/>
      <c r="FUU122" s="41"/>
      <c r="FUV122" s="41"/>
      <c r="FUW122" s="41"/>
      <c r="FUX122" s="41"/>
      <c r="FUY122" s="41"/>
      <c r="FUZ122" s="41"/>
      <c r="FVA122" s="41"/>
      <c r="FVB122" s="41"/>
      <c r="FVC122" s="41"/>
      <c r="FVD122" s="41"/>
      <c r="FVE122" s="41"/>
      <c r="FVF122" s="41"/>
      <c r="FVG122" s="41"/>
      <c r="FVH122" s="41"/>
      <c r="FVI122" s="41"/>
      <c r="FVJ122" s="41"/>
      <c r="FVK122" s="41"/>
      <c r="FVL122" s="41"/>
      <c r="FVM122" s="41"/>
      <c r="FVN122" s="41"/>
      <c r="FVO122" s="41"/>
      <c r="FVP122" s="41"/>
      <c r="FVQ122" s="41"/>
      <c r="FVR122" s="41"/>
      <c r="FVS122" s="41"/>
      <c r="FVT122" s="41"/>
      <c r="FVU122" s="41"/>
      <c r="FVV122" s="41"/>
      <c r="FVW122" s="41"/>
      <c r="FVX122" s="41"/>
      <c r="FVY122" s="41"/>
      <c r="FVZ122" s="41"/>
      <c r="FWA122" s="41"/>
      <c r="FWB122" s="41"/>
      <c r="FWC122" s="41"/>
      <c r="FWD122" s="41"/>
      <c r="FWE122" s="41"/>
      <c r="FWF122" s="41"/>
      <c r="FWG122" s="41"/>
      <c r="FWH122" s="41"/>
      <c r="FWI122" s="41"/>
      <c r="FWJ122" s="41"/>
      <c r="FWK122" s="41"/>
      <c r="FWL122" s="41"/>
      <c r="FWM122" s="41"/>
      <c r="FWN122" s="41"/>
      <c r="FWO122" s="41"/>
      <c r="FWP122" s="41"/>
      <c r="FWQ122" s="41"/>
      <c r="FWR122" s="41"/>
      <c r="FWS122" s="41"/>
      <c r="FWT122" s="41"/>
      <c r="FWU122" s="41"/>
      <c r="FWV122" s="41"/>
      <c r="FWW122" s="41"/>
      <c r="FWX122" s="41"/>
      <c r="FWY122" s="41"/>
      <c r="FWZ122" s="41"/>
      <c r="FXA122" s="41"/>
      <c r="FXB122" s="41"/>
      <c r="FXC122" s="41"/>
      <c r="FXD122" s="41"/>
      <c r="FXE122" s="41"/>
      <c r="FXF122" s="41"/>
      <c r="FXG122" s="41"/>
      <c r="FXH122" s="41"/>
      <c r="FXI122" s="41"/>
      <c r="FXJ122" s="41"/>
      <c r="FXK122" s="41"/>
      <c r="FXL122" s="41"/>
      <c r="FXM122" s="41"/>
      <c r="FXN122" s="41"/>
      <c r="FXO122" s="41"/>
      <c r="FXP122" s="41"/>
      <c r="FXQ122" s="41"/>
      <c r="FXR122" s="41"/>
      <c r="FXS122" s="41"/>
      <c r="FXT122" s="41"/>
      <c r="FXU122" s="41"/>
      <c r="FXV122" s="41"/>
      <c r="FXW122" s="41"/>
      <c r="FXX122" s="41"/>
      <c r="FXY122" s="41"/>
      <c r="FXZ122" s="41"/>
      <c r="FYA122" s="41"/>
      <c r="FYB122" s="41"/>
      <c r="FYC122" s="41"/>
      <c r="FYD122" s="41"/>
      <c r="FYE122" s="41"/>
      <c r="FYF122" s="41"/>
      <c r="FYG122" s="41"/>
      <c r="FYH122" s="41"/>
      <c r="FYI122" s="41"/>
      <c r="FYJ122" s="41"/>
      <c r="FYK122" s="41"/>
      <c r="FYL122" s="41"/>
      <c r="FYM122" s="41"/>
      <c r="FYN122" s="41"/>
      <c r="FYO122" s="41"/>
      <c r="FYP122" s="41"/>
      <c r="FYQ122" s="41"/>
      <c r="FYR122" s="41"/>
      <c r="FYS122" s="41"/>
      <c r="FYT122" s="41"/>
      <c r="FYU122" s="41"/>
      <c r="FYV122" s="41"/>
      <c r="FYW122" s="41"/>
      <c r="FYX122" s="41"/>
      <c r="FYY122" s="41"/>
      <c r="FYZ122" s="41"/>
      <c r="FZA122" s="41"/>
      <c r="FZB122" s="41"/>
      <c r="FZC122" s="41"/>
      <c r="FZD122" s="41"/>
      <c r="FZE122" s="41"/>
      <c r="FZF122" s="41"/>
      <c r="FZG122" s="41"/>
      <c r="FZH122" s="41"/>
      <c r="FZI122" s="41"/>
      <c r="FZJ122" s="41"/>
      <c r="FZK122" s="41"/>
      <c r="FZL122" s="41"/>
      <c r="FZM122" s="41"/>
      <c r="FZN122" s="41"/>
      <c r="FZO122" s="41"/>
      <c r="FZP122" s="41"/>
      <c r="FZQ122" s="41"/>
      <c r="FZR122" s="41"/>
      <c r="FZS122" s="41"/>
      <c r="FZT122" s="41"/>
      <c r="FZU122" s="41"/>
      <c r="FZV122" s="41"/>
      <c r="FZW122" s="41"/>
      <c r="FZX122" s="41"/>
      <c r="FZY122" s="41"/>
      <c r="FZZ122" s="41"/>
      <c r="GAA122" s="41"/>
      <c r="GAB122" s="41"/>
      <c r="GAC122" s="41"/>
      <c r="GAD122" s="41"/>
      <c r="GAE122" s="41"/>
      <c r="GAF122" s="41"/>
      <c r="GAG122" s="41"/>
      <c r="GAH122" s="41"/>
      <c r="GAI122" s="41"/>
      <c r="GAJ122" s="41"/>
      <c r="GAK122" s="41"/>
      <c r="GAL122" s="41"/>
      <c r="GAM122" s="41"/>
      <c r="GAN122" s="41"/>
      <c r="GAO122" s="41"/>
      <c r="GAP122" s="41"/>
      <c r="GAQ122" s="41"/>
      <c r="GAR122" s="41"/>
      <c r="GAS122" s="41"/>
      <c r="GAT122" s="41"/>
      <c r="GAU122" s="41"/>
      <c r="GAV122" s="41"/>
      <c r="GAW122" s="41"/>
      <c r="GAX122" s="41"/>
      <c r="GAY122" s="41"/>
      <c r="GAZ122" s="41"/>
      <c r="GBA122" s="41"/>
      <c r="GBB122" s="41"/>
      <c r="GBC122" s="41"/>
      <c r="GBD122" s="41"/>
      <c r="GBE122" s="41"/>
      <c r="GBF122" s="41"/>
      <c r="GBG122" s="41"/>
      <c r="GBH122" s="41"/>
      <c r="GBI122" s="41"/>
      <c r="GBJ122" s="41"/>
      <c r="GBK122" s="41"/>
      <c r="GBL122" s="41"/>
      <c r="GBM122" s="41"/>
      <c r="GBN122" s="41"/>
      <c r="GBO122" s="41"/>
      <c r="GBP122" s="41"/>
      <c r="GBQ122" s="41"/>
      <c r="GBR122" s="41"/>
      <c r="GBS122" s="41"/>
      <c r="GBT122" s="41"/>
      <c r="GBU122" s="41"/>
      <c r="GBV122" s="41"/>
      <c r="GBW122" s="41"/>
      <c r="GBX122" s="41"/>
      <c r="GBY122" s="41"/>
      <c r="GBZ122" s="41"/>
      <c r="GCA122" s="41"/>
      <c r="GCB122" s="41"/>
      <c r="GCC122" s="41"/>
      <c r="GCD122" s="41"/>
      <c r="GCE122" s="41"/>
      <c r="GCF122" s="41"/>
      <c r="GCG122" s="41"/>
      <c r="GCH122" s="41"/>
      <c r="GCI122" s="41"/>
      <c r="GCJ122" s="41"/>
      <c r="GCK122" s="41"/>
      <c r="GCL122" s="41"/>
      <c r="GCM122" s="41"/>
      <c r="GCN122" s="41"/>
      <c r="GCO122" s="41"/>
      <c r="GCP122" s="41"/>
      <c r="GCQ122" s="41"/>
      <c r="GCR122" s="41"/>
      <c r="GCS122" s="41"/>
      <c r="GCT122" s="41"/>
      <c r="GCU122" s="41"/>
      <c r="GCV122" s="41"/>
      <c r="GCW122" s="41"/>
      <c r="GCX122" s="41"/>
      <c r="GCY122" s="41"/>
      <c r="GCZ122" s="41"/>
      <c r="GDA122" s="41"/>
      <c r="GDB122" s="41"/>
      <c r="GDC122" s="41"/>
      <c r="GDD122" s="41"/>
      <c r="GDE122" s="41"/>
      <c r="GDF122" s="41"/>
      <c r="GDG122" s="41"/>
      <c r="GDH122" s="41"/>
      <c r="GDI122" s="41"/>
      <c r="GDJ122" s="41"/>
      <c r="GDK122" s="41"/>
      <c r="GDL122" s="41"/>
      <c r="GDM122" s="41"/>
      <c r="GDN122" s="41"/>
      <c r="GDO122" s="41"/>
      <c r="GDP122" s="41"/>
      <c r="GDQ122" s="41"/>
      <c r="GDR122" s="41"/>
      <c r="GDS122" s="41"/>
      <c r="GDT122" s="41"/>
      <c r="GDU122" s="41"/>
      <c r="GDV122" s="41"/>
      <c r="GDW122" s="41"/>
      <c r="GDX122" s="41"/>
      <c r="GDY122" s="41"/>
      <c r="GDZ122" s="41"/>
      <c r="GEA122" s="41"/>
      <c r="GEB122" s="41"/>
      <c r="GEC122" s="41"/>
      <c r="GED122" s="41"/>
      <c r="GEE122" s="41"/>
      <c r="GEF122" s="41"/>
      <c r="GEG122" s="41"/>
      <c r="GEH122" s="41"/>
      <c r="GEI122" s="41"/>
      <c r="GEJ122" s="41"/>
      <c r="GEK122" s="41"/>
      <c r="GEL122" s="41"/>
      <c r="GEM122" s="41"/>
      <c r="GEN122" s="41"/>
      <c r="GEO122" s="41"/>
      <c r="GEP122" s="41"/>
      <c r="GEQ122" s="41"/>
      <c r="GER122" s="41"/>
      <c r="GES122" s="41"/>
      <c r="GET122" s="41"/>
      <c r="GEU122" s="41"/>
      <c r="GEV122" s="41"/>
      <c r="GEW122" s="41"/>
      <c r="GEX122" s="41"/>
      <c r="GEY122" s="41"/>
      <c r="GEZ122" s="41"/>
      <c r="GFA122" s="41"/>
      <c r="GFB122" s="41"/>
      <c r="GFC122" s="41"/>
      <c r="GFD122" s="41"/>
      <c r="GFE122" s="41"/>
      <c r="GFF122" s="41"/>
      <c r="GFG122" s="41"/>
      <c r="GFH122" s="41"/>
      <c r="GFI122" s="41"/>
      <c r="GFJ122" s="41"/>
      <c r="GFK122" s="41"/>
      <c r="GFL122" s="41"/>
      <c r="GFM122" s="41"/>
      <c r="GFN122" s="41"/>
      <c r="GFO122" s="41"/>
      <c r="GFP122" s="41"/>
      <c r="GFQ122" s="41"/>
      <c r="GFR122" s="41"/>
      <c r="GFS122" s="41"/>
      <c r="GFT122" s="41"/>
      <c r="GFU122" s="41"/>
      <c r="GFV122" s="41"/>
      <c r="GFW122" s="41"/>
      <c r="GFX122" s="41"/>
      <c r="GFY122" s="41"/>
      <c r="GFZ122" s="41"/>
      <c r="GGA122" s="41"/>
      <c r="GGB122" s="41"/>
      <c r="GGC122" s="41"/>
      <c r="GGD122" s="41"/>
      <c r="GGE122" s="41"/>
      <c r="GGF122" s="41"/>
      <c r="GGG122" s="41"/>
      <c r="GGH122" s="41"/>
      <c r="GGI122" s="41"/>
      <c r="GGJ122" s="41"/>
      <c r="GGK122" s="41"/>
      <c r="GGL122" s="41"/>
      <c r="GGM122" s="41"/>
      <c r="GGN122" s="41"/>
      <c r="GGO122" s="41"/>
      <c r="GGP122" s="41"/>
      <c r="GGQ122" s="41"/>
      <c r="GGR122" s="41"/>
      <c r="GGS122" s="41"/>
      <c r="GGT122" s="41"/>
      <c r="GGU122" s="41"/>
      <c r="GGV122" s="41"/>
      <c r="GGW122" s="41"/>
      <c r="GGX122" s="41"/>
      <c r="GGY122" s="41"/>
      <c r="GGZ122" s="41"/>
      <c r="GHA122" s="41"/>
      <c r="GHB122" s="41"/>
      <c r="GHC122" s="41"/>
      <c r="GHD122" s="41"/>
      <c r="GHE122" s="41"/>
      <c r="GHF122" s="41"/>
      <c r="GHG122" s="41"/>
      <c r="GHH122" s="41"/>
      <c r="GHI122" s="41"/>
      <c r="GHJ122" s="41"/>
      <c r="GHK122" s="41"/>
      <c r="GHL122" s="41"/>
      <c r="GHM122" s="41"/>
      <c r="GHN122" s="41"/>
      <c r="GHO122" s="41"/>
      <c r="GHP122" s="41"/>
      <c r="GHQ122" s="41"/>
      <c r="GHR122" s="41"/>
      <c r="GHS122" s="41"/>
      <c r="GHT122" s="41"/>
      <c r="GHU122" s="41"/>
      <c r="GHV122" s="41"/>
      <c r="GHW122" s="41"/>
      <c r="GHX122" s="41"/>
      <c r="GHY122" s="41"/>
      <c r="GHZ122" s="41"/>
      <c r="GIA122" s="41"/>
      <c r="GIB122" s="41"/>
      <c r="GIC122" s="41"/>
      <c r="GID122" s="41"/>
      <c r="GIE122" s="41"/>
      <c r="GIF122" s="41"/>
      <c r="GIG122" s="41"/>
      <c r="GIH122" s="41"/>
      <c r="GII122" s="41"/>
      <c r="GIJ122" s="41"/>
      <c r="GIK122" s="41"/>
      <c r="GIL122" s="41"/>
      <c r="GIM122" s="41"/>
      <c r="GIN122" s="41"/>
      <c r="GIO122" s="41"/>
      <c r="GIP122" s="41"/>
      <c r="GIQ122" s="41"/>
      <c r="GIR122" s="41"/>
      <c r="GIS122" s="41"/>
      <c r="GIT122" s="41"/>
      <c r="GIU122" s="41"/>
      <c r="GIV122" s="41"/>
      <c r="GIW122" s="41"/>
      <c r="GIX122" s="41"/>
      <c r="GIY122" s="41"/>
      <c r="GIZ122" s="41"/>
      <c r="GJA122" s="41"/>
      <c r="GJB122" s="41"/>
      <c r="GJC122" s="41"/>
      <c r="GJD122" s="41"/>
      <c r="GJE122" s="41"/>
      <c r="GJF122" s="41"/>
      <c r="GJG122" s="41"/>
      <c r="GJH122" s="41"/>
      <c r="GJI122" s="41"/>
      <c r="GJJ122" s="41"/>
      <c r="GJK122" s="41"/>
      <c r="GJL122" s="41"/>
      <c r="GJM122" s="41"/>
      <c r="GJN122" s="41"/>
      <c r="GJO122" s="41"/>
      <c r="GJP122" s="41"/>
      <c r="GJQ122" s="41"/>
      <c r="GJR122" s="41"/>
      <c r="GJS122" s="41"/>
      <c r="GJT122" s="41"/>
      <c r="GJU122" s="41"/>
      <c r="GJV122" s="41"/>
      <c r="GJW122" s="41"/>
      <c r="GJX122" s="41"/>
      <c r="GJY122" s="41"/>
      <c r="GJZ122" s="41"/>
      <c r="GKA122" s="41"/>
      <c r="GKB122" s="41"/>
      <c r="GKC122" s="41"/>
      <c r="GKD122" s="41"/>
      <c r="GKE122" s="41"/>
      <c r="GKF122" s="41"/>
      <c r="GKG122" s="41"/>
      <c r="GKH122" s="41"/>
      <c r="GKI122" s="41"/>
      <c r="GKJ122" s="41"/>
      <c r="GKK122" s="41"/>
      <c r="GKL122" s="41"/>
      <c r="GKM122" s="41"/>
      <c r="GKN122" s="41"/>
      <c r="GKO122" s="41"/>
      <c r="GKP122" s="41"/>
      <c r="GKQ122" s="41"/>
      <c r="GKR122" s="41"/>
      <c r="GKS122" s="41"/>
      <c r="GKT122" s="41"/>
      <c r="GKU122" s="41"/>
      <c r="GKV122" s="41"/>
      <c r="GKW122" s="41"/>
      <c r="GKX122" s="41"/>
      <c r="GKY122" s="41"/>
      <c r="GKZ122" s="41"/>
      <c r="GLA122" s="41"/>
      <c r="GLB122" s="41"/>
      <c r="GLC122" s="41"/>
      <c r="GLD122" s="41"/>
      <c r="GLE122" s="41"/>
      <c r="GLF122" s="41"/>
      <c r="GLG122" s="41"/>
      <c r="GLH122" s="41"/>
      <c r="GLI122" s="41"/>
      <c r="GLJ122" s="41"/>
      <c r="GLK122" s="41"/>
      <c r="GLL122" s="41"/>
      <c r="GLM122" s="41"/>
      <c r="GLN122" s="41"/>
      <c r="GLO122" s="41"/>
      <c r="GLP122" s="41"/>
      <c r="GLQ122" s="41"/>
      <c r="GLR122" s="41"/>
      <c r="GLS122" s="41"/>
      <c r="GLT122" s="41"/>
      <c r="GLU122" s="41"/>
      <c r="GLV122" s="41"/>
      <c r="GLW122" s="41"/>
      <c r="GLX122" s="41"/>
      <c r="GLY122" s="41"/>
      <c r="GLZ122" s="41"/>
      <c r="GMA122" s="41"/>
      <c r="GMB122" s="41"/>
      <c r="GMC122" s="41"/>
      <c r="GMD122" s="41"/>
      <c r="GME122" s="41"/>
      <c r="GMF122" s="41"/>
      <c r="GMG122" s="41"/>
      <c r="GMH122" s="41"/>
      <c r="GMI122" s="41"/>
      <c r="GMJ122" s="41"/>
      <c r="GMK122" s="41"/>
      <c r="GML122" s="41"/>
      <c r="GMM122" s="41"/>
      <c r="GMN122" s="41"/>
      <c r="GMO122" s="41"/>
      <c r="GMP122" s="41"/>
      <c r="GMQ122" s="41"/>
      <c r="GMR122" s="41"/>
      <c r="GMS122" s="41"/>
      <c r="GMT122" s="41"/>
      <c r="GMU122" s="41"/>
      <c r="GMV122" s="41"/>
      <c r="GMW122" s="41"/>
      <c r="GMX122" s="41"/>
      <c r="GMY122" s="41"/>
      <c r="GMZ122" s="41"/>
      <c r="GNA122" s="41"/>
      <c r="GNB122" s="41"/>
      <c r="GNC122" s="41"/>
      <c r="GND122" s="41"/>
      <c r="GNE122" s="41"/>
      <c r="GNF122" s="41"/>
      <c r="GNG122" s="41"/>
      <c r="GNH122" s="41"/>
      <c r="GNI122" s="41"/>
      <c r="GNJ122" s="41"/>
      <c r="GNK122" s="41"/>
      <c r="GNL122" s="41"/>
      <c r="GNM122" s="41"/>
      <c r="GNN122" s="41"/>
      <c r="GNO122" s="41"/>
      <c r="GNP122" s="41"/>
      <c r="GNQ122" s="41"/>
      <c r="GNR122" s="41"/>
      <c r="GNS122" s="41"/>
      <c r="GNT122" s="41"/>
      <c r="GNU122" s="41"/>
      <c r="GNV122" s="41"/>
      <c r="GNW122" s="41"/>
      <c r="GNX122" s="41"/>
      <c r="GNY122" s="41"/>
      <c r="GNZ122" s="41"/>
      <c r="GOA122" s="41"/>
      <c r="GOB122" s="41"/>
      <c r="GOC122" s="41"/>
      <c r="GOD122" s="41"/>
      <c r="GOE122" s="41"/>
      <c r="GOF122" s="41"/>
      <c r="GOG122" s="41"/>
      <c r="GOH122" s="41"/>
      <c r="GOI122" s="41"/>
      <c r="GOJ122" s="41"/>
      <c r="GOK122" s="41"/>
      <c r="GOL122" s="41"/>
      <c r="GOM122" s="41"/>
      <c r="GON122" s="41"/>
      <c r="GOO122" s="41"/>
      <c r="GOP122" s="41"/>
      <c r="GOQ122" s="41"/>
      <c r="GOR122" s="41"/>
      <c r="GOS122" s="41"/>
      <c r="GOT122" s="41"/>
      <c r="GOU122" s="41"/>
      <c r="GOV122" s="41"/>
      <c r="GOW122" s="41"/>
      <c r="GOX122" s="41"/>
      <c r="GOY122" s="41"/>
      <c r="GOZ122" s="41"/>
      <c r="GPA122" s="41"/>
      <c r="GPB122" s="41"/>
      <c r="GPC122" s="41"/>
      <c r="GPD122" s="41"/>
      <c r="GPE122" s="41"/>
      <c r="GPF122" s="41"/>
      <c r="GPG122" s="41"/>
      <c r="GPH122" s="41"/>
      <c r="GPI122" s="41"/>
      <c r="GPJ122" s="41"/>
      <c r="GPK122" s="41"/>
      <c r="GPL122" s="41"/>
      <c r="GPM122" s="41"/>
      <c r="GPN122" s="41"/>
      <c r="GPO122" s="41"/>
      <c r="GPP122" s="41"/>
      <c r="GPQ122" s="41"/>
      <c r="GPR122" s="41"/>
      <c r="GPS122" s="41"/>
      <c r="GPT122" s="41"/>
      <c r="GPU122" s="41"/>
      <c r="GPV122" s="41"/>
      <c r="GPW122" s="41"/>
      <c r="GPX122" s="41"/>
      <c r="GPY122" s="41"/>
      <c r="GPZ122" s="41"/>
      <c r="GQA122" s="41"/>
      <c r="GQB122" s="41"/>
      <c r="GQC122" s="41"/>
      <c r="GQD122" s="41"/>
      <c r="GQE122" s="41"/>
      <c r="GQF122" s="41"/>
      <c r="GQG122" s="41"/>
      <c r="GQH122" s="41"/>
      <c r="GQI122" s="41"/>
      <c r="GQJ122" s="41"/>
      <c r="GQK122" s="41"/>
      <c r="GQL122" s="41"/>
      <c r="GQM122" s="41"/>
      <c r="GQN122" s="41"/>
      <c r="GQO122" s="41"/>
      <c r="GQP122" s="41"/>
      <c r="GQQ122" s="41"/>
      <c r="GQR122" s="41"/>
      <c r="GQS122" s="41"/>
      <c r="GQT122" s="41"/>
      <c r="GQU122" s="41"/>
      <c r="GQV122" s="41"/>
      <c r="GQW122" s="41"/>
      <c r="GQX122" s="41"/>
      <c r="GQY122" s="41"/>
      <c r="GQZ122" s="41"/>
      <c r="GRA122" s="41"/>
      <c r="GRB122" s="41"/>
      <c r="GRC122" s="41"/>
      <c r="GRD122" s="41"/>
      <c r="GRE122" s="41"/>
      <c r="GRF122" s="41"/>
      <c r="GRG122" s="41"/>
      <c r="GRH122" s="41"/>
      <c r="GRI122" s="41"/>
      <c r="GRJ122" s="41"/>
      <c r="GRK122" s="41"/>
      <c r="GRL122" s="41"/>
      <c r="GRM122" s="41"/>
      <c r="GRN122" s="41"/>
      <c r="GRO122" s="41"/>
      <c r="GRP122" s="41"/>
      <c r="GRQ122" s="41"/>
      <c r="GRR122" s="41"/>
      <c r="GRS122" s="41"/>
      <c r="GRT122" s="41"/>
      <c r="GRU122" s="41"/>
      <c r="GRV122" s="41"/>
      <c r="GRW122" s="41"/>
      <c r="GRX122" s="41"/>
      <c r="GRY122" s="41"/>
      <c r="GRZ122" s="41"/>
      <c r="GSA122" s="41"/>
      <c r="GSB122" s="41"/>
      <c r="GSC122" s="41"/>
      <c r="GSD122" s="41"/>
      <c r="GSE122" s="41"/>
      <c r="GSF122" s="41"/>
      <c r="GSG122" s="41"/>
      <c r="GSH122" s="41"/>
      <c r="GSI122" s="41"/>
      <c r="GSJ122" s="41"/>
      <c r="GSK122" s="41"/>
      <c r="GSL122" s="41"/>
      <c r="GSM122" s="41"/>
      <c r="GSN122" s="41"/>
      <c r="GSO122" s="41"/>
      <c r="GSP122" s="41"/>
      <c r="GSQ122" s="41"/>
      <c r="GSR122" s="41"/>
      <c r="GSS122" s="41"/>
      <c r="GST122" s="41"/>
      <c r="GSU122" s="41"/>
      <c r="GSV122" s="41"/>
      <c r="GSW122" s="41"/>
      <c r="GSX122" s="41"/>
      <c r="GSY122" s="41"/>
      <c r="GSZ122" s="41"/>
      <c r="GTA122" s="41"/>
      <c r="GTB122" s="41"/>
      <c r="GTC122" s="41"/>
      <c r="GTD122" s="41"/>
      <c r="GTE122" s="41"/>
      <c r="GTF122" s="41"/>
      <c r="GTG122" s="41"/>
      <c r="GTH122" s="41"/>
      <c r="GTI122" s="41"/>
      <c r="GTJ122" s="41"/>
      <c r="GTK122" s="41"/>
      <c r="GTL122" s="41"/>
      <c r="GTM122" s="41"/>
      <c r="GTN122" s="41"/>
      <c r="GTO122" s="41"/>
      <c r="GTP122" s="41"/>
      <c r="GTQ122" s="41"/>
      <c r="GTR122" s="41"/>
      <c r="GTS122" s="41"/>
      <c r="GTT122" s="41"/>
      <c r="GTU122" s="41"/>
      <c r="GTV122" s="41"/>
      <c r="GTW122" s="41"/>
      <c r="GTX122" s="41"/>
      <c r="GTY122" s="41"/>
      <c r="GTZ122" s="41"/>
      <c r="GUA122" s="41"/>
      <c r="GUB122" s="41"/>
      <c r="GUC122" s="41"/>
      <c r="GUD122" s="41"/>
      <c r="GUE122" s="41"/>
      <c r="GUF122" s="41"/>
      <c r="GUG122" s="41"/>
      <c r="GUH122" s="41"/>
      <c r="GUI122" s="41"/>
      <c r="GUJ122" s="41"/>
      <c r="GUK122" s="41"/>
      <c r="GUL122" s="41"/>
      <c r="GUM122" s="41"/>
      <c r="GUN122" s="41"/>
      <c r="GUO122" s="41"/>
      <c r="GUP122" s="41"/>
      <c r="GUQ122" s="41"/>
      <c r="GUR122" s="41"/>
      <c r="GUS122" s="41"/>
      <c r="GUT122" s="41"/>
      <c r="GUU122" s="41"/>
      <c r="GUV122" s="41"/>
      <c r="GUW122" s="41"/>
      <c r="GUX122" s="41"/>
      <c r="GUY122" s="41"/>
      <c r="GUZ122" s="41"/>
      <c r="GVA122" s="41"/>
      <c r="GVB122" s="41"/>
      <c r="GVC122" s="41"/>
      <c r="GVD122" s="41"/>
      <c r="GVE122" s="41"/>
      <c r="GVF122" s="41"/>
      <c r="GVG122" s="41"/>
      <c r="GVH122" s="41"/>
      <c r="GVI122" s="41"/>
      <c r="GVJ122" s="41"/>
      <c r="GVK122" s="41"/>
      <c r="GVL122" s="41"/>
      <c r="GVM122" s="41"/>
      <c r="GVN122" s="41"/>
      <c r="GVO122" s="41"/>
      <c r="GVP122" s="41"/>
      <c r="GVQ122" s="41"/>
      <c r="GVR122" s="41"/>
      <c r="GVS122" s="41"/>
      <c r="GVT122" s="41"/>
      <c r="GVU122" s="41"/>
      <c r="GVV122" s="41"/>
      <c r="GVW122" s="41"/>
      <c r="GVX122" s="41"/>
      <c r="GVY122" s="41"/>
      <c r="GVZ122" s="41"/>
      <c r="GWA122" s="41"/>
      <c r="GWB122" s="41"/>
      <c r="GWC122" s="41"/>
      <c r="GWD122" s="41"/>
      <c r="GWE122" s="41"/>
      <c r="GWF122" s="41"/>
      <c r="GWG122" s="41"/>
      <c r="GWH122" s="41"/>
      <c r="GWI122" s="41"/>
      <c r="GWJ122" s="41"/>
      <c r="GWK122" s="41"/>
      <c r="GWL122" s="41"/>
      <c r="GWM122" s="41"/>
      <c r="GWN122" s="41"/>
      <c r="GWO122" s="41"/>
      <c r="GWP122" s="41"/>
      <c r="GWQ122" s="41"/>
      <c r="GWR122" s="41"/>
      <c r="GWS122" s="41"/>
      <c r="GWT122" s="41"/>
      <c r="GWU122" s="41"/>
      <c r="GWV122" s="41"/>
      <c r="GWW122" s="41"/>
      <c r="GWX122" s="41"/>
      <c r="GWY122" s="41"/>
      <c r="GWZ122" s="41"/>
      <c r="GXA122" s="41"/>
      <c r="GXB122" s="41"/>
      <c r="GXC122" s="41"/>
      <c r="GXD122" s="41"/>
      <c r="GXE122" s="41"/>
      <c r="GXF122" s="41"/>
      <c r="GXG122" s="41"/>
      <c r="GXH122" s="41"/>
      <c r="GXI122" s="41"/>
      <c r="GXJ122" s="41"/>
      <c r="GXK122" s="41"/>
      <c r="GXL122" s="41"/>
      <c r="GXM122" s="41"/>
      <c r="GXN122" s="41"/>
      <c r="GXO122" s="41"/>
      <c r="GXP122" s="41"/>
      <c r="GXQ122" s="41"/>
      <c r="GXR122" s="41"/>
      <c r="GXS122" s="41"/>
      <c r="GXT122" s="41"/>
      <c r="GXU122" s="41"/>
      <c r="GXV122" s="41"/>
      <c r="GXW122" s="41"/>
      <c r="GXX122" s="41"/>
      <c r="GXY122" s="41"/>
      <c r="GXZ122" s="41"/>
      <c r="GYA122" s="41"/>
      <c r="GYB122" s="41"/>
      <c r="GYC122" s="41"/>
      <c r="GYD122" s="41"/>
      <c r="GYE122" s="41"/>
      <c r="GYF122" s="41"/>
      <c r="GYG122" s="41"/>
      <c r="GYH122" s="41"/>
      <c r="GYI122" s="41"/>
      <c r="GYJ122" s="41"/>
      <c r="GYK122" s="41"/>
      <c r="GYL122" s="41"/>
      <c r="GYM122" s="41"/>
      <c r="GYN122" s="41"/>
      <c r="GYO122" s="41"/>
      <c r="GYP122" s="41"/>
      <c r="GYQ122" s="41"/>
      <c r="GYR122" s="41"/>
      <c r="GYS122" s="41"/>
      <c r="GYT122" s="41"/>
      <c r="GYU122" s="41"/>
      <c r="GYV122" s="41"/>
      <c r="GYW122" s="41"/>
      <c r="GYX122" s="41"/>
      <c r="GYY122" s="41"/>
      <c r="GYZ122" s="41"/>
      <c r="GZA122" s="41"/>
      <c r="GZB122" s="41"/>
      <c r="GZC122" s="41"/>
      <c r="GZD122" s="41"/>
      <c r="GZE122" s="41"/>
      <c r="GZF122" s="41"/>
      <c r="GZG122" s="41"/>
      <c r="GZH122" s="41"/>
      <c r="GZI122" s="41"/>
      <c r="GZJ122" s="41"/>
      <c r="GZK122" s="41"/>
      <c r="GZL122" s="41"/>
      <c r="GZM122" s="41"/>
      <c r="GZN122" s="41"/>
      <c r="GZO122" s="41"/>
      <c r="GZP122" s="41"/>
      <c r="GZQ122" s="41"/>
      <c r="GZR122" s="41"/>
      <c r="GZS122" s="41"/>
      <c r="GZT122" s="41"/>
      <c r="GZU122" s="41"/>
      <c r="GZV122" s="41"/>
      <c r="GZW122" s="41"/>
      <c r="GZX122" s="41"/>
      <c r="GZY122" s="41"/>
      <c r="GZZ122" s="41"/>
      <c r="HAA122" s="41"/>
      <c r="HAB122" s="41"/>
      <c r="HAC122" s="41"/>
      <c r="HAD122" s="41"/>
      <c r="HAE122" s="41"/>
      <c r="HAF122" s="41"/>
      <c r="HAG122" s="41"/>
      <c r="HAH122" s="41"/>
      <c r="HAI122" s="41"/>
      <c r="HAJ122" s="41"/>
      <c r="HAK122" s="41"/>
      <c r="HAL122" s="41"/>
      <c r="HAM122" s="41"/>
      <c r="HAN122" s="41"/>
      <c r="HAO122" s="41"/>
      <c r="HAP122" s="41"/>
      <c r="HAQ122" s="41"/>
      <c r="HAR122" s="41"/>
      <c r="HAS122" s="41"/>
      <c r="HAT122" s="41"/>
      <c r="HAU122" s="41"/>
      <c r="HAV122" s="41"/>
      <c r="HAW122" s="41"/>
      <c r="HAX122" s="41"/>
      <c r="HAY122" s="41"/>
      <c r="HAZ122" s="41"/>
      <c r="HBA122" s="41"/>
      <c r="HBB122" s="41"/>
      <c r="HBC122" s="41"/>
      <c r="HBD122" s="41"/>
      <c r="HBE122" s="41"/>
      <c r="HBF122" s="41"/>
      <c r="HBG122" s="41"/>
      <c r="HBH122" s="41"/>
      <c r="HBI122" s="41"/>
      <c r="HBJ122" s="41"/>
      <c r="HBK122" s="41"/>
      <c r="HBL122" s="41"/>
      <c r="HBM122" s="41"/>
      <c r="HBN122" s="41"/>
      <c r="HBO122" s="41"/>
      <c r="HBP122" s="41"/>
      <c r="HBQ122" s="41"/>
      <c r="HBR122" s="41"/>
      <c r="HBS122" s="41"/>
      <c r="HBT122" s="41"/>
      <c r="HBU122" s="41"/>
      <c r="HBV122" s="41"/>
      <c r="HBW122" s="41"/>
      <c r="HBX122" s="41"/>
      <c r="HBY122" s="41"/>
      <c r="HBZ122" s="41"/>
      <c r="HCA122" s="41"/>
      <c r="HCB122" s="41"/>
      <c r="HCC122" s="41"/>
      <c r="HCD122" s="41"/>
      <c r="HCE122" s="41"/>
      <c r="HCF122" s="41"/>
      <c r="HCG122" s="41"/>
      <c r="HCH122" s="41"/>
      <c r="HCI122" s="41"/>
      <c r="HCJ122" s="41"/>
      <c r="HCK122" s="41"/>
      <c r="HCL122" s="41"/>
      <c r="HCM122" s="41"/>
      <c r="HCN122" s="41"/>
      <c r="HCO122" s="41"/>
      <c r="HCP122" s="41"/>
      <c r="HCQ122" s="41"/>
      <c r="HCR122" s="41"/>
      <c r="HCS122" s="41"/>
      <c r="HCT122" s="41"/>
      <c r="HCU122" s="41"/>
      <c r="HCV122" s="41"/>
      <c r="HCW122" s="41"/>
      <c r="HCX122" s="41"/>
      <c r="HCY122" s="41"/>
      <c r="HCZ122" s="41"/>
      <c r="HDA122" s="41"/>
      <c r="HDB122" s="41"/>
      <c r="HDC122" s="41"/>
      <c r="HDD122" s="41"/>
      <c r="HDE122" s="41"/>
      <c r="HDF122" s="41"/>
      <c r="HDG122" s="41"/>
      <c r="HDH122" s="41"/>
      <c r="HDI122" s="41"/>
      <c r="HDJ122" s="41"/>
      <c r="HDK122" s="41"/>
      <c r="HDL122" s="41"/>
      <c r="HDM122" s="41"/>
      <c r="HDN122" s="41"/>
      <c r="HDO122" s="41"/>
      <c r="HDP122" s="41"/>
      <c r="HDQ122" s="41"/>
      <c r="HDR122" s="41"/>
      <c r="HDS122" s="41"/>
      <c r="HDT122" s="41"/>
      <c r="HDU122" s="41"/>
      <c r="HDV122" s="41"/>
      <c r="HDW122" s="41"/>
      <c r="HDX122" s="41"/>
      <c r="HDY122" s="41"/>
      <c r="HDZ122" s="41"/>
      <c r="HEA122" s="41"/>
      <c r="HEB122" s="41"/>
      <c r="HEC122" s="41"/>
      <c r="HED122" s="41"/>
      <c r="HEE122" s="41"/>
      <c r="HEF122" s="41"/>
      <c r="HEG122" s="41"/>
      <c r="HEH122" s="41"/>
      <c r="HEI122" s="41"/>
      <c r="HEJ122" s="41"/>
      <c r="HEK122" s="41"/>
      <c r="HEL122" s="41"/>
      <c r="HEM122" s="41"/>
      <c r="HEN122" s="41"/>
      <c r="HEO122" s="41"/>
      <c r="HEP122" s="41"/>
      <c r="HEQ122" s="41"/>
      <c r="HER122" s="41"/>
      <c r="HES122" s="41"/>
      <c r="HET122" s="41"/>
      <c r="HEU122" s="41"/>
      <c r="HEV122" s="41"/>
      <c r="HEW122" s="41"/>
      <c r="HEX122" s="41"/>
      <c r="HEY122" s="41"/>
      <c r="HEZ122" s="41"/>
      <c r="HFA122" s="41"/>
      <c r="HFB122" s="41"/>
      <c r="HFC122" s="41"/>
      <c r="HFD122" s="41"/>
      <c r="HFE122" s="41"/>
      <c r="HFF122" s="41"/>
      <c r="HFG122" s="41"/>
      <c r="HFH122" s="41"/>
      <c r="HFI122" s="41"/>
      <c r="HFJ122" s="41"/>
      <c r="HFK122" s="41"/>
      <c r="HFL122" s="41"/>
      <c r="HFM122" s="41"/>
      <c r="HFN122" s="41"/>
      <c r="HFO122" s="41"/>
      <c r="HFP122" s="41"/>
      <c r="HFQ122" s="41"/>
      <c r="HFR122" s="41"/>
      <c r="HFS122" s="41"/>
      <c r="HFT122" s="41"/>
      <c r="HFU122" s="41"/>
      <c r="HFV122" s="41"/>
      <c r="HFW122" s="41"/>
      <c r="HFX122" s="41"/>
      <c r="HFY122" s="41"/>
      <c r="HFZ122" s="41"/>
      <c r="HGA122" s="41"/>
      <c r="HGB122" s="41"/>
      <c r="HGC122" s="41"/>
      <c r="HGD122" s="41"/>
      <c r="HGE122" s="41"/>
      <c r="HGF122" s="41"/>
      <c r="HGG122" s="41"/>
      <c r="HGH122" s="41"/>
      <c r="HGI122" s="41"/>
      <c r="HGJ122" s="41"/>
      <c r="HGK122" s="41"/>
      <c r="HGL122" s="41"/>
      <c r="HGM122" s="41"/>
      <c r="HGN122" s="41"/>
      <c r="HGO122" s="41"/>
      <c r="HGP122" s="41"/>
      <c r="HGQ122" s="41"/>
      <c r="HGR122" s="41"/>
      <c r="HGS122" s="41"/>
      <c r="HGT122" s="41"/>
      <c r="HGU122" s="41"/>
      <c r="HGV122" s="41"/>
      <c r="HGW122" s="41"/>
      <c r="HGX122" s="41"/>
      <c r="HGY122" s="41"/>
      <c r="HGZ122" s="41"/>
      <c r="HHA122" s="41"/>
      <c r="HHB122" s="41"/>
      <c r="HHC122" s="41"/>
      <c r="HHD122" s="41"/>
      <c r="HHE122" s="41"/>
      <c r="HHF122" s="41"/>
      <c r="HHG122" s="41"/>
      <c r="HHH122" s="41"/>
      <c r="HHI122" s="41"/>
      <c r="HHJ122" s="41"/>
      <c r="HHK122" s="41"/>
      <c r="HHL122" s="41"/>
      <c r="HHM122" s="41"/>
      <c r="HHN122" s="41"/>
      <c r="HHO122" s="41"/>
      <c r="HHP122" s="41"/>
      <c r="HHQ122" s="41"/>
      <c r="HHR122" s="41"/>
      <c r="HHS122" s="41"/>
      <c r="HHT122" s="41"/>
      <c r="HHU122" s="41"/>
      <c r="HHV122" s="41"/>
      <c r="HHW122" s="41"/>
      <c r="HHX122" s="41"/>
      <c r="HHY122" s="41"/>
      <c r="HHZ122" s="41"/>
      <c r="HIA122" s="41"/>
      <c r="HIB122" s="41"/>
      <c r="HIC122" s="41"/>
      <c r="HID122" s="41"/>
      <c r="HIE122" s="41"/>
      <c r="HIF122" s="41"/>
      <c r="HIG122" s="41"/>
      <c r="HIH122" s="41"/>
      <c r="HII122" s="41"/>
      <c r="HIJ122" s="41"/>
      <c r="HIK122" s="41"/>
      <c r="HIL122" s="41"/>
      <c r="HIM122" s="41"/>
      <c r="HIN122" s="41"/>
      <c r="HIO122" s="41"/>
      <c r="HIP122" s="41"/>
      <c r="HIQ122" s="41"/>
      <c r="HIR122" s="41"/>
      <c r="HIS122" s="41"/>
      <c r="HIT122" s="41"/>
      <c r="HIU122" s="41"/>
      <c r="HIV122" s="41"/>
      <c r="HIW122" s="41"/>
      <c r="HIX122" s="41"/>
      <c r="HIY122" s="41"/>
      <c r="HIZ122" s="41"/>
      <c r="HJA122" s="41"/>
      <c r="HJB122" s="41"/>
      <c r="HJC122" s="41"/>
      <c r="HJD122" s="41"/>
      <c r="HJE122" s="41"/>
      <c r="HJF122" s="41"/>
      <c r="HJG122" s="41"/>
      <c r="HJH122" s="41"/>
      <c r="HJI122" s="41"/>
      <c r="HJJ122" s="41"/>
      <c r="HJK122" s="41"/>
      <c r="HJL122" s="41"/>
      <c r="HJM122" s="41"/>
      <c r="HJN122" s="41"/>
      <c r="HJO122" s="41"/>
      <c r="HJP122" s="41"/>
      <c r="HJQ122" s="41"/>
      <c r="HJR122" s="41"/>
      <c r="HJS122" s="41"/>
      <c r="HJT122" s="41"/>
      <c r="HJU122" s="41"/>
      <c r="HJV122" s="41"/>
      <c r="HJW122" s="41"/>
      <c r="HJX122" s="41"/>
      <c r="HJY122" s="41"/>
      <c r="HJZ122" s="41"/>
      <c r="HKA122" s="41"/>
      <c r="HKB122" s="41"/>
      <c r="HKC122" s="41"/>
      <c r="HKD122" s="41"/>
      <c r="HKE122" s="41"/>
      <c r="HKF122" s="41"/>
      <c r="HKG122" s="41"/>
      <c r="HKH122" s="41"/>
      <c r="HKI122" s="41"/>
      <c r="HKJ122" s="41"/>
      <c r="HKK122" s="41"/>
      <c r="HKL122" s="41"/>
      <c r="HKM122" s="41"/>
      <c r="HKN122" s="41"/>
      <c r="HKO122" s="41"/>
      <c r="HKP122" s="41"/>
      <c r="HKQ122" s="41"/>
      <c r="HKR122" s="41"/>
      <c r="HKS122" s="41"/>
      <c r="HKT122" s="41"/>
      <c r="HKU122" s="41"/>
      <c r="HKV122" s="41"/>
      <c r="HKW122" s="41"/>
      <c r="HKX122" s="41"/>
      <c r="HKY122" s="41"/>
      <c r="HKZ122" s="41"/>
      <c r="HLA122" s="41"/>
      <c r="HLB122" s="41"/>
      <c r="HLC122" s="41"/>
      <c r="HLD122" s="41"/>
      <c r="HLE122" s="41"/>
      <c r="HLF122" s="41"/>
      <c r="HLG122" s="41"/>
      <c r="HLH122" s="41"/>
      <c r="HLI122" s="41"/>
      <c r="HLJ122" s="41"/>
      <c r="HLK122" s="41"/>
      <c r="HLL122" s="41"/>
      <c r="HLM122" s="41"/>
      <c r="HLN122" s="41"/>
      <c r="HLO122" s="41"/>
      <c r="HLP122" s="41"/>
      <c r="HLQ122" s="41"/>
      <c r="HLR122" s="41"/>
      <c r="HLS122" s="41"/>
      <c r="HLT122" s="41"/>
      <c r="HLU122" s="41"/>
      <c r="HLV122" s="41"/>
      <c r="HLW122" s="41"/>
      <c r="HLX122" s="41"/>
      <c r="HLY122" s="41"/>
      <c r="HLZ122" s="41"/>
      <c r="HMA122" s="41"/>
      <c r="HMB122" s="41"/>
      <c r="HMC122" s="41"/>
      <c r="HMD122" s="41"/>
      <c r="HME122" s="41"/>
      <c r="HMF122" s="41"/>
      <c r="HMG122" s="41"/>
      <c r="HMH122" s="41"/>
      <c r="HMI122" s="41"/>
      <c r="HMJ122" s="41"/>
      <c r="HMK122" s="41"/>
      <c r="HML122" s="41"/>
      <c r="HMM122" s="41"/>
      <c r="HMN122" s="41"/>
      <c r="HMO122" s="41"/>
      <c r="HMP122" s="41"/>
      <c r="HMQ122" s="41"/>
      <c r="HMR122" s="41"/>
      <c r="HMS122" s="41"/>
      <c r="HMT122" s="41"/>
      <c r="HMU122" s="41"/>
      <c r="HMV122" s="41"/>
      <c r="HMW122" s="41"/>
      <c r="HMX122" s="41"/>
      <c r="HMY122" s="41"/>
      <c r="HMZ122" s="41"/>
      <c r="HNA122" s="41"/>
      <c r="HNB122" s="41"/>
      <c r="HNC122" s="41"/>
      <c r="HND122" s="41"/>
      <c r="HNE122" s="41"/>
      <c r="HNF122" s="41"/>
      <c r="HNG122" s="41"/>
      <c r="HNH122" s="41"/>
      <c r="HNI122" s="41"/>
      <c r="HNJ122" s="41"/>
      <c r="HNK122" s="41"/>
      <c r="HNL122" s="41"/>
      <c r="HNM122" s="41"/>
      <c r="HNN122" s="41"/>
      <c r="HNO122" s="41"/>
      <c r="HNP122" s="41"/>
      <c r="HNQ122" s="41"/>
      <c r="HNR122" s="41"/>
      <c r="HNS122" s="41"/>
      <c r="HNT122" s="41"/>
      <c r="HNU122" s="41"/>
      <c r="HNV122" s="41"/>
      <c r="HNW122" s="41"/>
      <c r="HNX122" s="41"/>
      <c r="HNY122" s="41"/>
      <c r="HNZ122" s="41"/>
      <c r="HOA122" s="41"/>
      <c r="HOB122" s="41"/>
      <c r="HOC122" s="41"/>
      <c r="HOD122" s="41"/>
      <c r="HOE122" s="41"/>
      <c r="HOF122" s="41"/>
      <c r="HOG122" s="41"/>
      <c r="HOH122" s="41"/>
      <c r="HOI122" s="41"/>
      <c r="HOJ122" s="41"/>
      <c r="HOK122" s="41"/>
      <c r="HOL122" s="41"/>
      <c r="HOM122" s="41"/>
      <c r="HON122" s="41"/>
      <c r="HOO122" s="41"/>
      <c r="HOP122" s="41"/>
      <c r="HOQ122" s="41"/>
      <c r="HOR122" s="41"/>
      <c r="HOS122" s="41"/>
      <c r="HOT122" s="41"/>
      <c r="HOU122" s="41"/>
      <c r="HOV122" s="41"/>
      <c r="HOW122" s="41"/>
      <c r="HOX122" s="41"/>
      <c r="HOY122" s="41"/>
      <c r="HOZ122" s="41"/>
      <c r="HPA122" s="41"/>
      <c r="HPB122" s="41"/>
      <c r="HPC122" s="41"/>
      <c r="HPD122" s="41"/>
      <c r="HPE122" s="41"/>
      <c r="HPF122" s="41"/>
      <c r="HPG122" s="41"/>
      <c r="HPH122" s="41"/>
      <c r="HPI122" s="41"/>
      <c r="HPJ122" s="41"/>
      <c r="HPK122" s="41"/>
      <c r="HPL122" s="41"/>
      <c r="HPM122" s="41"/>
      <c r="HPN122" s="41"/>
      <c r="HPO122" s="41"/>
      <c r="HPP122" s="41"/>
      <c r="HPQ122" s="41"/>
      <c r="HPR122" s="41"/>
      <c r="HPS122" s="41"/>
      <c r="HPT122" s="41"/>
      <c r="HPU122" s="41"/>
      <c r="HPV122" s="41"/>
      <c r="HPW122" s="41"/>
      <c r="HPX122" s="41"/>
      <c r="HPY122" s="41"/>
      <c r="HPZ122" s="41"/>
      <c r="HQA122" s="41"/>
      <c r="HQB122" s="41"/>
      <c r="HQC122" s="41"/>
      <c r="HQD122" s="41"/>
      <c r="HQE122" s="41"/>
      <c r="HQF122" s="41"/>
      <c r="HQG122" s="41"/>
      <c r="HQH122" s="41"/>
      <c r="HQI122" s="41"/>
      <c r="HQJ122" s="41"/>
      <c r="HQK122" s="41"/>
      <c r="HQL122" s="41"/>
      <c r="HQM122" s="41"/>
      <c r="HQN122" s="41"/>
      <c r="HQO122" s="41"/>
      <c r="HQP122" s="41"/>
      <c r="HQQ122" s="41"/>
      <c r="HQR122" s="41"/>
      <c r="HQS122" s="41"/>
      <c r="HQT122" s="41"/>
      <c r="HQU122" s="41"/>
      <c r="HQV122" s="41"/>
      <c r="HQW122" s="41"/>
      <c r="HQX122" s="41"/>
      <c r="HQY122" s="41"/>
      <c r="HQZ122" s="41"/>
      <c r="HRA122" s="41"/>
      <c r="HRB122" s="41"/>
      <c r="HRC122" s="41"/>
      <c r="HRD122" s="41"/>
      <c r="HRE122" s="41"/>
      <c r="HRF122" s="41"/>
      <c r="HRG122" s="41"/>
      <c r="HRH122" s="41"/>
      <c r="HRI122" s="41"/>
      <c r="HRJ122" s="41"/>
      <c r="HRK122" s="41"/>
      <c r="HRL122" s="41"/>
      <c r="HRM122" s="41"/>
      <c r="HRN122" s="41"/>
      <c r="HRO122" s="41"/>
      <c r="HRP122" s="41"/>
      <c r="HRQ122" s="41"/>
      <c r="HRR122" s="41"/>
      <c r="HRS122" s="41"/>
      <c r="HRT122" s="41"/>
      <c r="HRU122" s="41"/>
      <c r="HRV122" s="41"/>
      <c r="HRW122" s="41"/>
      <c r="HRX122" s="41"/>
      <c r="HRY122" s="41"/>
      <c r="HRZ122" s="41"/>
      <c r="HSA122" s="41"/>
      <c r="HSB122" s="41"/>
      <c r="HSC122" s="41"/>
      <c r="HSD122" s="41"/>
      <c r="HSE122" s="41"/>
      <c r="HSF122" s="41"/>
      <c r="HSG122" s="41"/>
      <c r="HSH122" s="41"/>
      <c r="HSI122" s="41"/>
      <c r="HSJ122" s="41"/>
      <c r="HSK122" s="41"/>
      <c r="HSL122" s="41"/>
      <c r="HSM122" s="41"/>
      <c r="HSN122" s="41"/>
      <c r="HSO122" s="41"/>
      <c r="HSP122" s="41"/>
      <c r="HSQ122" s="41"/>
      <c r="HSR122" s="41"/>
      <c r="HSS122" s="41"/>
      <c r="HST122" s="41"/>
      <c r="HSU122" s="41"/>
      <c r="HSV122" s="41"/>
      <c r="HSW122" s="41"/>
      <c r="HSX122" s="41"/>
      <c r="HSY122" s="41"/>
      <c r="HSZ122" s="41"/>
      <c r="HTA122" s="41"/>
      <c r="HTB122" s="41"/>
      <c r="HTC122" s="41"/>
      <c r="HTD122" s="41"/>
      <c r="HTE122" s="41"/>
      <c r="HTF122" s="41"/>
      <c r="HTG122" s="41"/>
      <c r="HTH122" s="41"/>
      <c r="HTI122" s="41"/>
      <c r="HTJ122" s="41"/>
      <c r="HTK122" s="41"/>
      <c r="HTL122" s="41"/>
      <c r="HTM122" s="41"/>
      <c r="HTN122" s="41"/>
      <c r="HTO122" s="41"/>
      <c r="HTP122" s="41"/>
      <c r="HTQ122" s="41"/>
      <c r="HTR122" s="41"/>
      <c r="HTS122" s="41"/>
      <c r="HTT122" s="41"/>
      <c r="HTU122" s="41"/>
      <c r="HTV122" s="41"/>
      <c r="HTW122" s="41"/>
      <c r="HTX122" s="41"/>
      <c r="HTY122" s="41"/>
      <c r="HTZ122" s="41"/>
      <c r="HUA122" s="41"/>
      <c r="HUB122" s="41"/>
      <c r="HUC122" s="41"/>
      <c r="HUD122" s="41"/>
      <c r="HUE122" s="41"/>
      <c r="HUF122" s="41"/>
      <c r="HUG122" s="41"/>
      <c r="HUH122" s="41"/>
      <c r="HUI122" s="41"/>
      <c r="HUJ122" s="41"/>
      <c r="HUK122" s="41"/>
      <c r="HUL122" s="41"/>
      <c r="HUM122" s="41"/>
      <c r="HUN122" s="41"/>
      <c r="HUO122" s="41"/>
      <c r="HUP122" s="41"/>
      <c r="HUQ122" s="41"/>
      <c r="HUR122" s="41"/>
      <c r="HUS122" s="41"/>
      <c r="HUT122" s="41"/>
      <c r="HUU122" s="41"/>
      <c r="HUV122" s="41"/>
      <c r="HUW122" s="41"/>
      <c r="HUX122" s="41"/>
      <c r="HUY122" s="41"/>
      <c r="HUZ122" s="41"/>
      <c r="HVA122" s="41"/>
      <c r="HVB122" s="41"/>
      <c r="HVC122" s="41"/>
      <c r="HVD122" s="41"/>
      <c r="HVE122" s="41"/>
      <c r="HVF122" s="41"/>
      <c r="HVG122" s="41"/>
      <c r="HVH122" s="41"/>
      <c r="HVI122" s="41"/>
      <c r="HVJ122" s="41"/>
      <c r="HVK122" s="41"/>
      <c r="HVL122" s="41"/>
      <c r="HVM122" s="41"/>
      <c r="HVN122" s="41"/>
      <c r="HVO122" s="41"/>
      <c r="HVP122" s="41"/>
      <c r="HVQ122" s="41"/>
      <c r="HVR122" s="41"/>
      <c r="HVS122" s="41"/>
      <c r="HVT122" s="41"/>
      <c r="HVU122" s="41"/>
      <c r="HVV122" s="41"/>
      <c r="HVW122" s="41"/>
      <c r="HVX122" s="41"/>
      <c r="HVY122" s="41"/>
      <c r="HVZ122" s="41"/>
      <c r="HWA122" s="41"/>
      <c r="HWB122" s="41"/>
      <c r="HWC122" s="41"/>
      <c r="HWD122" s="41"/>
      <c r="HWE122" s="41"/>
      <c r="HWF122" s="41"/>
      <c r="HWG122" s="41"/>
      <c r="HWH122" s="41"/>
      <c r="HWI122" s="41"/>
      <c r="HWJ122" s="41"/>
      <c r="HWK122" s="41"/>
      <c r="HWL122" s="41"/>
      <c r="HWM122" s="41"/>
      <c r="HWN122" s="41"/>
      <c r="HWO122" s="41"/>
      <c r="HWP122" s="41"/>
      <c r="HWQ122" s="41"/>
      <c r="HWR122" s="41"/>
      <c r="HWS122" s="41"/>
      <c r="HWT122" s="41"/>
      <c r="HWU122" s="41"/>
      <c r="HWV122" s="41"/>
      <c r="HWW122" s="41"/>
      <c r="HWX122" s="41"/>
      <c r="HWY122" s="41"/>
      <c r="HWZ122" s="41"/>
      <c r="HXA122" s="41"/>
      <c r="HXB122" s="41"/>
      <c r="HXC122" s="41"/>
      <c r="HXD122" s="41"/>
      <c r="HXE122" s="41"/>
      <c r="HXF122" s="41"/>
      <c r="HXG122" s="41"/>
      <c r="HXH122" s="41"/>
      <c r="HXI122" s="41"/>
      <c r="HXJ122" s="41"/>
      <c r="HXK122" s="41"/>
      <c r="HXL122" s="41"/>
      <c r="HXM122" s="41"/>
      <c r="HXN122" s="41"/>
      <c r="HXO122" s="41"/>
      <c r="HXP122" s="41"/>
      <c r="HXQ122" s="41"/>
      <c r="HXR122" s="41"/>
      <c r="HXS122" s="41"/>
      <c r="HXT122" s="41"/>
      <c r="HXU122" s="41"/>
      <c r="HXV122" s="41"/>
      <c r="HXW122" s="41"/>
      <c r="HXX122" s="41"/>
      <c r="HXY122" s="41"/>
      <c r="HXZ122" s="41"/>
      <c r="HYA122" s="41"/>
      <c r="HYB122" s="41"/>
      <c r="HYC122" s="41"/>
      <c r="HYD122" s="41"/>
      <c r="HYE122" s="41"/>
      <c r="HYF122" s="41"/>
      <c r="HYG122" s="41"/>
      <c r="HYH122" s="41"/>
      <c r="HYI122" s="41"/>
      <c r="HYJ122" s="41"/>
      <c r="HYK122" s="41"/>
      <c r="HYL122" s="41"/>
      <c r="HYM122" s="41"/>
      <c r="HYN122" s="41"/>
      <c r="HYO122" s="41"/>
      <c r="HYP122" s="41"/>
      <c r="HYQ122" s="41"/>
      <c r="HYR122" s="41"/>
      <c r="HYS122" s="41"/>
      <c r="HYT122" s="41"/>
      <c r="HYU122" s="41"/>
      <c r="HYV122" s="41"/>
      <c r="HYW122" s="41"/>
      <c r="HYX122" s="41"/>
      <c r="HYY122" s="41"/>
      <c r="HYZ122" s="41"/>
      <c r="HZA122" s="41"/>
      <c r="HZB122" s="41"/>
      <c r="HZC122" s="41"/>
      <c r="HZD122" s="41"/>
      <c r="HZE122" s="41"/>
      <c r="HZF122" s="41"/>
      <c r="HZG122" s="41"/>
      <c r="HZH122" s="41"/>
      <c r="HZI122" s="41"/>
      <c r="HZJ122" s="41"/>
      <c r="HZK122" s="41"/>
      <c r="HZL122" s="41"/>
      <c r="HZM122" s="41"/>
      <c r="HZN122" s="41"/>
      <c r="HZO122" s="41"/>
      <c r="HZP122" s="41"/>
      <c r="HZQ122" s="41"/>
      <c r="HZR122" s="41"/>
      <c r="HZS122" s="41"/>
      <c r="HZT122" s="41"/>
      <c r="HZU122" s="41"/>
      <c r="HZV122" s="41"/>
      <c r="HZW122" s="41"/>
      <c r="HZX122" s="41"/>
      <c r="HZY122" s="41"/>
      <c r="HZZ122" s="41"/>
      <c r="IAA122" s="41"/>
      <c r="IAB122" s="41"/>
      <c r="IAC122" s="41"/>
      <c r="IAD122" s="41"/>
      <c r="IAE122" s="41"/>
      <c r="IAF122" s="41"/>
      <c r="IAG122" s="41"/>
      <c r="IAH122" s="41"/>
      <c r="IAI122" s="41"/>
      <c r="IAJ122" s="41"/>
      <c r="IAK122" s="41"/>
      <c r="IAL122" s="41"/>
      <c r="IAM122" s="41"/>
      <c r="IAN122" s="41"/>
      <c r="IAO122" s="41"/>
      <c r="IAP122" s="41"/>
      <c r="IAQ122" s="41"/>
      <c r="IAR122" s="41"/>
      <c r="IAS122" s="41"/>
      <c r="IAT122" s="41"/>
      <c r="IAU122" s="41"/>
      <c r="IAV122" s="41"/>
      <c r="IAW122" s="41"/>
      <c r="IAX122" s="41"/>
      <c r="IAY122" s="41"/>
      <c r="IAZ122" s="41"/>
      <c r="IBA122" s="41"/>
      <c r="IBB122" s="41"/>
      <c r="IBC122" s="41"/>
      <c r="IBD122" s="41"/>
      <c r="IBE122" s="41"/>
      <c r="IBF122" s="41"/>
      <c r="IBG122" s="41"/>
      <c r="IBH122" s="41"/>
      <c r="IBI122" s="41"/>
      <c r="IBJ122" s="41"/>
      <c r="IBK122" s="41"/>
      <c r="IBL122" s="41"/>
      <c r="IBM122" s="41"/>
      <c r="IBN122" s="41"/>
      <c r="IBO122" s="41"/>
      <c r="IBP122" s="41"/>
      <c r="IBQ122" s="41"/>
      <c r="IBR122" s="41"/>
      <c r="IBS122" s="41"/>
      <c r="IBT122" s="41"/>
      <c r="IBU122" s="41"/>
      <c r="IBV122" s="41"/>
      <c r="IBW122" s="41"/>
      <c r="IBX122" s="41"/>
      <c r="IBY122" s="41"/>
      <c r="IBZ122" s="41"/>
      <c r="ICA122" s="41"/>
      <c r="ICB122" s="41"/>
      <c r="ICC122" s="41"/>
      <c r="ICD122" s="41"/>
      <c r="ICE122" s="41"/>
      <c r="ICF122" s="41"/>
      <c r="ICG122" s="41"/>
      <c r="ICH122" s="41"/>
      <c r="ICI122" s="41"/>
      <c r="ICJ122" s="41"/>
      <c r="ICK122" s="41"/>
      <c r="ICL122" s="41"/>
      <c r="ICM122" s="41"/>
      <c r="ICN122" s="41"/>
      <c r="ICO122" s="41"/>
      <c r="ICP122" s="41"/>
      <c r="ICQ122" s="41"/>
      <c r="ICR122" s="41"/>
      <c r="ICS122" s="41"/>
      <c r="ICT122" s="41"/>
      <c r="ICU122" s="41"/>
      <c r="ICV122" s="41"/>
      <c r="ICW122" s="41"/>
      <c r="ICX122" s="41"/>
      <c r="ICY122" s="41"/>
      <c r="ICZ122" s="41"/>
      <c r="IDA122" s="41"/>
      <c r="IDB122" s="41"/>
      <c r="IDC122" s="41"/>
      <c r="IDD122" s="41"/>
      <c r="IDE122" s="41"/>
      <c r="IDF122" s="41"/>
      <c r="IDG122" s="41"/>
      <c r="IDH122" s="41"/>
      <c r="IDI122" s="41"/>
      <c r="IDJ122" s="41"/>
      <c r="IDK122" s="41"/>
      <c r="IDL122" s="41"/>
      <c r="IDM122" s="41"/>
      <c r="IDN122" s="41"/>
      <c r="IDO122" s="41"/>
      <c r="IDP122" s="41"/>
      <c r="IDQ122" s="41"/>
      <c r="IDR122" s="41"/>
      <c r="IDS122" s="41"/>
      <c r="IDT122" s="41"/>
      <c r="IDU122" s="41"/>
      <c r="IDV122" s="41"/>
      <c r="IDW122" s="41"/>
      <c r="IDX122" s="41"/>
      <c r="IDY122" s="41"/>
      <c r="IDZ122" s="41"/>
      <c r="IEA122" s="41"/>
      <c r="IEB122" s="41"/>
      <c r="IEC122" s="41"/>
      <c r="IED122" s="41"/>
      <c r="IEE122" s="41"/>
      <c r="IEF122" s="41"/>
      <c r="IEG122" s="41"/>
      <c r="IEH122" s="41"/>
      <c r="IEI122" s="41"/>
      <c r="IEJ122" s="41"/>
      <c r="IEK122" s="41"/>
      <c r="IEL122" s="41"/>
      <c r="IEM122" s="41"/>
      <c r="IEN122" s="41"/>
      <c r="IEO122" s="41"/>
      <c r="IEP122" s="41"/>
      <c r="IEQ122" s="41"/>
      <c r="IER122" s="41"/>
      <c r="IES122" s="41"/>
      <c r="IET122" s="41"/>
      <c r="IEU122" s="41"/>
      <c r="IEV122" s="41"/>
      <c r="IEW122" s="41"/>
      <c r="IEX122" s="41"/>
      <c r="IEY122" s="41"/>
      <c r="IEZ122" s="41"/>
      <c r="IFA122" s="41"/>
      <c r="IFB122" s="41"/>
      <c r="IFC122" s="41"/>
      <c r="IFD122" s="41"/>
      <c r="IFE122" s="41"/>
      <c r="IFF122" s="41"/>
      <c r="IFG122" s="41"/>
      <c r="IFH122" s="41"/>
      <c r="IFI122" s="41"/>
      <c r="IFJ122" s="41"/>
      <c r="IFK122" s="41"/>
      <c r="IFL122" s="41"/>
      <c r="IFM122" s="41"/>
      <c r="IFN122" s="41"/>
      <c r="IFO122" s="41"/>
      <c r="IFP122" s="41"/>
      <c r="IFQ122" s="41"/>
      <c r="IFR122" s="41"/>
      <c r="IFS122" s="41"/>
      <c r="IFT122" s="41"/>
      <c r="IFU122" s="41"/>
      <c r="IFV122" s="41"/>
      <c r="IFW122" s="41"/>
      <c r="IFX122" s="41"/>
      <c r="IFY122" s="41"/>
      <c r="IFZ122" s="41"/>
      <c r="IGA122" s="41"/>
      <c r="IGB122" s="41"/>
      <c r="IGC122" s="41"/>
      <c r="IGD122" s="41"/>
      <c r="IGE122" s="41"/>
      <c r="IGF122" s="41"/>
      <c r="IGG122" s="41"/>
      <c r="IGH122" s="41"/>
      <c r="IGI122" s="41"/>
      <c r="IGJ122" s="41"/>
      <c r="IGK122" s="41"/>
      <c r="IGL122" s="41"/>
      <c r="IGM122" s="41"/>
      <c r="IGN122" s="41"/>
      <c r="IGO122" s="41"/>
      <c r="IGP122" s="41"/>
      <c r="IGQ122" s="41"/>
      <c r="IGR122" s="41"/>
      <c r="IGS122" s="41"/>
      <c r="IGT122" s="41"/>
      <c r="IGU122" s="41"/>
      <c r="IGV122" s="41"/>
      <c r="IGW122" s="41"/>
      <c r="IGX122" s="41"/>
      <c r="IGY122" s="41"/>
      <c r="IGZ122" s="41"/>
      <c r="IHA122" s="41"/>
      <c r="IHB122" s="41"/>
      <c r="IHC122" s="41"/>
      <c r="IHD122" s="41"/>
      <c r="IHE122" s="41"/>
      <c r="IHF122" s="41"/>
      <c r="IHG122" s="41"/>
      <c r="IHH122" s="41"/>
      <c r="IHI122" s="41"/>
      <c r="IHJ122" s="41"/>
      <c r="IHK122" s="41"/>
      <c r="IHL122" s="41"/>
      <c r="IHM122" s="41"/>
      <c r="IHN122" s="41"/>
      <c r="IHO122" s="41"/>
      <c r="IHP122" s="41"/>
      <c r="IHQ122" s="41"/>
      <c r="IHR122" s="41"/>
      <c r="IHS122" s="41"/>
      <c r="IHT122" s="41"/>
      <c r="IHU122" s="41"/>
      <c r="IHV122" s="41"/>
      <c r="IHW122" s="41"/>
      <c r="IHX122" s="41"/>
      <c r="IHY122" s="41"/>
      <c r="IHZ122" s="41"/>
      <c r="IIA122" s="41"/>
      <c r="IIB122" s="41"/>
      <c r="IIC122" s="41"/>
      <c r="IID122" s="41"/>
      <c r="IIE122" s="41"/>
      <c r="IIF122" s="41"/>
      <c r="IIG122" s="41"/>
      <c r="IIH122" s="41"/>
      <c r="III122" s="41"/>
      <c r="IIJ122" s="41"/>
      <c r="IIK122" s="41"/>
      <c r="IIL122" s="41"/>
      <c r="IIM122" s="41"/>
      <c r="IIN122" s="41"/>
      <c r="IIO122" s="41"/>
      <c r="IIP122" s="41"/>
      <c r="IIQ122" s="41"/>
      <c r="IIR122" s="41"/>
      <c r="IIS122" s="41"/>
      <c r="IIT122" s="41"/>
      <c r="IIU122" s="41"/>
      <c r="IIV122" s="41"/>
      <c r="IIW122" s="41"/>
      <c r="IIX122" s="41"/>
      <c r="IIY122" s="41"/>
      <c r="IIZ122" s="41"/>
      <c r="IJA122" s="41"/>
      <c r="IJB122" s="41"/>
      <c r="IJC122" s="41"/>
      <c r="IJD122" s="41"/>
      <c r="IJE122" s="41"/>
      <c r="IJF122" s="41"/>
      <c r="IJG122" s="41"/>
      <c r="IJH122" s="41"/>
      <c r="IJI122" s="41"/>
      <c r="IJJ122" s="41"/>
      <c r="IJK122" s="41"/>
      <c r="IJL122" s="41"/>
      <c r="IJM122" s="41"/>
      <c r="IJN122" s="41"/>
      <c r="IJO122" s="41"/>
      <c r="IJP122" s="41"/>
      <c r="IJQ122" s="41"/>
      <c r="IJR122" s="41"/>
      <c r="IJS122" s="41"/>
      <c r="IJT122" s="41"/>
      <c r="IJU122" s="41"/>
      <c r="IJV122" s="41"/>
      <c r="IJW122" s="41"/>
      <c r="IJX122" s="41"/>
      <c r="IJY122" s="41"/>
      <c r="IJZ122" s="41"/>
      <c r="IKA122" s="41"/>
      <c r="IKB122" s="41"/>
      <c r="IKC122" s="41"/>
      <c r="IKD122" s="41"/>
      <c r="IKE122" s="41"/>
      <c r="IKF122" s="41"/>
      <c r="IKG122" s="41"/>
      <c r="IKH122" s="41"/>
      <c r="IKI122" s="41"/>
      <c r="IKJ122" s="41"/>
      <c r="IKK122" s="41"/>
      <c r="IKL122" s="41"/>
      <c r="IKM122" s="41"/>
      <c r="IKN122" s="41"/>
      <c r="IKO122" s="41"/>
      <c r="IKP122" s="41"/>
      <c r="IKQ122" s="41"/>
      <c r="IKR122" s="41"/>
      <c r="IKS122" s="41"/>
      <c r="IKT122" s="41"/>
      <c r="IKU122" s="41"/>
      <c r="IKV122" s="41"/>
      <c r="IKW122" s="41"/>
      <c r="IKX122" s="41"/>
      <c r="IKY122" s="41"/>
      <c r="IKZ122" s="41"/>
      <c r="ILA122" s="41"/>
      <c r="ILB122" s="41"/>
      <c r="ILC122" s="41"/>
      <c r="ILD122" s="41"/>
      <c r="ILE122" s="41"/>
      <c r="ILF122" s="41"/>
      <c r="ILG122" s="41"/>
      <c r="ILH122" s="41"/>
      <c r="ILI122" s="41"/>
      <c r="ILJ122" s="41"/>
      <c r="ILK122" s="41"/>
      <c r="ILL122" s="41"/>
      <c r="ILM122" s="41"/>
      <c r="ILN122" s="41"/>
      <c r="ILO122" s="41"/>
      <c r="ILP122" s="41"/>
      <c r="ILQ122" s="41"/>
      <c r="ILR122" s="41"/>
      <c r="ILS122" s="41"/>
      <c r="ILT122" s="41"/>
      <c r="ILU122" s="41"/>
      <c r="ILV122" s="41"/>
      <c r="ILW122" s="41"/>
      <c r="ILX122" s="41"/>
      <c r="ILY122" s="41"/>
      <c r="ILZ122" s="41"/>
      <c r="IMA122" s="41"/>
      <c r="IMB122" s="41"/>
      <c r="IMC122" s="41"/>
      <c r="IMD122" s="41"/>
      <c r="IME122" s="41"/>
      <c r="IMF122" s="41"/>
      <c r="IMG122" s="41"/>
      <c r="IMH122" s="41"/>
      <c r="IMI122" s="41"/>
      <c r="IMJ122" s="41"/>
      <c r="IMK122" s="41"/>
      <c r="IML122" s="41"/>
      <c r="IMM122" s="41"/>
      <c r="IMN122" s="41"/>
      <c r="IMO122" s="41"/>
      <c r="IMP122" s="41"/>
      <c r="IMQ122" s="41"/>
      <c r="IMR122" s="41"/>
      <c r="IMS122" s="41"/>
      <c r="IMT122" s="41"/>
      <c r="IMU122" s="41"/>
      <c r="IMV122" s="41"/>
      <c r="IMW122" s="41"/>
      <c r="IMX122" s="41"/>
      <c r="IMY122" s="41"/>
      <c r="IMZ122" s="41"/>
      <c r="INA122" s="41"/>
      <c r="INB122" s="41"/>
      <c r="INC122" s="41"/>
      <c r="IND122" s="41"/>
      <c r="INE122" s="41"/>
      <c r="INF122" s="41"/>
      <c r="ING122" s="41"/>
      <c r="INH122" s="41"/>
      <c r="INI122" s="41"/>
      <c r="INJ122" s="41"/>
      <c r="INK122" s="41"/>
      <c r="INL122" s="41"/>
      <c r="INM122" s="41"/>
      <c r="INN122" s="41"/>
      <c r="INO122" s="41"/>
      <c r="INP122" s="41"/>
      <c r="INQ122" s="41"/>
      <c r="INR122" s="41"/>
      <c r="INS122" s="41"/>
      <c r="INT122" s="41"/>
      <c r="INU122" s="41"/>
      <c r="INV122" s="41"/>
      <c r="INW122" s="41"/>
      <c r="INX122" s="41"/>
      <c r="INY122" s="41"/>
      <c r="INZ122" s="41"/>
      <c r="IOA122" s="41"/>
      <c r="IOB122" s="41"/>
      <c r="IOC122" s="41"/>
      <c r="IOD122" s="41"/>
      <c r="IOE122" s="41"/>
      <c r="IOF122" s="41"/>
      <c r="IOG122" s="41"/>
      <c r="IOH122" s="41"/>
      <c r="IOI122" s="41"/>
      <c r="IOJ122" s="41"/>
      <c r="IOK122" s="41"/>
      <c r="IOL122" s="41"/>
      <c r="IOM122" s="41"/>
      <c r="ION122" s="41"/>
      <c r="IOO122" s="41"/>
      <c r="IOP122" s="41"/>
      <c r="IOQ122" s="41"/>
      <c r="IOR122" s="41"/>
      <c r="IOS122" s="41"/>
      <c r="IOT122" s="41"/>
      <c r="IOU122" s="41"/>
      <c r="IOV122" s="41"/>
      <c r="IOW122" s="41"/>
      <c r="IOX122" s="41"/>
      <c r="IOY122" s="41"/>
      <c r="IOZ122" s="41"/>
      <c r="IPA122" s="41"/>
      <c r="IPB122" s="41"/>
      <c r="IPC122" s="41"/>
      <c r="IPD122" s="41"/>
      <c r="IPE122" s="41"/>
      <c r="IPF122" s="41"/>
      <c r="IPG122" s="41"/>
      <c r="IPH122" s="41"/>
      <c r="IPI122" s="41"/>
      <c r="IPJ122" s="41"/>
      <c r="IPK122" s="41"/>
      <c r="IPL122" s="41"/>
      <c r="IPM122" s="41"/>
      <c r="IPN122" s="41"/>
      <c r="IPO122" s="41"/>
      <c r="IPP122" s="41"/>
      <c r="IPQ122" s="41"/>
      <c r="IPR122" s="41"/>
      <c r="IPS122" s="41"/>
      <c r="IPT122" s="41"/>
      <c r="IPU122" s="41"/>
      <c r="IPV122" s="41"/>
      <c r="IPW122" s="41"/>
      <c r="IPX122" s="41"/>
      <c r="IPY122" s="41"/>
      <c r="IPZ122" s="41"/>
      <c r="IQA122" s="41"/>
      <c r="IQB122" s="41"/>
      <c r="IQC122" s="41"/>
      <c r="IQD122" s="41"/>
      <c r="IQE122" s="41"/>
      <c r="IQF122" s="41"/>
      <c r="IQG122" s="41"/>
      <c r="IQH122" s="41"/>
      <c r="IQI122" s="41"/>
      <c r="IQJ122" s="41"/>
      <c r="IQK122" s="41"/>
      <c r="IQL122" s="41"/>
      <c r="IQM122" s="41"/>
      <c r="IQN122" s="41"/>
      <c r="IQO122" s="41"/>
      <c r="IQP122" s="41"/>
      <c r="IQQ122" s="41"/>
      <c r="IQR122" s="41"/>
      <c r="IQS122" s="41"/>
      <c r="IQT122" s="41"/>
      <c r="IQU122" s="41"/>
      <c r="IQV122" s="41"/>
      <c r="IQW122" s="41"/>
      <c r="IQX122" s="41"/>
      <c r="IQY122" s="41"/>
      <c r="IQZ122" s="41"/>
      <c r="IRA122" s="41"/>
      <c r="IRB122" s="41"/>
      <c r="IRC122" s="41"/>
      <c r="IRD122" s="41"/>
      <c r="IRE122" s="41"/>
      <c r="IRF122" s="41"/>
      <c r="IRG122" s="41"/>
      <c r="IRH122" s="41"/>
      <c r="IRI122" s="41"/>
      <c r="IRJ122" s="41"/>
      <c r="IRK122" s="41"/>
      <c r="IRL122" s="41"/>
      <c r="IRM122" s="41"/>
      <c r="IRN122" s="41"/>
      <c r="IRO122" s="41"/>
      <c r="IRP122" s="41"/>
      <c r="IRQ122" s="41"/>
      <c r="IRR122" s="41"/>
      <c r="IRS122" s="41"/>
      <c r="IRT122" s="41"/>
      <c r="IRU122" s="41"/>
      <c r="IRV122" s="41"/>
      <c r="IRW122" s="41"/>
      <c r="IRX122" s="41"/>
      <c r="IRY122" s="41"/>
      <c r="IRZ122" s="41"/>
      <c r="ISA122" s="41"/>
      <c r="ISB122" s="41"/>
      <c r="ISC122" s="41"/>
      <c r="ISD122" s="41"/>
      <c r="ISE122" s="41"/>
      <c r="ISF122" s="41"/>
      <c r="ISG122" s="41"/>
      <c r="ISH122" s="41"/>
      <c r="ISI122" s="41"/>
      <c r="ISJ122" s="41"/>
      <c r="ISK122" s="41"/>
      <c r="ISL122" s="41"/>
      <c r="ISM122" s="41"/>
      <c r="ISN122" s="41"/>
      <c r="ISO122" s="41"/>
      <c r="ISP122" s="41"/>
      <c r="ISQ122" s="41"/>
      <c r="ISR122" s="41"/>
      <c r="ISS122" s="41"/>
      <c r="IST122" s="41"/>
      <c r="ISU122" s="41"/>
      <c r="ISV122" s="41"/>
      <c r="ISW122" s="41"/>
      <c r="ISX122" s="41"/>
      <c r="ISY122" s="41"/>
      <c r="ISZ122" s="41"/>
      <c r="ITA122" s="41"/>
      <c r="ITB122" s="41"/>
      <c r="ITC122" s="41"/>
      <c r="ITD122" s="41"/>
      <c r="ITE122" s="41"/>
      <c r="ITF122" s="41"/>
      <c r="ITG122" s="41"/>
      <c r="ITH122" s="41"/>
      <c r="ITI122" s="41"/>
      <c r="ITJ122" s="41"/>
      <c r="ITK122" s="41"/>
      <c r="ITL122" s="41"/>
      <c r="ITM122" s="41"/>
      <c r="ITN122" s="41"/>
      <c r="ITO122" s="41"/>
      <c r="ITP122" s="41"/>
      <c r="ITQ122" s="41"/>
      <c r="ITR122" s="41"/>
      <c r="ITS122" s="41"/>
      <c r="ITT122" s="41"/>
      <c r="ITU122" s="41"/>
      <c r="ITV122" s="41"/>
      <c r="ITW122" s="41"/>
      <c r="ITX122" s="41"/>
      <c r="ITY122" s="41"/>
      <c r="ITZ122" s="41"/>
      <c r="IUA122" s="41"/>
      <c r="IUB122" s="41"/>
      <c r="IUC122" s="41"/>
      <c r="IUD122" s="41"/>
      <c r="IUE122" s="41"/>
      <c r="IUF122" s="41"/>
      <c r="IUG122" s="41"/>
      <c r="IUH122" s="41"/>
      <c r="IUI122" s="41"/>
      <c r="IUJ122" s="41"/>
      <c r="IUK122" s="41"/>
      <c r="IUL122" s="41"/>
      <c r="IUM122" s="41"/>
      <c r="IUN122" s="41"/>
      <c r="IUO122" s="41"/>
      <c r="IUP122" s="41"/>
      <c r="IUQ122" s="41"/>
      <c r="IUR122" s="41"/>
      <c r="IUS122" s="41"/>
      <c r="IUT122" s="41"/>
      <c r="IUU122" s="41"/>
      <c r="IUV122" s="41"/>
      <c r="IUW122" s="41"/>
      <c r="IUX122" s="41"/>
      <c r="IUY122" s="41"/>
      <c r="IUZ122" s="41"/>
      <c r="IVA122" s="41"/>
      <c r="IVB122" s="41"/>
      <c r="IVC122" s="41"/>
      <c r="IVD122" s="41"/>
      <c r="IVE122" s="41"/>
      <c r="IVF122" s="41"/>
      <c r="IVG122" s="41"/>
      <c r="IVH122" s="41"/>
      <c r="IVI122" s="41"/>
      <c r="IVJ122" s="41"/>
      <c r="IVK122" s="41"/>
      <c r="IVL122" s="41"/>
      <c r="IVM122" s="41"/>
      <c r="IVN122" s="41"/>
      <c r="IVO122" s="41"/>
      <c r="IVP122" s="41"/>
      <c r="IVQ122" s="41"/>
      <c r="IVR122" s="41"/>
      <c r="IVS122" s="41"/>
      <c r="IVT122" s="41"/>
      <c r="IVU122" s="41"/>
      <c r="IVV122" s="41"/>
      <c r="IVW122" s="41"/>
      <c r="IVX122" s="41"/>
      <c r="IVY122" s="41"/>
      <c r="IVZ122" s="41"/>
      <c r="IWA122" s="41"/>
      <c r="IWB122" s="41"/>
      <c r="IWC122" s="41"/>
      <c r="IWD122" s="41"/>
      <c r="IWE122" s="41"/>
      <c r="IWF122" s="41"/>
      <c r="IWG122" s="41"/>
      <c r="IWH122" s="41"/>
      <c r="IWI122" s="41"/>
      <c r="IWJ122" s="41"/>
      <c r="IWK122" s="41"/>
      <c r="IWL122" s="41"/>
      <c r="IWM122" s="41"/>
      <c r="IWN122" s="41"/>
      <c r="IWO122" s="41"/>
      <c r="IWP122" s="41"/>
      <c r="IWQ122" s="41"/>
      <c r="IWR122" s="41"/>
      <c r="IWS122" s="41"/>
      <c r="IWT122" s="41"/>
      <c r="IWU122" s="41"/>
      <c r="IWV122" s="41"/>
      <c r="IWW122" s="41"/>
      <c r="IWX122" s="41"/>
      <c r="IWY122" s="41"/>
      <c r="IWZ122" s="41"/>
      <c r="IXA122" s="41"/>
      <c r="IXB122" s="41"/>
      <c r="IXC122" s="41"/>
      <c r="IXD122" s="41"/>
      <c r="IXE122" s="41"/>
      <c r="IXF122" s="41"/>
      <c r="IXG122" s="41"/>
      <c r="IXH122" s="41"/>
      <c r="IXI122" s="41"/>
      <c r="IXJ122" s="41"/>
      <c r="IXK122" s="41"/>
      <c r="IXL122" s="41"/>
      <c r="IXM122" s="41"/>
      <c r="IXN122" s="41"/>
      <c r="IXO122" s="41"/>
      <c r="IXP122" s="41"/>
      <c r="IXQ122" s="41"/>
      <c r="IXR122" s="41"/>
      <c r="IXS122" s="41"/>
      <c r="IXT122" s="41"/>
      <c r="IXU122" s="41"/>
      <c r="IXV122" s="41"/>
      <c r="IXW122" s="41"/>
      <c r="IXX122" s="41"/>
      <c r="IXY122" s="41"/>
      <c r="IXZ122" s="41"/>
      <c r="IYA122" s="41"/>
      <c r="IYB122" s="41"/>
      <c r="IYC122" s="41"/>
      <c r="IYD122" s="41"/>
      <c r="IYE122" s="41"/>
      <c r="IYF122" s="41"/>
      <c r="IYG122" s="41"/>
      <c r="IYH122" s="41"/>
      <c r="IYI122" s="41"/>
      <c r="IYJ122" s="41"/>
      <c r="IYK122" s="41"/>
      <c r="IYL122" s="41"/>
      <c r="IYM122" s="41"/>
      <c r="IYN122" s="41"/>
      <c r="IYO122" s="41"/>
      <c r="IYP122" s="41"/>
      <c r="IYQ122" s="41"/>
      <c r="IYR122" s="41"/>
      <c r="IYS122" s="41"/>
      <c r="IYT122" s="41"/>
      <c r="IYU122" s="41"/>
      <c r="IYV122" s="41"/>
      <c r="IYW122" s="41"/>
      <c r="IYX122" s="41"/>
      <c r="IYY122" s="41"/>
      <c r="IYZ122" s="41"/>
      <c r="IZA122" s="41"/>
      <c r="IZB122" s="41"/>
      <c r="IZC122" s="41"/>
      <c r="IZD122" s="41"/>
      <c r="IZE122" s="41"/>
      <c r="IZF122" s="41"/>
      <c r="IZG122" s="41"/>
      <c r="IZH122" s="41"/>
      <c r="IZI122" s="41"/>
      <c r="IZJ122" s="41"/>
      <c r="IZK122" s="41"/>
      <c r="IZL122" s="41"/>
      <c r="IZM122" s="41"/>
      <c r="IZN122" s="41"/>
      <c r="IZO122" s="41"/>
      <c r="IZP122" s="41"/>
      <c r="IZQ122" s="41"/>
      <c r="IZR122" s="41"/>
      <c r="IZS122" s="41"/>
      <c r="IZT122" s="41"/>
      <c r="IZU122" s="41"/>
      <c r="IZV122" s="41"/>
      <c r="IZW122" s="41"/>
      <c r="IZX122" s="41"/>
      <c r="IZY122" s="41"/>
      <c r="IZZ122" s="41"/>
      <c r="JAA122" s="41"/>
      <c r="JAB122" s="41"/>
      <c r="JAC122" s="41"/>
      <c r="JAD122" s="41"/>
      <c r="JAE122" s="41"/>
      <c r="JAF122" s="41"/>
      <c r="JAG122" s="41"/>
      <c r="JAH122" s="41"/>
      <c r="JAI122" s="41"/>
      <c r="JAJ122" s="41"/>
      <c r="JAK122" s="41"/>
      <c r="JAL122" s="41"/>
      <c r="JAM122" s="41"/>
      <c r="JAN122" s="41"/>
      <c r="JAO122" s="41"/>
      <c r="JAP122" s="41"/>
      <c r="JAQ122" s="41"/>
      <c r="JAR122" s="41"/>
      <c r="JAS122" s="41"/>
      <c r="JAT122" s="41"/>
      <c r="JAU122" s="41"/>
      <c r="JAV122" s="41"/>
      <c r="JAW122" s="41"/>
      <c r="JAX122" s="41"/>
      <c r="JAY122" s="41"/>
      <c r="JAZ122" s="41"/>
      <c r="JBA122" s="41"/>
      <c r="JBB122" s="41"/>
      <c r="JBC122" s="41"/>
      <c r="JBD122" s="41"/>
      <c r="JBE122" s="41"/>
      <c r="JBF122" s="41"/>
      <c r="JBG122" s="41"/>
      <c r="JBH122" s="41"/>
      <c r="JBI122" s="41"/>
      <c r="JBJ122" s="41"/>
      <c r="JBK122" s="41"/>
      <c r="JBL122" s="41"/>
      <c r="JBM122" s="41"/>
      <c r="JBN122" s="41"/>
      <c r="JBO122" s="41"/>
      <c r="JBP122" s="41"/>
      <c r="JBQ122" s="41"/>
      <c r="JBR122" s="41"/>
      <c r="JBS122" s="41"/>
      <c r="JBT122" s="41"/>
      <c r="JBU122" s="41"/>
      <c r="JBV122" s="41"/>
      <c r="JBW122" s="41"/>
      <c r="JBX122" s="41"/>
      <c r="JBY122" s="41"/>
      <c r="JBZ122" s="41"/>
      <c r="JCA122" s="41"/>
      <c r="JCB122" s="41"/>
      <c r="JCC122" s="41"/>
      <c r="JCD122" s="41"/>
      <c r="JCE122" s="41"/>
      <c r="JCF122" s="41"/>
      <c r="JCG122" s="41"/>
      <c r="JCH122" s="41"/>
      <c r="JCI122" s="41"/>
      <c r="JCJ122" s="41"/>
      <c r="JCK122" s="41"/>
      <c r="JCL122" s="41"/>
      <c r="JCM122" s="41"/>
      <c r="JCN122" s="41"/>
      <c r="JCO122" s="41"/>
      <c r="JCP122" s="41"/>
      <c r="JCQ122" s="41"/>
      <c r="JCR122" s="41"/>
      <c r="JCS122" s="41"/>
      <c r="JCT122" s="41"/>
      <c r="JCU122" s="41"/>
      <c r="JCV122" s="41"/>
      <c r="JCW122" s="41"/>
      <c r="JCX122" s="41"/>
      <c r="JCY122" s="41"/>
      <c r="JCZ122" s="41"/>
      <c r="JDA122" s="41"/>
      <c r="JDB122" s="41"/>
      <c r="JDC122" s="41"/>
      <c r="JDD122" s="41"/>
      <c r="JDE122" s="41"/>
      <c r="JDF122" s="41"/>
      <c r="JDG122" s="41"/>
      <c r="JDH122" s="41"/>
      <c r="JDI122" s="41"/>
      <c r="JDJ122" s="41"/>
      <c r="JDK122" s="41"/>
      <c r="JDL122" s="41"/>
      <c r="JDM122" s="41"/>
      <c r="JDN122" s="41"/>
      <c r="JDO122" s="41"/>
      <c r="JDP122" s="41"/>
      <c r="JDQ122" s="41"/>
      <c r="JDR122" s="41"/>
      <c r="JDS122" s="41"/>
      <c r="JDT122" s="41"/>
      <c r="JDU122" s="41"/>
      <c r="JDV122" s="41"/>
      <c r="JDW122" s="41"/>
      <c r="JDX122" s="41"/>
      <c r="JDY122" s="41"/>
      <c r="JDZ122" s="41"/>
      <c r="JEA122" s="41"/>
      <c r="JEB122" s="41"/>
      <c r="JEC122" s="41"/>
      <c r="JED122" s="41"/>
      <c r="JEE122" s="41"/>
      <c r="JEF122" s="41"/>
      <c r="JEG122" s="41"/>
      <c r="JEH122" s="41"/>
      <c r="JEI122" s="41"/>
      <c r="JEJ122" s="41"/>
      <c r="JEK122" s="41"/>
      <c r="JEL122" s="41"/>
      <c r="JEM122" s="41"/>
      <c r="JEN122" s="41"/>
      <c r="JEO122" s="41"/>
      <c r="JEP122" s="41"/>
      <c r="JEQ122" s="41"/>
      <c r="JER122" s="41"/>
      <c r="JES122" s="41"/>
      <c r="JET122" s="41"/>
      <c r="JEU122" s="41"/>
      <c r="JEV122" s="41"/>
      <c r="JEW122" s="41"/>
      <c r="JEX122" s="41"/>
      <c r="JEY122" s="41"/>
      <c r="JEZ122" s="41"/>
      <c r="JFA122" s="41"/>
      <c r="JFB122" s="41"/>
      <c r="JFC122" s="41"/>
      <c r="JFD122" s="41"/>
      <c r="JFE122" s="41"/>
      <c r="JFF122" s="41"/>
      <c r="JFG122" s="41"/>
      <c r="JFH122" s="41"/>
      <c r="JFI122" s="41"/>
      <c r="JFJ122" s="41"/>
      <c r="JFK122" s="41"/>
      <c r="JFL122" s="41"/>
      <c r="JFM122" s="41"/>
      <c r="JFN122" s="41"/>
      <c r="JFO122" s="41"/>
      <c r="JFP122" s="41"/>
      <c r="JFQ122" s="41"/>
      <c r="JFR122" s="41"/>
      <c r="JFS122" s="41"/>
      <c r="JFT122" s="41"/>
      <c r="JFU122" s="41"/>
      <c r="JFV122" s="41"/>
      <c r="JFW122" s="41"/>
      <c r="JFX122" s="41"/>
      <c r="JFY122" s="41"/>
      <c r="JFZ122" s="41"/>
      <c r="JGA122" s="41"/>
      <c r="JGB122" s="41"/>
      <c r="JGC122" s="41"/>
      <c r="JGD122" s="41"/>
      <c r="JGE122" s="41"/>
      <c r="JGF122" s="41"/>
      <c r="JGG122" s="41"/>
      <c r="JGH122" s="41"/>
      <c r="JGI122" s="41"/>
      <c r="JGJ122" s="41"/>
      <c r="JGK122" s="41"/>
      <c r="JGL122" s="41"/>
      <c r="JGM122" s="41"/>
      <c r="JGN122" s="41"/>
      <c r="JGO122" s="41"/>
      <c r="JGP122" s="41"/>
      <c r="JGQ122" s="41"/>
      <c r="JGR122" s="41"/>
      <c r="JGS122" s="41"/>
      <c r="JGT122" s="41"/>
      <c r="JGU122" s="41"/>
      <c r="JGV122" s="41"/>
      <c r="JGW122" s="41"/>
      <c r="JGX122" s="41"/>
      <c r="JGY122" s="41"/>
      <c r="JGZ122" s="41"/>
      <c r="JHA122" s="41"/>
      <c r="JHB122" s="41"/>
      <c r="JHC122" s="41"/>
      <c r="JHD122" s="41"/>
      <c r="JHE122" s="41"/>
      <c r="JHF122" s="41"/>
      <c r="JHG122" s="41"/>
      <c r="JHH122" s="41"/>
      <c r="JHI122" s="41"/>
      <c r="JHJ122" s="41"/>
      <c r="JHK122" s="41"/>
      <c r="JHL122" s="41"/>
      <c r="JHM122" s="41"/>
      <c r="JHN122" s="41"/>
      <c r="JHO122" s="41"/>
      <c r="JHP122" s="41"/>
      <c r="JHQ122" s="41"/>
      <c r="JHR122" s="41"/>
      <c r="JHS122" s="41"/>
      <c r="JHT122" s="41"/>
      <c r="JHU122" s="41"/>
      <c r="JHV122" s="41"/>
      <c r="JHW122" s="41"/>
      <c r="JHX122" s="41"/>
      <c r="JHY122" s="41"/>
      <c r="JHZ122" s="41"/>
      <c r="JIA122" s="41"/>
      <c r="JIB122" s="41"/>
      <c r="JIC122" s="41"/>
      <c r="JID122" s="41"/>
      <c r="JIE122" s="41"/>
      <c r="JIF122" s="41"/>
      <c r="JIG122" s="41"/>
      <c r="JIH122" s="41"/>
      <c r="JII122" s="41"/>
      <c r="JIJ122" s="41"/>
      <c r="JIK122" s="41"/>
      <c r="JIL122" s="41"/>
      <c r="JIM122" s="41"/>
      <c r="JIN122" s="41"/>
      <c r="JIO122" s="41"/>
      <c r="JIP122" s="41"/>
      <c r="JIQ122" s="41"/>
      <c r="JIR122" s="41"/>
      <c r="JIS122" s="41"/>
      <c r="JIT122" s="41"/>
      <c r="JIU122" s="41"/>
      <c r="JIV122" s="41"/>
      <c r="JIW122" s="41"/>
      <c r="JIX122" s="41"/>
      <c r="JIY122" s="41"/>
      <c r="JIZ122" s="41"/>
      <c r="JJA122" s="41"/>
      <c r="JJB122" s="41"/>
      <c r="JJC122" s="41"/>
      <c r="JJD122" s="41"/>
      <c r="JJE122" s="41"/>
      <c r="JJF122" s="41"/>
      <c r="JJG122" s="41"/>
      <c r="JJH122" s="41"/>
      <c r="JJI122" s="41"/>
      <c r="JJJ122" s="41"/>
      <c r="JJK122" s="41"/>
      <c r="JJL122" s="41"/>
      <c r="JJM122" s="41"/>
      <c r="JJN122" s="41"/>
      <c r="JJO122" s="41"/>
      <c r="JJP122" s="41"/>
      <c r="JJQ122" s="41"/>
      <c r="JJR122" s="41"/>
      <c r="JJS122" s="41"/>
      <c r="JJT122" s="41"/>
      <c r="JJU122" s="41"/>
      <c r="JJV122" s="41"/>
      <c r="JJW122" s="41"/>
      <c r="JJX122" s="41"/>
      <c r="JJY122" s="41"/>
      <c r="JJZ122" s="41"/>
      <c r="JKA122" s="41"/>
      <c r="JKB122" s="41"/>
      <c r="JKC122" s="41"/>
      <c r="JKD122" s="41"/>
      <c r="JKE122" s="41"/>
      <c r="JKF122" s="41"/>
      <c r="JKG122" s="41"/>
      <c r="JKH122" s="41"/>
      <c r="JKI122" s="41"/>
      <c r="JKJ122" s="41"/>
      <c r="JKK122" s="41"/>
      <c r="JKL122" s="41"/>
      <c r="JKM122" s="41"/>
      <c r="JKN122" s="41"/>
      <c r="JKO122" s="41"/>
      <c r="JKP122" s="41"/>
      <c r="JKQ122" s="41"/>
      <c r="JKR122" s="41"/>
      <c r="JKS122" s="41"/>
      <c r="JKT122" s="41"/>
      <c r="JKU122" s="41"/>
      <c r="JKV122" s="41"/>
      <c r="JKW122" s="41"/>
      <c r="JKX122" s="41"/>
      <c r="JKY122" s="41"/>
      <c r="JKZ122" s="41"/>
      <c r="JLA122" s="41"/>
      <c r="JLB122" s="41"/>
      <c r="JLC122" s="41"/>
      <c r="JLD122" s="41"/>
      <c r="JLE122" s="41"/>
      <c r="JLF122" s="41"/>
      <c r="JLG122" s="41"/>
      <c r="JLH122" s="41"/>
      <c r="JLI122" s="41"/>
      <c r="JLJ122" s="41"/>
      <c r="JLK122" s="41"/>
      <c r="JLL122" s="41"/>
      <c r="JLM122" s="41"/>
      <c r="JLN122" s="41"/>
      <c r="JLO122" s="41"/>
      <c r="JLP122" s="41"/>
      <c r="JLQ122" s="41"/>
      <c r="JLR122" s="41"/>
      <c r="JLS122" s="41"/>
      <c r="JLT122" s="41"/>
      <c r="JLU122" s="41"/>
      <c r="JLV122" s="41"/>
      <c r="JLW122" s="41"/>
      <c r="JLX122" s="41"/>
      <c r="JLY122" s="41"/>
      <c r="JLZ122" s="41"/>
      <c r="JMA122" s="41"/>
      <c r="JMB122" s="41"/>
      <c r="JMC122" s="41"/>
      <c r="JMD122" s="41"/>
      <c r="JME122" s="41"/>
      <c r="JMF122" s="41"/>
      <c r="JMG122" s="41"/>
      <c r="JMH122" s="41"/>
      <c r="JMI122" s="41"/>
      <c r="JMJ122" s="41"/>
      <c r="JMK122" s="41"/>
      <c r="JML122" s="41"/>
      <c r="JMM122" s="41"/>
      <c r="JMN122" s="41"/>
      <c r="JMO122" s="41"/>
      <c r="JMP122" s="41"/>
      <c r="JMQ122" s="41"/>
      <c r="JMR122" s="41"/>
      <c r="JMS122" s="41"/>
      <c r="JMT122" s="41"/>
      <c r="JMU122" s="41"/>
      <c r="JMV122" s="41"/>
      <c r="JMW122" s="41"/>
      <c r="JMX122" s="41"/>
      <c r="JMY122" s="41"/>
      <c r="JMZ122" s="41"/>
      <c r="JNA122" s="41"/>
      <c r="JNB122" s="41"/>
      <c r="JNC122" s="41"/>
      <c r="JND122" s="41"/>
      <c r="JNE122" s="41"/>
      <c r="JNF122" s="41"/>
      <c r="JNG122" s="41"/>
      <c r="JNH122" s="41"/>
      <c r="JNI122" s="41"/>
      <c r="JNJ122" s="41"/>
      <c r="JNK122" s="41"/>
      <c r="JNL122" s="41"/>
      <c r="JNM122" s="41"/>
      <c r="JNN122" s="41"/>
      <c r="JNO122" s="41"/>
      <c r="JNP122" s="41"/>
      <c r="JNQ122" s="41"/>
      <c r="JNR122" s="41"/>
      <c r="JNS122" s="41"/>
      <c r="JNT122" s="41"/>
      <c r="JNU122" s="41"/>
      <c r="JNV122" s="41"/>
      <c r="JNW122" s="41"/>
      <c r="JNX122" s="41"/>
      <c r="JNY122" s="41"/>
      <c r="JNZ122" s="41"/>
      <c r="JOA122" s="41"/>
      <c r="JOB122" s="41"/>
      <c r="JOC122" s="41"/>
      <c r="JOD122" s="41"/>
      <c r="JOE122" s="41"/>
      <c r="JOF122" s="41"/>
      <c r="JOG122" s="41"/>
      <c r="JOH122" s="41"/>
      <c r="JOI122" s="41"/>
      <c r="JOJ122" s="41"/>
      <c r="JOK122" s="41"/>
      <c r="JOL122" s="41"/>
      <c r="JOM122" s="41"/>
      <c r="JON122" s="41"/>
      <c r="JOO122" s="41"/>
      <c r="JOP122" s="41"/>
      <c r="JOQ122" s="41"/>
      <c r="JOR122" s="41"/>
      <c r="JOS122" s="41"/>
      <c r="JOT122" s="41"/>
      <c r="JOU122" s="41"/>
      <c r="JOV122" s="41"/>
      <c r="JOW122" s="41"/>
      <c r="JOX122" s="41"/>
      <c r="JOY122" s="41"/>
      <c r="JOZ122" s="41"/>
      <c r="JPA122" s="41"/>
      <c r="JPB122" s="41"/>
      <c r="JPC122" s="41"/>
      <c r="JPD122" s="41"/>
      <c r="JPE122" s="41"/>
      <c r="JPF122" s="41"/>
      <c r="JPG122" s="41"/>
      <c r="JPH122" s="41"/>
      <c r="JPI122" s="41"/>
      <c r="JPJ122" s="41"/>
      <c r="JPK122" s="41"/>
      <c r="JPL122" s="41"/>
      <c r="JPM122" s="41"/>
      <c r="JPN122" s="41"/>
      <c r="JPO122" s="41"/>
      <c r="JPP122" s="41"/>
      <c r="JPQ122" s="41"/>
      <c r="JPR122" s="41"/>
      <c r="JPS122" s="41"/>
      <c r="JPT122" s="41"/>
      <c r="JPU122" s="41"/>
      <c r="JPV122" s="41"/>
      <c r="JPW122" s="41"/>
      <c r="JPX122" s="41"/>
      <c r="JPY122" s="41"/>
      <c r="JPZ122" s="41"/>
      <c r="JQA122" s="41"/>
      <c r="JQB122" s="41"/>
      <c r="JQC122" s="41"/>
      <c r="JQD122" s="41"/>
      <c r="JQE122" s="41"/>
      <c r="JQF122" s="41"/>
      <c r="JQG122" s="41"/>
      <c r="JQH122" s="41"/>
      <c r="JQI122" s="41"/>
      <c r="JQJ122" s="41"/>
      <c r="JQK122" s="41"/>
      <c r="JQL122" s="41"/>
      <c r="JQM122" s="41"/>
      <c r="JQN122" s="41"/>
      <c r="JQO122" s="41"/>
      <c r="JQP122" s="41"/>
      <c r="JQQ122" s="41"/>
      <c r="JQR122" s="41"/>
      <c r="JQS122" s="41"/>
      <c r="JQT122" s="41"/>
      <c r="JQU122" s="41"/>
      <c r="JQV122" s="41"/>
      <c r="JQW122" s="41"/>
      <c r="JQX122" s="41"/>
      <c r="JQY122" s="41"/>
      <c r="JQZ122" s="41"/>
      <c r="JRA122" s="41"/>
      <c r="JRB122" s="41"/>
      <c r="JRC122" s="41"/>
      <c r="JRD122" s="41"/>
      <c r="JRE122" s="41"/>
      <c r="JRF122" s="41"/>
      <c r="JRG122" s="41"/>
      <c r="JRH122" s="41"/>
      <c r="JRI122" s="41"/>
      <c r="JRJ122" s="41"/>
      <c r="JRK122" s="41"/>
      <c r="JRL122" s="41"/>
      <c r="JRM122" s="41"/>
      <c r="JRN122" s="41"/>
      <c r="JRO122" s="41"/>
      <c r="JRP122" s="41"/>
      <c r="JRQ122" s="41"/>
      <c r="JRR122" s="41"/>
      <c r="JRS122" s="41"/>
      <c r="JRT122" s="41"/>
      <c r="JRU122" s="41"/>
      <c r="JRV122" s="41"/>
      <c r="JRW122" s="41"/>
      <c r="JRX122" s="41"/>
      <c r="JRY122" s="41"/>
      <c r="JRZ122" s="41"/>
      <c r="JSA122" s="41"/>
      <c r="JSB122" s="41"/>
      <c r="JSC122" s="41"/>
      <c r="JSD122" s="41"/>
      <c r="JSE122" s="41"/>
      <c r="JSF122" s="41"/>
      <c r="JSG122" s="41"/>
      <c r="JSH122" s="41"/>
      <c r="JSI122" s="41"/>
      <c r="JSJ122" s="41"/>
      <c r="JSK122" s="41"/>
      <c r="JSL122" s="41"/>
      <c r="JSM122" s="41"/>
      <c r="JSN122" s="41"/>
      <c r="JSO122" s="41"/>
      <c r="JSP122" s="41"/>
      <c r="JSQ122" s="41"/>
      <c r="JSR122" s="41"/>
      <c r="JSS122" s="41"/>
      <c r="JST122" s="41"/>
      <c r="JSU122" s="41"/>
      <c r="JSV122" s="41"/>
      <c r="JSW122" s="41"/>
      <c r="JSX122" s="41"/>
      <c r="JSY122" s="41"/>
      <c r="JSZ122" s="41"/>
      <c r="JTA122" s="41"/>
      <c r="JTB122" s="41"/>
      <c r="JTC122" s="41"/>
      <c r="JTD122" s="41"/>
      <c r="JTE122" s="41"/>
      <c r="JTF122" s="41"/>
      <c r="JTG122" s="41"/>
      <c r="JTH122" s="41"/>
      <c r="JTI122" s="41"/>
      <c r="JTJ122" s="41"/>
      <c r="JTK122" s="41"/>
      <c r="JTL122" s="41"/>
      <c r="JTM122" s="41"/>
      <c r="JTN122" s="41"/>
      <c r="JTO122" s="41"/>
      <c r="JTP122" s="41"/>
      <c r="JTQ122" s="41"/>
      <c r="JTR122" s="41"/>
      <c r="JTS122" s="41"/>
      <c r="JTT122" s="41"/>
      <c r="JTU122" s="41"/>
      <c r="JTV122" s="41"/>
      <c r="JTW122" s="41"/>
      <c r="JTX122" s="41"/>
      <c r="JTY122" s="41"/>
      <c r="JTZ122" s="41"/>
      <c r="JUA122" s="41"/>
      <c r="JUB122" s="41"/>
      <c r="JUC122" s="41"/>
      <c r="JUD122" s="41"/>
      <c r="JUE122" s="41"/>
      <c r="JUF122" s="41"/>
      <c r="JUG122" s="41"/>
      <c r="JUH122" s="41"/>
      <c r="JUI122" s="41"/>
      <c r="JUJ122" s="41"/>
      <c r="JUK122" s="41"/>
      <c r="JUL122" s="41"/>
      <c r="JUM122" s="41"/>
      <c r="JUN122" s="41"/>
      <c r="JUO122" s="41"/>
      <c r="JUP122" s="41"/>
      <c r="JUQ122" s="41"/>
      <c r="JUR122" s="41"/>
      <c r="JUS122" s="41"/>
      <c r="JUT122" s="41"/>
      <c r="JUU122" s="41"/>
      <c r="JUV122" s="41"/>
      <c r="JUW122" s="41"/>
      <c r="JUX122" s="41"/>
      <c r="JUY122" s="41"/>
      <c r="JUZ122" s="41"/>
      <c r="JVA122" s="41"/>
      <c r="JVB122" s="41"/>
      <c r="JVC122" s="41"/>
      <c r="JVD122" s="41"/>
      <c r="JVE122" s="41"/>
      <c r="JVF122" s="41"/>
      <c r="JVG122" s="41"/>
      <c r="JVH122" s="41"/>
      <c r="JVI122" s="41"/>
      <c r="JVJ122" s="41"/>
      <c r="JVK122" s="41"/>
      <c r="JVL122" s="41"/>
      <c r="JVM122" s="41"/>
      <c r="JVN122" s="41"/>
      <c r="JVO122" s="41"/>
      <c r="JVP122" s="41"/>
      <c r="JVQ122" s="41"/>
      <c r="JVR122" s="41"/>
      <c r="JVS122" s="41"/>
      <c r="JVT122" s="41"/>
      <c r="JVU122" s="41"/>
      <c r="JVV122" s="41"/>
      <c r="JVW122" s="41"/>
      <c r="JVX122" s="41"/>
      <c r="JVY122" s="41"/>
      <c r="JVZ122" s="41"/>
      <c r="JWA122" s="41"/>
      <c r="JWB122" s="41"/>
      <c r="JWC122" s="41"/>
      <c r="JWD122" s="41"/>
      <c r="JWE122" s="41"/>
      <c r="JWF122" s="41"/>
      <c r="JWG122" s="41"/>
      <c r="JWH122" s="41"/>
      <c r="JWI122" s="41"/>
      <c r="JWJ122" s="41"/>
      <c r="JWK122" s="41"/>
      <c r="JWL122" s="41"/>
      <c r="JWM122" s="41"/>
      <c r="JWN122" s="41"/>
      <c r="JWO122" s="41"/>
      <c r="JWP122" s="41"/>
      <c r="JWQ122" s="41"/>
      <c r="JWR122" s="41"/>
      <c r="JWS122" s="41"/>
      <c r="JWT122" s="41"/>
      <c r="JWU122" s="41"/>
      <c r="JWV122" s="41"/>
      <c r="JWW122" s="41"/>
      <c r="JWX122" s="41"/>
      <c r="JWY122" s="41"/>
      <c r="JWZ122" s="41"/>
      <c r="JXA122" s="41"/>
      <c r="JXB122" s="41"/>
      <c r="JXC122" s="41"/>
      <c r="JXD122" s="41"/>
      <c r="JXE122" s="41"/>
      <c r="JXF122" s="41"/>
      <c r="JXG122" s="41"/>
      <c r="JXH122" s="41"/>
      <c r="JXI122" s="41"/>
      <c r="JXJ122" s="41"/>
      <c r="JXK122" s="41"/>
      <c r="JXL122" s="41"/>
      <c r="JXM122" s="41"/>
      <c r="JXN122" s="41"/>
      <c r="JXO122" s="41"/>
      <c r="JXP122" s="41"/>
      <c r="JXQ122" s="41"/>
      <c r="JXR122" s="41"/>
      <c r="JXS122" s="41"/>
      <c r="JXT122" s="41"/>
      <c r="JXU122" s="41"/>
      <c r="JXV122" s="41"/>
      <c r="JXW122" s="41"/>
      <c r="JXX122" s="41"/>
      <c r="JXY122" s="41"/>
      <c r="JXZ122" s="41"/>
      <c r="JYA122" s="41"/>
      <c r="JYB122" s="41"/>
      <c r="JYC122" s="41"/>
      <c r="JYD122" s="41"/>
      <c r="JYE122" s="41"/>
      <c r="JYF122" s="41"/>
      <c r="JYG122" s="41"/>
      <c r="JYH122" s="41"/>
      <c r="JYI122" s="41"/>
      <c r="JYJ122" s="41"/>
      <c r="JYK122" s="41"/>
      <c r="JYL122" s="41"/>
      <c r="JYM122" s="41"/>
      <c r="JYN122" s="41"/>
      <c r="JYO122" s="41"/>
      <c r="JYP122" s="41"/>
      <c r="JYQ122" s="41"/>
      <c r="JYR122" s="41"/>
      <c r="JYS122" s="41"/>
      <c r="JYT122" s="41"/>
      <c r="JYU122" s="41"/>
      <c r="JYV122" s="41"/>
      <c r="JYW122" s="41"/>
      <c r="JYX122" s="41"/>
      <c r="JYY122" s="41"/>
      <c r="JYZ122" s="41"/>
      <c r="JZA122" s="41"/>
      <c r="JZB122" s="41"/>
      <c r="JZC122" s="41"/>
      <c r="JZD122" s="41"/>
      <c r="JZE122" s="41"/>
      <c r="JZF122" s="41"/>
      <c r="JZG122" s="41"/>
      <c r="JZH122" s="41"/>
      <c r="JZI122" s="41"/>
      <c r="JZJ122" s="41"/>
      <c r="JZK122" s="41"/>
      <c r="JZL122" s="41"/>
      <c r="JZM122" s="41"/>
      <c r="JZN122" s="41"/>
      <c r="JZO122" s="41"/>
      <c r="JZP122" s="41"/>
      <c r="JZQ122" s="41"/>
      <c r="JZR122" s="41"/>
      <c r="JZS122" s="41"/>
      <c r="JZT122" s="41"/>
      <c r="JZU122" s="41"/>
      <c r="JZV122" s="41"/>
      <c r="JZW122" s="41"/>
      <c r="JZX122" s="41"/>
      <c r="JZY122" s="41"/>
      <c r="JZZ122" s="41"/>
      <c r="KAA122" s="41"/>
      <c r="KAB122" s="41"/>
      <c r="KAC122" s="41"/>
      <c r="KAD122" s="41"/>
      <c r="KAE122" s="41"/>
      <c r="KAF122" s="41"/>
      <c r="KAG122" s="41"/>
      <c r="KAH122" s="41"/>
      <c r="KAI122" s="41"/>
      <c r="KAJ122" s="41"/>
      <c r="KAK122" s="41"/>
      <c r="KAL122" s="41"/>
      <c r="KAM122" s="41"/>
      <c r="KAN122" s="41"/>
      <c r="KAO122" s="41"/>
      <c r="KAP122" s="41"/>
      <c r="KAQ122" s="41"/>
      <c r="KAR122" s="41"/>
      <c r="KAS122" s="41"/>
      <c r="KAT122" s="41"/>
      <c r="KAU122" s="41"/>
      <c r="KAV122" s="41"/>
      <c r="KAW122" s="41"/>
      <c r="KAX122" s="41"/>
      <c r="KAY122" s="41"/>
      <c r="KAZ122" s="41"/>
      <c r="KBA122" s="41"/>
      <c r="KBB122" s="41"/>
      <c r="KBC122" s="41"/>
      <c r="KBD122" s="41"/>
      <c r="KBE122" s="41"/>
      <c r="KBF122" s="41"/>
      <c r="KBG122" s="41"/>
      <c r="KBH122" s="41"/>
      <c r="KBI122" s="41"/>
      <c r="KBJ122" s="41"/>
      <c r="KBK122" s="41"/>
      <c r="KBL122" s="41"/>
      <c r="KBM122" s="41"/>
      <c r="KBN122" s="41"/>
      <c r="KBO122" s="41"/>
      <c r="KBP122" s="41"/>
      <c r="KBQ122" s="41"/>
      <c r="KBR122" s="41"/>
      <c r="KBS122" s="41"/>
      <c r="KBT122" s="41"/>
      <c r="KBU122" s="41"/>
      <c r="KBV122" s="41"/>
      <c r="KBW122" s="41"/>
      <c r="KBX122" s="41"/>
      <c r="KBY122" s="41"/>
      <c r="KBZ122" s="41"/>
      <c r="KCA122" s="41"/>
      <c r="KCB122" s="41"/>
      <c r="KCC122" s="41"/>
      <c r="KCD122" s="41"/>
      <c r="KCE122" s="41"/>
      <c r="KCF122" s="41"/>
      <c r="KCG122" s="41"/>
      <c r="KCH122" s="41"/>
      <c r="KCI122" s="41"/>
      <c r="KCJ122" s="41"/>
      <c r="KCK122" s="41"/>
      <c r="KCL122" s="41"/>
      <c r="KCM122" s="41"/>
      <c r="KCN122" s="41"/>
      <c r="KCO122" s="41"/>
      <c r="KCP122" s="41"/>
      <c r="KCQ122" s="41"/>
      <c r="KCR122" s="41"/>
      <c r="KCS122" s="41"/>
      <c r="KCT122" s="41"/>
      <c r="KCU122" s="41"/>
      <c r="KCV122" s="41"/>
      <c r="KCW122" s="41"/>
      <c r="KCX122" s="41"/>
      <c r="KCY122" s="41"/>
      <c r="KCZ122" s="41"/>
      <c r="KDA122" s="41"/>
      <c r="KDB122" s="41"/>
      <c r="KDC122" s="41"/>
      <c r="KDD122" s="41"/>
      <c r="KDE122" s="41"/>
      <c r="KDF122" s="41"/>
      <c r="KDG122" s="41"/>
      <c r="KDH122" s="41"/>
      <c r="KDI122" s="41"/>
      <c r="KDJ122" s="41"/>
      <c r="KDK122" s="41"/>
      <c r="KDL122" s="41"/>
      <c r="KDM122" s="41"/>
      <c r="KDN122" s="41"/>
      <c r="KDO122" s="41"/>
      <c r="KDP122" s="41"/>
      <c r="KDQ122" s="41"/>
      <c r="KDR122" s="41"/>
      <c r="KDS122" s="41"/>
      <c r="KDT122" s="41"/>
      <c r="KDU122" s="41"/>
      <c r="KDV122" s="41"/>
      <c r="KDW122" s="41"/>
      <c r="KDX122" s="41"/>
      <c r="KDY122" s="41"/>
      <c r="KDZ122" s="41"/>
      <c r="KEA122" s="41"/>
      <c r="KEB122" s="41"/>
      <c r="KEC122" s="41"/>
      <c r="KED122" s="41"/>
      <c r="KEE122" s="41"/>
      <c r="KEF122" s="41"/>
      <c r="KEG122" s="41"/>
      <c r="KEH122" s="41"/>
      <c r="KEI122" s="41"/>
      <c r="KEJ122" s="41"/>
      <c r="KEK122" s="41"/>
      <c r="KEL122" s="41"/>
      <c r="KEM122" s="41"/>
      <c r="KEN122" s="41"/>
      <c r="KEO122" s="41"/>
      <c r="KEP122" s="41"/>
      <c r="KEQ122" s="41"/>
      <c r="KER122" s="41"/>
      <c r="KES122" s="41"/>
      <c r="KET122" s="41"/>
      <c r="KEU122" s="41"/>
      <c r="KEV122" s="41"/>
      <c r="KEW122" s="41"/>
      <c r="KEX122" s="41"/>
      <c r="KEY122" s="41"/>
      <c r="KEZ122" s="41"/>
      <c r="KFA122" s="41"/>
      <c r="KFB122" s="41"/>
      <c r="KFC122" s="41"/>
      <c r="KFD122" s="41"/>
      <c r="KFE122" s="41"/>
      <c r="KFF122" s="41"/>
      <c r="KFG122" s="41"/>
      <c r="KFH122" s="41"/>
      <c r="KFI122" s="41"/>
      <c r="KFJ122" s="41"/>
      <c r="KFK122" s="41"/>
      <c r="KFL122" s="41"/>
      <c r="KFM122" s="41"/>
      <c r="KFN122" s="41"/>
      <c r="KFO122" s="41"/>
      <c r="KFP122" s="41"/>
      <c r="KFQ122" s="41"/>
      <c r="KFR122" s="41"/>
      <c r="KFS122" s="41"/>
      <c r="KFT122" s="41"/>
      <c r="KFU122" s="41"/>
      <c r="KFV122" s="41"/>
      <c r="KFW122" s="41"/>
      <c r="KFX122" s="41"/>
      <c r="KFY122" s="41"/>
      <c r="KFZ122" s="41"/>
      <c r="KGA122" s="41"/>
      <c r="KGB122" s="41"/>
      <c r="KGC122" s="41"/>
      <c r="KGD122" s="41"/>
      <c r="KGE122" s="41"/>
      <c r="KGF122" s="41"/>
      <c r="KGG122" s="41"/>
      <c r="KGH122" s="41"/>
      <c r="KGI122" s="41"/>
      <c r="KGJ122" s="41"/>
      <c r="KGK122" s="41"/>
      <c r="KGL122" s="41"/>
      <c r="KGM122" s="41"/>
      <c r="KGN122" s="41"/>
      <c r="KGO122" s="41"/>
      <c r="KGP122" s="41"/>
      <c r="KGQ122" s="41"/>
      <c r="KGR122" s="41"/>
      <c r="KGS122" s="41"/>
      <c r="KGT122" s="41"/>
      <c r="KGU122" s="41"/>
      <c r="KGV122" s="41"/>
      <c r="KGW122" s="41"/>
      <c r="KGX122" s="41"/>
      <c r="KGY122" s="41"/>
      <c r="KGZ122" s="41"/>
      <c r="KHA122" s="41"/>
      <c r="KHB122" s="41"/>
      <c r="KHC122" s="41"/>
      <c r="KHD122" s="41"/>
      <c r="KHE122" s="41"/>
      <c r="KHF122" s="41"/>
      <c r="KHG122" s="41"/>
      <c r="KHH122" s="41"/>
      <c r="KHI122" s="41"/>
      <c r="KHJ122" s="41"/>
      <c r="KHK122" s="41"/>
      <c r="KHL122" s="41"/>
      <c r="KHM122" s="41"/>
      <c r="KHN122" s="41"/>
      <c r="KHO122" s="41"/>
      <c r="KHP122" s="41"/>
      <c r="KHQ122" s="41"/>
      <c r="KHR122" s="41"/>
      <c r="KHS122" s="41"/>
      <c r="KHT122" s="41"/>
      <c r="KHU122" s="41"/>
      <c r="KHV122" s="41"/>
      <c r="KHW122" s="41"/>
      <c r="KHX122" s="41"/>
      <c r="KHY122" s="41"/>
      <c r="KHZ122" s="41"/>
      <c r="KIA122" s="41"/>
      <c r="KIB122" s="41"/>
      <c r="KIC122" s="41"/>
      <c r="KID122" s="41"/>
      <c r="KIE122" s="41"/>
      <c r="KIF122" s="41"/>
      <c r="KIG122" s="41"/>
      <c r="KIH122" s="41"/>
      <c r="KII122" s="41"/>
      <c r="KIJ122" s="41"/>
      <c r="KIK122" s="41"/>
      <c r="KIL122" s="41"/>
      <c r="KIM122" s="41"/>
      <c r="KIN122" s="41"/>
      <c r="KIO122" s="41"/>
      <c r="KIP122" s="41"/>
      <c r="KIQ122" s="41"/>
      <c r="KIR122" s="41"/>
      <c r="KIS122" s="41"/>
      <c r="KIT122" s="41"/>
      <c r="KIU122" s="41"/>
      <c r="KIV122" s="41"/>
      <c r="KIW122" s="41"/>
      <c r="KIX122" s="41"/>
      <c r="KIY122" s="41"/>
      <c r="KIZ122" s="41"/>
      <c r="KJA122" s="41"/>
      <c r="KJB122" s="41"/>
      <c r="KJC122" s="41"/>
      <c r="KJD122" s="41"/>
      <c r="KJE122" s="41"/>
      <c r="KJF122" s="41"/>
      <c r="KJG122" s="41"/>
      <c r="KJH122" s="41"/>
      <c r="KJI122" s="41"/>
      <c r="KJJ122" s="41"/>
      <c r="KJK122" s="41"/>
      <c r="KJL122" s="41"/>
      <c r="KJM122" s="41"/>
      <c r="KJN122" s="41"/>
      <c r="KJO122" s="41"/>
      <c r="KJP122" s="41"/>
      <c r="KJQ122" s="41"/>
      <c r="KJR122" s="41"/>
      <c r="KJS122" s="41"/>
      <c r="KJT122" s="41"/>
      <c r="KJU122" s="41"/>
      <c r="KJV122" s="41"/>
      <c r="KJW122" s="41"/>
      <c r="KJX122" s="41"/>
      <c r="KJY122" s="41"/>
      <c r="KJZ122" s="41"/>
      <c r="KKA122" s="41"/>
      <c r="KKB122" s="41"/>
      <c r="KKC122" s="41"/>
      <c r="KKD122" s="41"/>
      <c r="KKE122" s="41"/>
      <c r="KKF122" s="41"/>
      <c r="KKG122" s="41"/>
      <c r="KKH122" s="41"/>
      <c r="KKI122" s="41"/>
      <c r="KKJ122" s="41"/>
      <c r="KKK122" s="41"/>
      <c r="KKL122" s="41"/>
      <c r="KKM122" s="41"/>
      <c r="KKN122" s="41"/>
      <c r="KKO122" s="41"/>
      <c r="KKP122" s="41"/>
      <c r="KKQ122" s="41"/>
      <c r="KKR122" s="41"/>
      <c r="KKS122" s="41"/>
      <c r="KKT122" s="41"/>
      <c r="KKU122" s="41"/>
      <c r="KKV122" s="41"/>
      <c r="KKW122" s="41"/>
      <c r="KKX122" s="41"/>
      <c r="KKY122" s="41"/>
      <c r="KKZ122" s="41"/>
      <c r="KLA122" s="41"/>
      <c r="KLB122" s="41"/>
      <c r="KLC122" s="41"/>
      <c r="KLD122" s="41"/>
      <c r="KLE122" s="41"/>
      <c r="KLF122" s="41"/>
      <c r="KLG122" s="41"/>
      <c r="KLH122" s="41"/>
      <c r="KLI122" s="41"/>
      <c r="KLJ122" s="41"/>
      <c r="KLK122" s="41"/>
      <c r="KLL122" s="41"/>
      <c r="KLM122" s="41"/>
      <c r="KLN122" s="41"/>
      <c r="KLO122" s="41"/>
      <c r="KLP122" s="41"/>
      <c r="KLQ122" s="41"/>
      <c r="KLR122" s="41"/>
      <c r="KLS122" s="41"/>
      <c r="KLT122" s="41"/>
      <c r="KLU122" s="41"/>
      <c r="KLV122" s="41"/>
      <c r="KLW122" s="41"/>
      <c r="KLX122" s="41"/>
      <c r="KLY122" s="41"/>
      <c r="KLZ122" s="41"/>
      <c r="KMA122" s="41"/>
      <c r="KMB122" s="41"/>
      <c r="KMC122" s="41"/>
      <c r="KMD122" s="41"/>
      <c r="KME122" s="41"/>
      <c r="KMF122" s="41"/>
      <c r="KMG122" s="41"/>
      <c r="KMH122" s="41"/>
      <c r="KMI122" s="41"/>
      <c r="KMJ122" s="41"/>
      <c r="KMK122" s="41"/>
      <c r="KML122" s="41"/>
      <c r="KMM122" s="41"/>
      <c r="KMN122" s="41"/>
      <c r="KMO122" s="41"/>
      <c r="KMP122" s="41"/>
      <c r="KMQ122" s="41"/>
      <c r="KMR122" s="41"/>
      <c r="KMS122" s="41"/>
      <c r="KMT122" s="41"/>
      <c r="KMU122" s="41"/>
      <c r="KMV122" s="41"/>
      <c r="KMW122" s="41"/>
      <c r="KMX122" s="41"/>
      <c r="KMY122" s="41"/>
      <c r="KMZ122" s="41"/>
      <c r="KNA122" s="41"/>
      <c r="KNB122" s="41"/>
      <c r="KNC122" s="41"/>
      <c r="KND122" s="41"/>
      <c r="KNE122" s="41"/>
      <c r="KNF122" s="41"/>
      <c r="KNG122" s="41"/>
      <c r="KNH122" s="41"/>
      <c r="KNI122" s="41"/>
      <c r="KNJ122" s="41"/>
      <c r="KNK122" s="41"/>
      <c r="KNL122" s="41"/>
      <c r="KNM122" s="41"/>
      <c r="KNN122" s="41"/>
      <c r="KNO122" s="41"/>
      <c r="KNP122" s="41"/>
      <c r="KNQ122" s="41"/>
      <c r="KNR122" s="41"/>
      <c r="KNS122" s="41"/>
      <c r="KNT122" s="41"/>
      <c r="KNU122" s="41"/>
      <c r="KNV122" s="41"/>
      <c r="KNW122" s="41"/>
      <c r="KNX122" s="41"/>
      <c r="KNY122" s="41"/>
      <c r="KNZ122" s="41"/>
      <c r="KOA122" s="41"/>
      <c r="KOB122" s="41"/>
      <c r="KOC122" s="41"/>
      <c r="KOD122" s="41"/>
      <c r="KOE122" s="41"/>
      <c r="KOF122" s="41"/>
      <c r="KOG122" s="41"/>
      <c r="KOH122" s="41"/>
      <c r="KOI122" s="41"/>
      <c r="KOJ122" s="41"/>
      <c r="KOK122" s="41"/>
      <c r="KOL122" s="41"/>
      <c r="KOM122" s="41"/>
      <c r="KON122" s="41"/>
      <c r="KOO122" s="41"/>
      <c r="KOP122" s="41"/>
      <c r="KOQ122" s="41"/>
      <c r="KOR122" s="41"/>
      <c r="KOS122" s="41"/>
      <c r="KOT122" s="41"/>
      <c r="KOU122" s="41"/>
      <c r="KOV122" s="41"/>
      <c r="KOW122" s="41"/>
      <c r="KOX122" s="41"/>
      <c r="KOY122" s="41"/>
      <c r="KOZ122" s="41"/>
      <c r="KPA122" s="41"/>
      <c r="KPB122" s="41"/>
      <c r="KPC122" s="41"/>
      <c r="KPD122" s="41"/>
      <c r="KPE122" s="41"/>
      <c r="KPF122" s="41"/>
      <c r="KPG122" s="41"/>
      <c r="KPH122" s="41"/>
      <c r="KPI122" s="41"/>
      <c r="KPJ122" s="41"/>
      <c r="KPK122" s="41"/>
      <c r="KPL122" s="41"/>
      <c r="KPM122" s="41"/>
      <c r="KPN122" s="41"/>
      <c r="KPO122" s="41"/>
      <c r="KPP122" s="41"/>
      <c r="KPQ122" s="41"/>
      <c r="KPR122" s="41"/>
      <c r="KPS122" s="41"/>
      <c r="KPT122" s="41"/>
      <c r="KPU122" s="41"/>
      <c r="KPV122" s="41"/>
      <c r="KPW122" s="41"/>
      <c r="KPX122" s="41"/>
      <c r="KPY122" s="41"/>
      <c r="KPZ122" s="41"/>
      <c r="KQA122" s="41"/>
      <c r="KQB122" s="41"/>
      <c r="KQC122" s="41"/>
      <c r="KQD122" s="41"/>
      <c r="KQE122" s="41"/>
      <c r="KQF122" s="41"/>
      <c r="KQG122" s="41"/>
      <c r="KQH122" s="41"/>
      <c r="KQI122" s="41"/>
      <c r="KQJ122" s="41"/>
      <c r="KQK122" s="41"/>
      <c r="KQL122" s="41"/>
      <c r="KQM122" s="41"/>
      <c r="KQN122" s="41"/>
      <c r="KQO122" s="41"/>
      <c r="KQP122" s="41"/>
      <c r="KQQ122" s="41"/>
      <c r="KQR122" s="41"/>
      <c r="KQS122" s="41"/>
      <c r="KQT122" s="41"/>
      <c r="KQU122" s="41"/>
      <c r="KQV122" s="41"/>
      <c r="KQW122" s="41"/>
      <c r="KQX122" s="41"/>
      <c r="KQY122" s="41"/>
      <c r="KQZ122" s="41"/>
      <c r="KRA122" s="41"/>
      <c r="KRB122" s="41"/>
      <c r="KRC122" s="41"/>
      <c r="KRD122" s="41"/>
      <c r="KRE122" s="41"/>
      <c r="KRF122" s="41"/>
      <c r="KRG122" s="41"/>
      <c r="KRH122" s="41"/>
      <c r="KRI122" s="41"/>
      <c r="KRJ122" s="41"/>
      <c r="KRK122" s="41"/>
      <c r="KRL122" s="41"/>
      <c r="KRM122" s="41"/>
      <c r="KRN122" s="41"/>
      <c r="KRO122" s="41"/>
      <c r="KRP122" s="41"/>
      <c r="KRQ122" s="41"/>
      <c r="KRR122" s="41"/>
      <c r="KRS122" s="41"/>
      <c r="KRT122" s="41"/>
      <c r="KRU122" s="41"/>
      <c r="KRV122" s="41"/>
      <c r="KRW122" s="41"/>
      <c r="KRX122" s="41"/>
      <c r="KRY122" s="41"/>
      <c r="KRZ122" s="41"/>
      <c r="KSA122" s="41"/>
      <c r="KSB122" s="41"/>
      <c r="KSC122" s="41"/>
      <c r="KSD122" s="41"/>
      <c r="KSE122" s="41"/>
      <c r="KSF122" s="41"/>
      <c r="KSG122" s="41"/>
      <c r="KSH122" s="41"/>
      <c r="KSI122" s="41"/>
      <c r="KSJ122" s="41"/>
      <c r="KSK122" s="41"/>
      <c r="KSL122" s="41"/>
      <c r="KSM122" s="41"/>
      <c r="KSN122" s="41"/>
      <c r="KSO122" s="41"/>
      <c r="KSP122" s="41"/>
      <c r="KSQ122" s="41"/>
      <c r="KSR122" s="41"/>
      <c r="KSS122" s="41"/>
      <c r="KST122" s="41"/>
      <c r="KSU122" s="41"/>
      <c r="KSV122" s="41"/>
      <c r="KSW122" s="41"/>
      <c r="KSX122" s="41"/>
      <c r="KSY122" s="41"/>
      <c r="KSZ122" s="41"/>
      <c r="KTA122" s="41"/>
      <c r="KTB122" s="41"/>
      <c r="KTC122" s="41"/>
      <c r="KTD122" s="41"/>
      <c r="KTE122" s="41"/>
      <c r="KTF122" s="41"/>
      <c r="KTG122" s="41"/>
      <c r="KTH122" s="41"/>
      <c r="KTI122" s="41"/>
      <c r="KTJ122" s="41"/>
      <c r="KTK122" s="41"/>
      <c r="KTL122" s="41"/>
      <c r="KTM122" s="41"/>
      <c r="KTN122" s="41"/>
      <c r="KTO122" s="41"/>
      <c r="KTP122" s="41"/>
      <c r="KTQ122" s="41"/>
      <c r="KTR122" s="41"/>
      <c r="KTS122" s="41"/>
      <c r="KTT122" s="41"/>
      <c r="KTU122" s="41"/>
      <c r="KTV122" s="41"/>
      <c r="KTW122" s="41"/>
      <c r="KTX122" s="41"/>
      <c r="KTY122" s="41"/>
      <c r="KTZ122" s="41"/>
      <c r="KUA122" s="41"/>
      <c r="KUB122" s="41"/>
      <c r="KUC122" s="41"/>
      <c r="KUD122" s="41"/>
      <c r="KUE122" s="41"/>
      <c r="KUF122" s="41"/>
      <c r="KUG122" s="41"/>
      <c r="KUH122" s="41"/>
      <c r="KUI122" s="41"/>
      <c r="KUJ122" s="41"/>
      <c r="KUK122" s="41"/>
      <c r="KUL122" s="41"/>
      <c r="KUM122" s="41"/>
      <c r="KUN122" s="41"/>
      <c r="KUO122" s="41"/>
      <c r="KUP122" s="41"/>
      <c r="KUQ122" s="41"/>
      <c r="KUR122" s="41"/>
      <c r="KUS122" s="41"/>
      <c r="KUT122" s="41"/>
      <c r="KUU122" s="41"/>
      <c r="KUV122" s="41"/>
      <c r="KUW122" s="41"/>
      <c r="KUX122" s="41"/>
      <c r="KUY122" s="41"/>
      <c r="KUZ122" s="41"/>
      <c r="KVA122" s="41"/>
      <c r="KVB122" s="41"/>
      <c r="KVC122" s="41"/>
      <c r="KVD122" s="41"/>
      <c r="KVE122" s="41"/>
      <c r="KVF122" s="41"/>
      <c r="KVG122" s="41"/>
      <c r="KVH122" s="41"/>
      <c r="KVI122" s="41"/>
      <c r="KVJ122" s="41"/>
      <c r="KVK122" s="41"/>
      <c r="KVL122" s="41"/>
      <c r="KVM122" s="41"/>
      <c r="KVN122" s="41"/>
      <c r="KVO122" s="41"/>
      <c r="KVP122" s="41"/>
      <c r="KVQ122" s="41"/>
      <c r="KVR122" s="41"/>
      <c r="KVS122" s="41"/>
      <c r="KVT122" s="41"/>
      <c r="KVU122" s="41"/>
      <c r="KVV122" s="41"/>
      <c r="KVW122" s="41"/>
      <c r="KVX122" s="41"/>
      <c r="KVY122" s="41"/>
      <c r="KVZ122" s="41"/>
      <c r="KWA122" s="41"/>
      <c r="KWB122" s="41"/>
      <c r="KWC122" s="41"/>
      <c r="KWD122" s="41"/>
      <c r="KWE122" s="41"/>
      <c r="KWF122" s="41"/>
      <c r="KWG122" s="41"/>
      <c r="KWH122" s="41"/>
      <c r="KWI122" s="41"/>
      <c r="KWJ122" s="41"/>
      <c r="KWK122" s="41"/>
      <c r="KWL122" s="41"/>
      <c r="KWM122" s="41"/>
      <c r="KWN122" s="41"/>
      <c r="KWO122" s="41"/>
      <c r="KWP122" s="41"/>
      <c r="KWQ122" s="41"/>
      <c r="KWR122" s="41"/>
      <c r="KWS122" s="41"/>
      <c r="KWT122" s="41"/>
      <c r="KWU122" s="41"/>
      <c r="KWV122" s="41"/>
      <c r="KWW122" s="41"/>
      <c r="KWX122" s="41"/>
      <c r="KWY122" s="41"/>
      <c r="KWZ122" s="41"/>
      <c r="KXA122" s="41"/>
      <c r="KXB122" s="41"/>
      <c r="KXC122" s="41"/>
      <c r="KXD122" s="41"/>
      <c r="KXE122" s="41"/>
      <c r="KXF122" s="41"/>
      <c r="KXG122" s="41"/>
      <c r="KXH122" s="41"/>
      <c r="KXI122" s="41"/>
      <c r="KXJ122" s="41"/>
      <c r="KXK122" s="41"/>
      <c r="KXL122" s="41"/>
      <c r="KXM122" s="41"/>
      <c r="KXN122" s="41"/>
      <c r="KXO122" s="41"/>
      <c r="KXP122" s="41"/>
      <c r="KXQ122" s="41"/>
      <c r="KXR122" s="41"/>
      <c r="KXS122" s="41"/>
      <c r="KXT122" s="41"/>
      <c r="KXU122" s="41"/>
      <c r="KXV122" s="41"/>
      <c r="KXW122" s="41"/>
      <c r="KXX122" s="41"/>
      <c r="KXY122" s="41"/>
      <c r="KXZ122" s="41"/>
      <c r="KYA122" s="41"/>
      <c r="KYB122" s="41"/>
      <c r="KYC122" s="41"/>
      <c r="KYD122" s="41"/>
      <c r="KYE122" s="41"/>
      <c r="KYF122" s="41"/>
      <c r="KYG122" s="41"/>
      <c r="KYH122" s="41"/>
      <c r="KYI122" s="41"/>
      <c r="KYJ122" s="41"/>
      <c r="KYK122" s="41"/>
      <c r="KYL122" s="41"/>
      <c r="KYM122" s="41"/>
      <c r="KYN122" s="41"/>
      <c r="KYO122" s="41"/>
      <c r="KYP122" s="41"/>
      <c r="KYQ122" s="41"/>
      <c r="KYR122" s="41"/>
      <c r="KYS122" s="41"/>
      <c r="KYT122" s="41"/>
      <c r="KYU122" s="41"/>
      <c r="KYV122" s="41"/>
      <c r="KYW122" s="41"/>
      <c r="KYX122" s="41"/>
      <c r="KYY122" s="41"/>
      <c r="KYZ122" s="41"/>
      <c r="KZA122" s="41"/>
      <c r="KZB122" s="41"/>
      <c r="KZC122" s="41"/>
      <c r="KZD122" s="41"/>
      <c r="KZE122" s="41"/>
      <c r="KZF122" s="41"/>
      <c r="KZG122" s="41"/>
      <c r="KZH122" s="41"/>
      <c r="KZI122" s="41"/>
      <c r="KZJ122" s="41"/>
      <c r="KZK122" s="41"/>
      <c r="KZL122" s="41"/>
      <c r="KZM122" s="41"/>
      <c r="KZN122" s="41"/>
      <c r="KZO122" s="41"/>
      <c r="KZP122" s="41"/>
      <c r="KZQ122" s="41"/>
      <c r="KZR122" s="41"/>
      <c r="KZS122" s="41"/>
      <c r="KZT122" s="41"/>
      <c r="KZU122" s="41"/>
      <c r="KZV122" s="41"/>
      <c r="KZW122" s="41"/>
      <c r="KZX122" s="41"/>
      <c r="KZY122" s="41"/>
      <c r="KZZ122" s="41"/>
      <c r="LAA122" s="41"/>
      <c r="LAB122" s="41"/>
      <c r="LAC122" s="41"/>
      <c r="LAD122" s="41"/>
      <c r="LAE122" s="41"/>
      <c r="LAF122" s="41"/>
      <c r="LAG122" s="41"/>
      <c r="LAH122" s="41"/>
      <c r="LAI122" s="41"/>
      <c r="LAJ122" s="41"/>
      <c r="LAK122" s="41"/>
      <c r="LAL122" s="41"/>
      <c r="LAM122" s="41"/>
      <c r="LAN122" s="41"/>
      <c r="LAO122" s="41"/>
      <c r="LAP122" s="41"/>
      <c r="LAQ122" s="41"/>
      <c r="LAR122" s="41"/>
      <c r="LAS122" s="41"/>
      <c r="LAT122" s="41"/>
      <c r="LAU122" s="41"/>
      <c r="LAV122" s="41"/>
      <c r="LAW122" s="41"/>
      <c r="LAX122" s="41"/>
      <c r="LAY122" s="41"/>
      <c r="LAZ122" s="41"/>
      <c r="LBA122" s="41"/>
      <c r="LBB122" s="41"/>
      <c r="LBC122" s="41"/>
      <c r="LBD122" s="41"/>
      <c r="LBE122" s="41"/>
      <c r="LBF122" s="41"/>
      <c r="LBG122" s="41"/>
      <c r="LBH122" s="41"/>
      <c r="LBI122" s="41"/>
      <c r="LBJ122" s="41"/>
      <c r="LBK122" s="41"/>
      <c r="LBL122" s="41"/>
      <c r="LBM122" s="41"/>
      <c r="LBN122" s="41"/>
      <c r="LBO122" s="41"/>
      <c r="LBP122" s="41"/>
      <c r="LBQ122" s="41"/>
      <c r="LBR122" s="41"/>
      <c r="LBS122" s="41"/>
      <c r="LBT122" s="41"/>
      <c r="LBU122" s="41"/>
      <c r="LBV122" s="41"/>
      <c r="LBW122" s="41"/>
      <c r="LBX122" s="41"/>
      <c r="LBY122" s="41"/>
      <c r="LBZ122" s="41"/>
      <c r="LCA122" s="41"/>
      <c r="LCB122" s="41"/>
      <c r="LCC122" s="41"/>
      <c r="LCD122" s="41"/>
      <c r="LCE122" s="41"/>
      <c r="LCF122" s="41"/>
      <c r="LCG122" s="41"/>
      <c r="LCH122" s="41"/>
      <c r="LCI122" s="41"/>
      <c r="LCJ122" s="41"/>
      <c r="LCK122" s="41"/>
      <c r="LCL122" s="41"/>
      <c r="LCM122" s="41"/>
      <c r="LCN122" s="41"/>
      <c r="LCO122" s="41"/>
      <c r="LCP122" s="41"/>
      <c r="LCQ122" s="41"/>
      <c r="LCR122" s="41"/>
      <c r="LCS122" s="41"/>
      <c r="LCT122" s="41"/>
      <c r="LCU122" s="41"/>
      <c r="LCV122" s="41"/>
      <c r="LCW122" s="41"/>
      <c r="LCX122" s="41"/>
      <c r="LCY122" s="41"/>
      <c r="LCZ122" s="41"/>
      <c r="LDA122" s="41"/>
      <c r="LDB122" s="41"/>
      <c r="LDC122" s="41"/>
      <c r="LDD122" s="41"/>
      <c r="LDE122" s="41"/>
      <c r="LDF122" s="41"/>
      <c r="LDG122" s="41"/>
      <c r="LDH122" s="41"/>
      <c r="LDI122" s="41"/>
      <c r="LDJ122" s="41"/>
      <c r="LDK122" s="41"/>
      <c r="LDL122" s="41"/>
      <c r="LDM122" s="41"/>
      <c r="LDN122" s="41"/>
      <c r="LDO122" s="41"/>
      <c r="LDP122" s="41"/>
      <c r="LDQ122" s="41"/>
      <c r="LDR122" s="41"/>
      <c r="LDS122" s="41"/>
      <c r="LDT122" s="41"/>
      <c r="LDU122" s="41"/>
      <c r="LDV122" s="41"/>
      <c r="LDW122" s="41"/>
      <c r="LDX122" s="41"/>
      <c r="LDY122" s="41"/>
      <c r="LDZ122" s="41"/>
      <c r="LEA122" s="41"/>
      <c r="LEB122" s="41"/>
      <c r="LEC122" s="41"/>
      <c r="LED122" s="41"/>
      <c r="LEE122" s="41"/>
      <c r="LEF122" s="41"/>
      <c r="LEG122" s="41"/>
      <c r="LEH122" s="41"/>
      <c r="LEI122" s="41"/>
      <c r="LEJ122" s="41"/>
      <c r="LEK122" s="41"/>
      <c r="LEL122" s="41"/>
      <c r="LEM122" s="41"/>
      <c r="LEN122" s="41"/>
      <c r="LEO122" s="41"/>
      <c r="LEP122" s="41"/>
      <c r="LEQ122" s="41"/>
      <c r="LER122" s="41"/>
      <c r="LES122" s="41"/>
      <c r="LET122" s="41"/>
      <c r="LEU122" s="41"/>
      <c r="LEV122" s="41"/>
      <c r="LEW122" s="41"/>
      <c r="LEX122" s="41"/>
      <c r="LEY122" s="41"/>
      <c r="LEZ122" s="41"/>
      <c r="LFA122" s="41"/>
      <c r="LFB122" s="41"/>
      <c r="LFC122" s="41"/>
      <c r="LFD122" s="41"/>
      <c r="LFE122" s="41"/>
      <c r="LFF122" s="41"/>
      <c r="LFG122" s="41"/>
      <c r="LFH122" s="41"/>
      <c r="LFI122" s="41"/>
      <c r="LFJ122" s="41"/>
      <c r="LFK122" s="41"/>
      <c r="LFL122" s="41"/>
      <c r="LFM122" s="41"/>
      <c r="LFN122" s="41"/>
      <c r="LFO122" s="41"/>
      <c r="LFP122" s="41"/>
      <c r="LFQ122" s="41"/>
      <c r="LFR122" s="41"/>
      <c r="LFS122" s="41"/>
      <c r="LFT122" s="41"/>
      <c r="LFU122" s="41"/>
      <c r="LFV122" s="41"/>
      <c r="LFW122" s="41"/>
      <c r="LFX122" s="41"/>
      <c r="LFY122" s="41"/>
      <c r="LFZ122" s="41"/>
      <c r="LGA122" s="41"/>
      <c r="LGB122" s="41"/>
      <c r="LGC122" s="41"/>
      <c r="LGD122" s="41"/>
      <c r="LGE122" s="41"/>
      <c r="LGF122" s="41"/>
      <c r="LGG122" s="41"/>
      <c r="LGH122" s="41"/>
      <c r="LGI122" s="41"/>
      <c r="LGJ122" s="41"/>
      <c r="LGK122" s="41"/>
      <c r="LGL122" s="41"/>
      <c r="LGM122" s="41"/>
      <c r="LGN122" s="41"/>
      <c r="LGO122" s="41"/>
      <c r="LGP122" s="41"/>
      <c r="LGQ122" s="41"/>
      <c r="LGR122" s="41"/>
      <c r="LGS122" s="41"/>
      <c r="LGT122" s="41"/>
      <c r="LGU122" s="41"/>
      <c r="LGV122" s="41"/>
      <c r="LGW122" s="41"/>
      <c r="LGX122" s="41"/>
      <c r="LGY122" s="41"/>
      <c r="LGZ122" s="41"/>
      <c r="LHA122" s="41"/>
      <c r="LHB122" s="41"/>
      <c r="LHC122" s="41"/>
      <c r="LHD122" s="41"/>
      <c r="LHE122" s="41"/>
      <c r="LHF122" s="41"/>
      <c r="LHG122" s="41"/>
      <c r="LHH122" s="41"/>
      <c r="LHI122" s="41"/>
      <c r="LHJ122" s="41"/>
      <c r="LHK122" s="41"/>
      <c r="LHL122" s="41"/>
      <c r="LHM122" s="41"/>
      <c r="LHN122" s="41"/>
      <c r="LHO122" s="41"/>
      <c r="LHP122" s="41"/>
      <c r="LHQ122" s="41"/>
      <c r="LHR122" s="41"/>
      <c r="LHS122" s="41"/>
      <c r="LHT122" s="41"/>
      <c r="LHU122" s="41"/>
      <c r="LHV122" s="41"/>
      <c r="LHW122" s="41"/>
      <c r="LHX122" s="41"/>
      <c r="LHY122" s="41"/>
      <c r="LHZ122" s="41"/>
      <c r="LIA122" s="41"/>
      <c r="LIB122" s="41"/>
      <c r="LIC122" s="41"/>
      <c r="LID122" s="41"/>
      <c r="LIE122" s="41"/>
      <c r="LIF122" s="41"/>
      <c r="LIG122" s="41"/>
      <c r="LIH122" s="41"/>
      <c r="LII122" s="41"/>
      <c r="LIJ122" s="41"/>
      <c r="LIK122" s="41"/>
      <c r="LIL122" s="41"/>
      <c r="LIM122" s="41"/>
      <c r="LIN122" s="41"/>
      <c r="LIO122" s="41"/>
      <c r="LIP122" s="41"/>
      <c r="LIQ122" s="41"/>
      <c r="LIR122" s="41"/>
      <c r="LIS122" s="41"/>
      <c r="LIT122" s="41"/>
      <c r="LIU122" s="41"/>
      <c r="LIV122" s="41"/>
      <c r="LIW122" s="41"/>
      <c r="LIX122" s="41"/>
      <c r="LIY122" s="41"/>
      <c r="LIZ122" s="41"/>
      <c r="LJA122" s="41"/>
      <c r="LJB122" s="41"/>
      <c r="LJC122" s="41"/>
      <c r="LJD122" s="41"/>
      <c r="LJE122" s="41"/>
      <c r="LJF122" s="41"/>
      <c r="LJG122" s="41"/>
      <c r="LJH122" s="41"/>
      <c r="LJI122" s="41"/>
      <c r="LJJ122" s="41"/>
      <c r="LJK122" s="41"/>
      <c r="LJL122" s="41"/>
      <c r="LJM122" s="41"/>
      <c r="LJN122" s="41"/>
      <c r="LJO122" s="41"/>
      <c r="LJP122" s="41"/>
      <c r="LJQ122" s="41"/>
      <c r="LJR122" s="41"/>
      <c r="LJS122" s="41"/>
      <c r="LJT122" s="41"/>
      <c r="LJU122" s="41"/>
      <c r="LJV122" s="41"/>
      <c r="LJW122" s="41"/>
      <c r="LJX122" s="41"/>
      <c r="LJY122" s="41"/>
      <c r="LJZ122" s="41"/>
      <c r="LKA122" s="41"/>
      <c r="LKB122" s="41"/>
      <c r="LKC122" s="41"/>
      <c r="LKD122" s="41"/>
      <c r="LKE122" s="41"/>
      <c r="LKF122" s="41"/>
      <c r="LKG122" s="41"/>
      <c r="LKH122" s="41"/>
      <c r="LKI122" s="41"/>
      <c r="LKJ122" s="41"/>
      <c r="LKK122" s="41"/>
      <c r="LKL122" s="41"/>
      <c r="LKM122" s="41"/>
      <c r="LKN122" s="41"/>
      <c r="LKO122" s="41"/>
      <c r="LKP122" s="41"/>
      <c r="LKQ122" s="41"/>
      <c r="LKR122" s="41"/>
      <c r="LKS122" s="41"/>
      <c r="LKT122" s="41"/>
      <c r="LKU122" s="41"/>
      <c r="LKV122" s="41"/>
      <c r="LKW122" s="41"/>
      <c r="LKX122" s="41"/>
      <c r="LKY122" s="41"/>
      <c r="LKZ122" s="41"/>
      <c r="LLA122" s="41"/>
      <c r="LLB122" s="41"/>
      <c r="LLC122" s="41"/>
      <c r="LLD122" s="41"/>
      <c r="LLE122" s="41"/>
      <c r="LLF122" s="41"/>
      <c r="LLG122" s="41"/>
      <c r="LLH122" s="41"/>
      <c r="LLI122" s="41"/>
      <c r="LLJ122" s="41"/>
      <c r="LLK122" s="41"/>
      <c r="LLL122" s="41"/>
      <c r="LLM122" s="41"/>
      <c r="LLN122" s="41"/>
      <c r="LLO122" s="41"/>
      <c r="LLP122" s="41"/>
      <c r="LLQ122" s="41"/>
      <c r="LLR122" s="41"/>
      <c r="LLS122" s="41"/>
      <c r="LLT122" s="41"/>
      <c r="LLU122" s="41"/>
      <c r="LLV122" s="41"/>
      <c r="LLW122" s="41"/>
      <c r="LLX122" s="41"/>
      <c r="LLY122" s="41"/>
      <c r="LLZ122" s="41"/>
      <c r="LMA122" s="41"/>
      <c r="LMB122" s="41"/>
      <c r="LMC122" s="41"/>
      <c r="LMD122" s="41"/>
      <c r="LME122" s="41"/>
      <c r="LMF122" s="41"/>
      <c r="LMG122" s="41"/>
      <c r="LMH122" s="41"/>
      <c r="LMI122" s="41"/>
      <c r="LMJ122" s="41"/>
      <c r="LMK122" s="41"/>
      <c r="LML122" s="41"/>
      <c r="LMM122" s="41"/>
      <c r="LMN122" s="41"/>
      <c r="LMO122" s="41"/>
      <c r="LMP122" s="41"/>
      <c r="LMQ122" s="41"/>
      <c r="LMR122" s="41"/>
      <c r="LMS122" s="41"/>
      <c r="LMT122" s="41"/>
      <c r="LMU122" s="41"/>
      <c r="LMV122" s="41"/>
      <c r="LMW122" s="41"/>
      <c r="LMX122" s="41"/>
      <c r="LMY122" s="41"/>
      <c r="LMZ122" s="41"/>
      <c r="LNA122" s="41"/>
      <c r="LNB122" s="41"/>
      <c r="LNC122" s="41"/>
      <c r="LND122" s="41"/>
      <c r="LNE122" s="41"/>
      <c r="LNF122" s="41"/>
      <c r="LNG122" s="41"/>
      <c r="LNH122" s="41"/>
      <c r="LNI122" s="41"/>
      <c r="LNJ122" s="41"/>
      <c r="LNK122" s="41"/>
      <c r="LNL122" s="41"/>
      <c r="LNM122" s="41"/>
      <c r="LNN122" s="41"/>
      <c r="LNO122" s="41"/>
      <c r="LNP122" s="41"/>
      <c r="LNQ122" s="41"/>
      <c r="LNR122" s="41"/>
      <c r="LNS122" s="41"/>
      <c r="LNT122" s="41"/>
      <c r="LNU122" s="41"/>
      <c r="LNV122" s="41"/>
      <c r="LNW122" s="41"/>
      <c r="LNX122" s="41"/>
      <c r="LNY122" s="41"/>
      <c r="LNZ122" s="41"/>
      <c r="LOA122" s="41"/>
      <c r="LOB122" s="41"/>
      <c r="LOC122" s="41"/>
      <c r="LOD122" s="41"/>
      <c r="LOE122" s="41"/>
      <c r="LOF122" s="41"/>
      <c r="LOG122" s="41"/>
      <c r="LOH122" s="41"/>
      <c r="LOI122" s="41"/>
      <c r="LOJ122" s="41"/>
      <c r="LOK122" s="41"/>
      <c r="LOL122" s="41"/>
      <c r="LOM122" s="41"/>
      <c r="LON122" s="41"/>
      <c r="LOO122" s="41"/>
      <c r="LOP122" s="41"/>
      <c r="LOQ122" s="41"/>
      <c r="LOR122" s="41"/>
      <c r="LOS122" s="41"/>
      <c r="LOT122" s="41"/>
      <c r="LOU122" s="41"/>
      <c r="LOV122" s="41"/>
      <c r="LOW122" s="41"/>
      <c r="LOX122" s="41"/>
      <c r="LOY122" s="41"/>
      <c r="LOZ122" s="41"/>
      <c r="LPA122" s="41"/>
      <c r="LPB122" s="41"/>
      <c r="LPC122" s="41"/>
      <c r="LPD122" s="41"/>
      <c r="LPE122" s="41"/>
      <c r="LPF122" s="41"/>
      <c r="LPG122" s="41"/>
      <c r="LPH122" s="41"/>
      <c r="LPI122" s="41"/>
      <c r="LPJ122" s="41"/>
      <c r="LPK122" s="41"/>
      <c r="LPL122" s="41"/>
      <c r="LPM122" s="41"/>
      <c r="LPN122" s="41"/>
      <c r="LPO122" s="41"/>
      <c r="LPP122" s="41"/>
      <c r="LPQ122" s="41"/>
      <c r="LPR122" s="41"/>
      <c r="LPS122" s="41"/>
      <c r="LPT122" s="41"/>
      <c r="LPU122" s="41"/>
      <c r="LPV122" s="41"/>
      <c r="LPW122" s="41"/>
      <c r="LPX122" s="41"/>
      <c r="LPY122" s="41"/>
      <c r="LPZ122" s="41"/>
      <c r="LQA122" s="41"/>
      <c r="LQB122" s="41"/>
      <c r="LQC122" s="41"/>
      <c r="LQD122" s="41"/>
      <c r="LQE122" s="41"/>
      <c r="LQF122" s="41"/>
      <c r="LQG122" s="41"/>
      <c r="LQH122" s="41"/>
      <c r="LQI122" s="41"/>
      <c r="LQJ122" s="41"/>
      <c r="LQK122" s="41"/>
      <c r="LQL122" s="41"/>
      <c r="LQM122" s="41"/>
      <c r="LQN122" s="41"/>
      <c r="LQO122" s="41"/>
      <c r="LQP122" s="41"/>
      <c r="LQQ122" s="41"/>
      <c r="LQR122" s="41"/>
      <c r="LQS122" s="41"/>
      <c r="LQT122" s="41"/>
      <c r="LQU122" s="41"/>
      <c r="LQV122" s="41"/>
      <c r="LQW122" s="41"/>
      <c r="LQX122" s="41"/>
      <c r="LQY122" s="41"/>
      <c r="LQZ122" s="41"/>
      <c r="LRA122" s="41"/>
      <c r="LRB122" s="41"/>
      <c r="LRC122" s="41"/>
      <c r="LRD122" s="41"/>
      <c r="LRE122" s="41"/>
      <c r="LRF122" s="41"/>
      <c r="LRG122" s="41"/>
      <c r="LRH122" s="41"/>
      <c r="LRI122" s="41"/>
      <c r="LRJ122" s="41"/>
      <c r="LRK122" s="41"/>
      <c r="LRL122" s="41"/>
      <c r="LRM122" s="41"/>
      <c r="LRN122" s="41"/>
      <c r="LRO122" s="41"/>
      <c r="LRP122" s="41"/>
      <c r="LRQ122" s="41"/>
      <c r="LRR122" s="41"/>
      <c r="LRS122" s="41"/>
      <c r="LRT122" s="41"/>
      <c r="LRU122" s="41"/>
      <c r="LRV122" s="41"/>
      <c r="LRW122" s="41"/>
      <c r="LRX122" s="41"/>
      <c r="LRY122" s="41"/>
      <c r="LRZ122" s="41"/>
      <c r="LSA122" s="41"/>
      <c r="LSB122" s="41"/>
      <c r="LSC122" s="41"/>
      <c r="LSD122" s="41"/>
      <c r="LSE122" s="41"/>
      <c r="LSF122" s="41"/>
      <c r="LSG122" s="41"/>
      <c r="LSH122" s="41"/>
      <c r="LSI122" s="41"/>
      <c r="LSJ122" s="41"/>
      <c r="LSK122" s="41"/>
      <c r="LSL122" s="41"/>
      <c r="LSM122" s="41"/>
      <c r="LSN122" s="41"/>
      <c r="LSO122" s="41"/>
      <c r="LSP122" s="41"/>
      <c r="LSQ122" s="41"/>
      <c r="LSR122" s="41"/>
      <c r="LSS122" s="41"/>
      <c r="LST122" s="41"/>
      <c r="LSU122" s="41"/>
      <c r="LSV122" s="41"/>
      <c r="LSW122" s="41"/>
      <c r="LSX122" s="41"/>
      <c r="LSY122" s="41"/>
      <c r="LSZ122" s="41"/>
      <c r="LTA122" s="41"/>
      <c r="LTB122" s="41"/>
      <c r="LTC122" s="41"/>
      <c r="LTD122" s="41"/>
      <c r="LTE122" s="41"/>
      <c r="LTF122" s="41"/>
      <c r="LTG122" s="41"/>
      <c r="LTH122" s="41"/>
      <c r="LTI122" s="41"/>
      <c r="LTJ122" s="41"/>
      <c r="LTK122" s="41"/>
      <c r="LTL122" s="41"/>
      <c r="LTM122" s="41"/>
      <c r="LTN122" s="41"/>
      <c r="LTO122" s="41"/>
      <c r="LTP122" s="41"/>
      <c r="LTQ122" s="41"/>
      <c r="LTR122" s="41"/>
      <c r="LTS122" s="41"/>
      <c r="LTT122" s="41"/>
      <c r="LTU122" s="41"/>
      <c r="LTV122" s="41"/>
      <c r="LTW122" s="41"/>
      <c r="LTX122" s="41"/>
      <c r="LTY122" s="41"/>
      <c r="LTZ122" s="41"/>
      <c r="LUA122" s="41"/>
      <c r="LUB122" s="41"/>
      <c r="LUC122" s="41"/>
      <c r="LUD122" s="41"/>
      <c r="LUE122" s="41"/>
      <c r="LUF122" s="41"/>
      <c r="LUG122" s="41"/>
      <c r="LUH122" s="41"/>
      <c r="LUI122" s="41"/>
      <c r="LUJ122" s="41"/>
      <c r="LUK122" s="41"/>
      <c r="LUL122" s="41"/>
      <c r="LUM122" s="41"/>
      <c r="LUN122" s="41"/>
      <c r="LUO122" s="41"/>
      <c r="LUP122" s="41"/>
      <c r="LUQ122" s="41"/>
      <c r="LUR122" s="41"/>
      <c r="LUS122" s="41"/>
      <c r="LUT122" s="41"/>
      <c r="LUU122" s="41"/>
      <c r="LUV122" s="41"/>
      <c r="LUW122" s="41"/>
      <c r="LUX122" s="41"/>
      <c r="LUY122" s="41"/>
      <c r="LUZ122" s="41"/>
      <c r="LVA122" s="41"/>
      <c r="LVB122" s="41"/>
      <c r="LVC122" s="41"/>
      <c r="LVD122" s="41"/>
      <c r="LVE122" s="41"/>
      <c r="LVF122" s="41"/>
      <c r="LVG122" s="41"/>
      <c r="LVH122" s="41"/>
      <c r="LVI122" s="41"/>
      <c r="LVJ122" s="41"/>
      <c r="LVK122" s="41"/>
      <c r="LVL122" s="41"/>
      <c r="LVM122" s="41"/>
      <c r="LVN122" s="41"/>
      <c r="LVO122" s="41"/>
      <c r="LVP122" s="41"/>
      <c r="LVQ122" s="41"/>
      <c r="LVR122" s="41"/>
      <c r="LVS122" s="41"/>
      <c r="LVT122" s="41"/>
      <c r="LVU122" s="41"/>
      <c r="LVV122" s="41"/>
      <c r="LVW122" s="41"/>
      <c r="LVX122" s="41"/>
      <c r="LVY122" s="41"/>
      <c r="LVZ122" s="41"/>
      <c r="LWA122" s="41"/>
      <c r="LWB122" s="41"/>
      <c r="LWC122" s="41"/>
      <c r="LWD122" s="41"/>
      <c r="LWE122" s="41"/>
      <c r="LWF122" s="41"/>
      <c r="LWG122" s="41"/>
      <c r="LWH122" s="41"/>
      <c r="LWI122" s="41"/>
      <c r="LWJ122" s="41"/>
      <c r="LWK122" s="41"/>
      <c r="LWL122" s="41"/>
      <c r="LWM122" s="41"/>
      <c r="LWN122" s="41"/>
      <c r="LWO122" s="41"/>
      <c r="LWP122" s="41"/>
      <c r="LWQ122" s="41"/>
      <c r="LWR122" s="41"/>
      <c r="LWS122" s="41"/>
      <c r="LWT122" s="41"/>
      <c r="LWU122" s="41"/>
      <c r="LWV122" s="41"/>
      <c r="LWW122" s="41"/>
      <c r="LWX122" s="41"/>
      <c r="LWY122" s="41"/>
      <c r="LWZ122" s="41"/>
      <c r="LXA122" s="41"/>
      <c r="LXB122" s="41"/>
      <c r="LXC122" s="41"/>
      <c r="LXD122" s="41"/>
      <c r="LXE122" s="41"/>
      <c r="LXF122" s="41"/>
      <c r="LXG122" s="41"/>
      <c r="LXH122" s="41"/>
      <c r="LXI122" s="41"/>
      <c r="LXJ122" s="41"/>
      <c r="LXK122" s="41"/>
      <c r="LXL122" s="41"/>
      <c r="LXM122" s="41"/>
      <c r="LXN122" s="41"/>
      <c r="LXO122" s="41"/>
      <c r="LXP122" s="41"/>
      <c r="LXQ122" s="41"/>
      <c r="LXR122" s="41"/>
      <c r="LXS122" s="41"/>
      <c r="LXT122" s="41"/>
      <c r="LXU122" s="41"/>
      <c r="LXV122" s="41"/>
      <c r="LXW122" s="41"/>
      <c r="LXX122" s="41"/>
      <c r="LXY122" s="41"/>
      <c r="LXZ122" s="41"/>
      <c r="LYA122" s="41"/>
      <c r="LYB122" s="41"/>
      <c r="LYC122" s="41"/>
      <c r="LYD122" s="41"/>
      <c r="LYE122" s="41"/>
      <c r="LYF122" s="41"/>
      <c r="LYG122" s="41"/>
      <c r="LYH122" s="41"/>
      <c r="LYI122" s="41"/>
      <c r="LYJ122" s="41"/>
      <c r="LYK122" s="41"/>
      <c r="LYL122" s="41"/>
      <c r="LYM122" s="41"/>
      <c r="LYN122" s="41"/>
      <c r="LYO122" s="41"/>
      <c r="LYP122" s="41"/>
      <c r="LYQ122" s="41"/>
      <c r="LYR122" s="41"/>
      <c r="LYS122" s="41"/>
      <c r="LYT122" s="41"/>
      <c r="LYU122" s="41"/>
      <c r="LYV122" s="41"/>
      <c r="LYW122" s="41"/>
      <c r="LYX122" s="41"/>
      <c r="LYY122" s="41"/>
      <c r="LYZ122" s="41"/>
      <c r="LZA122" s="41"/>
      <c r="LZB122" s="41"/>
      <c r="LZC122" s="41"/>
      <c r="LZD122" s="41"/>
      <c r="LZE122" s="41"/>
      <c r="LZF122" s="41"/>
      <c r="LZG122" s="41"/>
      <c r="LZH122" s="41"/>
      <c r="LZI122" s="41"/>
      <c r="LZJ122" s="41"/>
      <c r="LZK122" s="41"/>
      <c r="LZL122" s="41"/>
      <c r="LZM122" s="41"/>
      <c r="LZN122" s="41"/>
      <c r="LZO122" s="41"/>
      <c r="LZP122" s="41"/>
      <c r="LZQ122" s="41"/>
      <c r="LZR122" s="41"/>
      <c r="LZS122" s="41"/>
      <c r="LZT122" s="41"/>
      <c r="LZU122" s="41"/>
      <c r="LZV122" s="41"/>
      <c r="LZW122" s="41"/>
      <c r="LZX122" s="41"/>
      <c r="LZY122" s="41"/>
      <c r="LZZ122" s="41"/>
      <c r="MAA122" s="41"/>
      <c r="MAB122" s="41"/>
      <c r="MAC122" s="41"/>
      <c r="MAD122" s="41"/>
      <c r="MAE122" s="41"/>
      <c r="MAF122" s="41"/>
      <c r="MAG122" s="41"/>
      <c r="MAH122" s="41"/>
      <c r="MAI122" s="41"/>
      <c r="MAJ122" s="41"/>
      <c r="MAK122" s="41"/>
      <c r="MAL122" s="41"/>
      <c r="MAM122" s="41"/>
      <c r="MAN122" s="41"/>
      <c r="MAO122" s="41"/>
      <c r="MAP122" s="41"/>
      <c r="MAQ122" s="41"/>
      <c r="MAR122" s="41"/>
      <c r="MAS122" s="41"/>
      <c r="MAT122" s="41"/>
      <c r="MAU122" s="41"/>
      <c r="MAV122" s="41"/>
      <c r="MAW122" s="41"/>
      <c r="MAX122" s="41"/>
      <c r="MAY122" s="41"/>
      <c r="MAZ122" s="41"/>
      <c r="MBA122" s="41"/>
      <c r="MBB122" s="41"/>
      <c r="MBC122" s="41"/>
      <c r="MBD122" s="41"/>
      <c r="MBE122" s="41"/>
      <c r="MBF122" s="41"/>
      <c r="MBG122" s="41"/>
      <c r="MBH122" s="41"/>
      <c r="MBI122" s="41"/>
      <c r="MBJ122" s="41"/>
      <c r="MBK122" s="41"/>
      <c r="MBL122" s="41"/>
      <c r="MBM122" s="41"/>
      <c r="MBN122" s="41"/>
      <c r="MBO122" s="41"/>
      <c r="MBP122" s="41"/>
      <c r="MBQ122" s="41"/>
      <c r="MBR122" s="41"/>
      <c r="MBS122" s="41"/>
      <c r="MBT122" s="41"/>
      <c r="MBU122" s="41"/>
      <c r="MBV122" s="41"/>
      <c r="MBW122" s="41"/>
      <c r="MBX122" s="41"/>
      <c r="MBY122" s="41"/>
      <c r="MBZ122" s="41"/>
      <c r="MCA122" s="41"/>
      <c r="MCB122" s="41"/>
      <c r="MCC122" s="41"/>
      <c r="MCD122" s="41"/>
      <c r="MCE122" s="41"/>
      <c r="MCF122" s="41"/>
      <c r="MCG122" s="41"/>
      <c r="MCH122" s="41"/>
      <c r="MCI122" s="41"/>
      <c r="MCJ122" s="41"/>
      <c r="MCK122" s="41"/>
      <c r="MCL122" s="41"/>
      <c r="MCM122" s="41"/>
      <c r="MCN122" s="41"/>
      <c r="MCO122" s="41"/>
      <c r="MCP122" s="41"/>
      <c r="MCQ122" s="41"/>
      <c r="MCR122" s="41"/>
      <c r="MCS122" s="41"/>
      <c r="MCT122" s="41"/>
      <c r="MCU122" s="41"/>
      <c r="MCV122" s="41"/>
      <c r="MCW122" s="41"/>
      <c r="MCX122" s="41"/>
      <c r="MCY122" s="41"/>
      <c r="MCZ122" s="41"/>
      <c r="MDA122" s="41"/>
      <c r="MDB122" s="41"/>
      <c r="MDC122" s="41"/>
      <c r="MDD122" s="41"/>
      <c r="MDE122" s="41"/>
      <c r="MDF122" s="41"/>
      <c r="MDG122" s="41"/>
      <c r="MDH122" s="41"/>
      <c r="MDI122" s="41"/>
      <c r="MDJ122" s="41"/>
      <c r="MDK122" s="41"/>
      <c r="MDL122" s="41"/>
      <c r="MDM122" s="41"/>
      <c r="MDN122" s="41"/>
      <c r="MDO122" s="41"/>
      <c r="MDP122" s="41"/>
      <c r="MDQ122" s="41"/>
      <c r="MDR122" s="41"/>
      <c r="MDS122" s="41"/>
      <c r="MDT122" s="41"/>
      <c r="MDU122" s="41"/>
      <c r="MDV122" s="41"/>
      <c r="MDW122" s="41"/>
      <c r="MDX122" s="41"/>
      <c r="MDY122" s="41"/>
      <c r="MDZ122" s="41"/>
      <c r="MEA122" s="41"/>
      <c r="MEB122" s="41"/>
      <c r="MEC122" s="41"/>
      <c r="MED122" s="41"/>
      <c r="MEE122" s="41"/>
      <c r="MEF122" s="41"/>
      <c r="MEG122" s="41"/>
      <c r="MEH122" s="41"/>
      <c r="MEI122" s="41"/>
      <c r="MEJ122" s="41"/>
      <c r="MEK122" s="41"/>
      <c r="MEL122" s="41"/>
      <c r="MEM122" s="41"/>
      <c r="MEN122" s="41"/>
      <c r="MEO122" s="41"/>
      <c r="MEP122" s="41"/>
      <c r="MEQ122" s="41"/>
      <c r="MER122" s="41"/>
      <c r="MES122" s="41"/>
      <c r="MET122" s="41"/>
      <c r="MEU122" s="41"/>
      <c r="MEV122" s="41"/>
      <c r="MEW122" s="41"/>
      <c r="MEX122" s="41"/>
      <c r="MEY122" s="41"/>
      <c r="MEZ122" s="41"/>
      <c r="MFA122" s="41"/>
      <c r="MFB122" s="41"/>
      <c r="MFC122" s="41"/>
      <c r="MFD122" s="41"/>
      <c r="MFE122" s="41"/>
      <c r="MFF122" s="41"/>
      <c r="MFG122" s="41"/>
      <c r="MFH122" s="41"/>
      <c r="MFI122" s="41"/>
      <c r="MFJ122" s="41"/>
      <c r="MFK122" s="41"/>
      <c r="MFL122" s="41"/>
      <c r="MFM122" s="41"/>
      <c r="MFN122" s="41"/>
      <c r="MFO122" s="41"/>
      <c r="MFP122" s="41"/>
      <c r="MFQ122" s="41"/>
      <c r="MFR122" s="41"/>
      <c r="MFS122" s="41"/>
      <c r="MFT122" s="41"/>
      <c r="MFU122" s="41"/>
      <c r="MFV122" s="41"/>
      <c r="MFW122" s="41"/>
      <c r="MFX122" s="41"/>
      <c r="MFY122" s="41"/>
      <c r="MFZ122" s="41"/>
      <c r="MGA122" s="41"/>
      <c r="MGB122" s="41"/>
      <c r="MGC122" s="41"/>
      <c r="MGD122" s="41"/>
      <c r="MGE122" s="41"/>
      <c r="MGF122" s="41"/>
      <c r="MGG122" s="41"/>
      <c r="MGH122" s="41"/>
      <c r="MGI122" s="41"/>
      <c r="MGJ122" s="41"/>
      <c r="MGK122" s="41"/>
      <c r="MGL122" s="41"/>
      <c r="MGM122" s="41"/>
      <c r="MGN122" s="41"/>
      <c r="MGO122" s="41"/>
      <c r="MGP122" s="41"/>
      <c r="MGQ122" s="41"/>
      <c r="MGR122" s="41"/>
      <c r="MGS122" s="41"/>
      <c r="MGT122" s="41"/>
      <c r="MGU122" s="41"/>
      <c r="MGV122" s="41"/>
      <c r="MGW122" s="41"/>
      <c r="MGX122" s="41"/>
      <c r="MGY122" s="41"/>
      <c r="MGZ122" s="41"/>
      <c r="MHA122" s="41"/>
      <c r="MHB122" s="41"/>
      <c r="MHC122" s="41"/>
      <c r="MHD122" s="41"/>
      <c r="MHE122" s="41"/>
      <c r="MHF122" s="41"/>
      <c r="MHG122" s="41"/>
      <c r="MHH122" s="41"/>
      <c r="MHI122" s="41"/>
      <c r="MHJ122" s="41"/>
      <c r="MHK122" s="41"/>
      <c r="MHL122" s="41"/>
      <c r="MHM122" s="41"/>
      <c r="MHN122" s="41"/>
      <c r="MHO122" s="41"/>
      <c r="MHP122" s="41"/>
      <c r="MHQ122" s="41"/>
      <c r="MHR122" s="41"/>
      <c r="MHS122" s="41"/>
      <c r="MHT122" s="41"/>
      <c r="MHU122" s="41"/>
      <c r="MHV122" s="41"/>
      <c r="MHW122" s="41"/>
      <c r="MHX122" s="41"/>
      <c r="MHY122" s="41"/>
      <c r="MHZ122" s="41"/>
      <c r="MIA122" s="41"/>
      <c r="MIB122" s="41"/>
      <c r="MIC122" s="41"/>
      <c r="MID122" s="41"/>
      <c r="MIE122" s="41"/>
      <c r="MIF122" s="41"/>
      <c r="MIG122" s="41"/>
      <c r="MIH122" s="41"/>
      <c r="MII122" s="41"/>
      <c r="MIJ122" s="41"/>
      <c r="MIK122" s="41"/>
      <c r="MIL122" s="41"/>
      <c r="MIM122" s="41"/>
      <c r="MIN122" s="41"/>
      <c r="MIO122" s="41"/>
      <c r="MIP122" s="41"/>
      <c r="MIQ122" s="41"/>
      <c r="MIR122" s="41"/>
      <c r="MIS122" s="41"/>
      <c r="MIT122" s="41"/>
      <c r="MIU122" s="41"/>
      <c r="MIV122" s="41"/>
      <c r="MIW122" s="41"/>
      <c r="MIX122" s="41"/>
      <c r="MIY122" s="41"/>
      <c r="MIZ122" s="41"/>
      <c r="MJA122" s="41"/>
      <c r="MJB122" s="41"/>
      <c r="MJC122" s="41"/>
      <c r="MJD122" s="41"/>
      <c r="MJE122" s="41"/>
      <c r="MJF122" s="41"/>
      <c r="MJG122" s="41"/>
      <c r="MJH122" s="41"/>
      <c r="MJI122" s="41"/>
      <c r="MJJ122" s="41"/>
      <c r="MJK122" s="41"/>
      <c r="MJL122" s="41"/>
      <c r="MJM122" s="41"/>
      <c r="MJN122" s="41"/>
      <c r="MJO122" s="41"/>
      <c r="MJP122" s="41"/>
      <c r="MJQ122" s="41"/>
      <c r="MJR122" s="41"/>
      <c r="MJS122" s="41"/>
      <c r="MJT122" s="41"/>
      <c r="MJU122" s="41"/>
      <c r="MJV122" s="41"/>
      <c r="MJW122" s="41"/>
      <c r="MJX122" s="41"/>
      <c r="MJY122" s="41"/>
      <c r="MJZ122" s="41"/>
      <c r="MKA122" s="41"/>
      <c r="MKB122" s="41"/>
      <c r="MKC122" s="41"/>
      <c r="MKD122" s="41"/>
      <c r="MKE122" s="41"/>
      <c r="MKF122" s="41"/>
      <c r="MKG122" s="41"/>
      <c r="MKH122" s="41"/>
      <c r="MKI122" s="41"/>
      <c r="MKJ122" s="41"/>
      <c r="MKK122" s="41"/>
      <c r="MKL122" s="41"/>
      <c r="MKM122" s="41"/>
      <c r="MKN122" s="41"/>
      <c r="MKO122" s="41"/>
      <c r="MKP122" s="41"/>
      <c r="MKQ122" s="41"/>
      <c r="MKR122" s="41"/>
      <c r="MKS122" s="41"/>
      <c r="MKT122" s="41"/>
      <c r="MKU122" s="41"/>
      <c r="MKV122" s="41"/>
      <c r="MKW122" s="41"/>
      <c r="MKX122" s="41"/>
      <c r="MKY122" s="41"/>
      <c r="MKZ122" s="41"/>
      <c r="MLA122" s="41"/>
      <c r="MLB122" s="41"/>
      <c r="MLC122" s="41"/>
      <c r="MLD122" s="41"/>
      <c r="MLE122" s="41"/>
      <c r="MLF122" s="41"/>
      <c r="MLG122" s="41"/>
      <c r="MLH122" s="41"/>
      <c r="MLI122" s="41"/>
      <c r="MLJ122" s="41"/>
      <c r="MLK122" s="41"/>
      <c r="MLL122" s="41"/>
      <c r="MLM122" s="41"/>
      <c r="MLN122" s="41"/>
      <c r="MLO122" s="41"/>
      <c r="MLP122" s="41"/>
      <c r="MLQ122" s="41"/>
      <c r="MLR122" s="41"/>
      <c r="MLS122" s="41"/>
      <c r="MLT122" s="41"/>
      <c r="MLU122" s="41"/>
      <c r="MLV122" s="41"/>
      <c r="MLW122" s="41"/>
      <c r="MLX122" s="41"/>
      <c r="MLY122" s="41"/>
      <c r="MLZ122" s="41"/>
      <c r="MMA122" s="41"/>
      <c r="MMB122" s="41"/>
      <c r="MMC122" s="41"/>
      <c r="MMD122" s="41"/>
      <c r="MME122" s="41"/>
      <c r="MMF122" s="41"/>
      <c r="MMG122" s="41"/>
      <c r="MMH122" s="41"/>
      <c r="MMI122" s="41"/>
      <c r="MMJ122" s="41"/>
      <c r="MMK122" s="41"/>
      <c r="MML122" s="41"/>
      <c r="MMM122" s="41"/>
      <c r="MMN122" s="41"/>
      <c r="MMO122" s="41"/>
      <c r="MMP122" s="41"/>
      <c r="MMQ122" s="41"/>
      <c r="MMR122" s="41"/>
      <c r="MMS122" s="41"/>
      <c r="MMT122" s="41"/>
      <c r="MMU122" s="41"/>
      <c r="MMV122" s="41"/>
      <c r="MMW122" s="41"/>
      <c r="MMX122" s="41"/>
      <c r="MMY122" s="41"/>
      <c r="MMZ122" s="41"/>
      <c r="MNA122" s="41"/>
      <c r="MNB122" s="41"/>
      <c r="MNC122" s="41"/>
      <c r="MND122" s="41"/>
      <c r="MNE122" s="41"/>
      <c r="MNF122" s="41"/>
      <c r="MNG122" s="41"/>
      <c r="MNH122" s="41"/>
      <c r="MNI122" s="41"/>
      <c r="MNJ122" s="41"/>
      <c r="MNK122" s="41"/>
      <c r="MNL122" s="41"/>
      <c r="MNM122" s="41"/>
      <c r="MNN122" s="41"/>
      <c r="MNO122" s="41"/>
      <c r="MNP122" s="41"/>
      <c r="MNQ122" s="41"/>
      <c r="MNR122" s="41"/>
      <c r="MNS122" s="41"/>
      <c r="MNT122" s="41"/>
      <c r="MNU122" s="41"/>
      <c r="MNV122" s="41"/>
      <c r="MNW122" s="41"/>
      <c r="MNX122" s="41"/>
      <c r="MNY122" s="41"/>
      <c r="MNZ122" s="41"/>
      <c r="MOA122" s="41"/>
      <c r="MOB122" s="41"/>
      <c r="MOC122" s="41"/>
      <c r="MOD122" s="41"/>
      <c r="MOE122" s="41"/>
      <c r="MOF122" s="41"/>
      <c r="MOG122" s="41"/>
      <c r="MOH122" s="41"/>
      <c r="MOI122" s="41"/>
      <c r="MOJ122" s="41"/>
      <c r="MOK122" s="41"/>
      <c r="MOL122" s="41"/>
      <c r="MOM122" s="41"/>
      <c r="MON122" s="41"/>
      <c r="MOO122" s="41"/>
      <c r="MOP122" s="41"/>
      <c r="MOQ122" s="41"/>
      <c r="MOR122" s="41"/>
      <c r="MOS122" s="41"/>
      <c r="MOT122" s="41"/>
      <c r="MOU122" s="41"/>
      <c r="MOV122" s="41"/>
      <c r="MOW122" s="41"/>
      <c r="MOX122" s="41"/>
      <c r="MOY122" s="41"/>
      <c r="MOZ122" s="41"/>
      <c r="MPA122" s="41"/>
      <c r="MPB122" s="41"/>
      <c r="MPC122" s="41"/>
      <c r="MPD122" s="41"/>
      <c r="MPE122" s="41"/>
      <c r="MPF122" s="41"/>
      <c r="MPG122" s="41"/>
      <c r="MPH122" s="41"/>
      <c r="MPI122" s="41"/>
      <c r="MPJ122" s="41"/>
      <c r="MPK122" s="41"/>
      <c r="MPL122" s="41"/>
      <c r="MPM122" s="41"/>
      <c r="MPN122" s="41"/>
      <c r="MPO122" s="41"/>
      <c r="MPP122" s="41"/>
      <c r="MPQ122" s="41"/>
      <c r="MPR122" s="41"/>
      <c r="MPS122" s="41"/>
      <c r="MPT122" s="41"/>
      <c r="MPU122" s="41"/>
      <c r="MPV122" s="41"/>
      <c r="MPW122" s="41"/>
      <c r="MPX122" s="41"/>
      <c r="MPY122" s="41"/>
      <c r="MPZ122" s="41"/>
      <c r="MQA122" s="41"/>
      <c r="MQB122" s="41"/>
      <c r="MQC122" s="41"/>
      <c r="MQD122" s="41"/>
      <c r="MQE122" s="41"/>
      <c r="MQF122" s="41"/>
      <c r="MQG122" s="41"/>
      <c r="MQH122" s="41"/>
      <c r="MQI122" s="41"/>
      <c r="MQJ122" s="41"/>
      <c r="MQK122" s="41"/>
      <c r="MQL122" s="41"/>
      <c r="MQM122" s="41"/>
      <c r="MQN122" s="41"/>
      <c r="MQO122" s="41"/>
      <c r="MQP122" s="41"/>
      <c r="MQQ122" s="41"/>
      <c r="MQR122" s="41"/>
      <c r="MQS122" s="41"/>
      <c r="MQT122" s="41"/>
      <c r="MQU122" s="41"/>
      <c r="MQV122" s="41"/>
      <c r="MQW122" s="41"/>
      <c r="MQX122" s="41"/>
      <c r="MQY122" s="41"/>
      <c r="MQZ122" s="41"/>
      <c r="MRA122" s="41"/>
      <c r="MRB122" s="41"/>
      <c r="MRC122" s="41"/>
      <c r="MRD122" s="41"/>
      <c r="MRE122" s="41"/>
      <c r="MRF122" s="41"/>
      <c r="MRG122" s="41"/>
      <c r="MRH122" s="41"/>
      <c r="MRI122" s="41"/>
      <c r="MRJ122" s="41"/>
      <c r="MRK122" s="41"/>
      <c r="MRL122" s="41"/>
      <c r="MRM122" s="41"/>
      <c r="MRN122" s="41"/>
      <c r="MRO122" s="41"/>
      <c r="MRP122" s="41"/>
      <c r="MRQ122" s="41"/>
      <c r="MRR122" s="41"/>
      <c r="MRS122" s="41"/>
      <c r="MRT122" s="41"/>
      <c r="MRU122" s="41"/>
      <c r="MRV122" s="41"/>
      <c r="MRW122" s="41"/>
      <c r="MRX122" s="41"/>
      <c r="MRY122" s="41"/>
      <c r="MRZ122" s="41"/>
      <c r="MSA122" s="41"/>
      <c r="MSB122" s="41"/>
      <c r="MSC122" s="41"/>
      <c r="MSD122" s="41"/>
      <c r="MSE122" s="41"/>
      <c r="MSF122" s="41"/>
      <c r="MSG122" s="41"/>
      <c r="MSH122" s="41"/>
      <c r="MSI122" s="41"/>
      <c r="MSJ122" s="41"/>
      <c r="MSK122" s="41"/>
      <c r="MSL122" s="41"/>
      <c r="MSM122" s="41"/>
      <c r="MSN122" s="41"/>
      <c r="MSO122" s="41"/>
      <c r="MSP122" s="41"/>
      <c r="MSQ122" s="41"/>
      <c r="MSR122" s="41"/>
      <c r="MSS122" s="41"/>
      <c r="MST122" s="41"/>
      <c r="MSU122" s="41"/>
      <c r="MSV122" s="41"/>
      <c r="MSW122" s="41"/>
      <c r="MSX122" s="41"/>
      <c r="MSY122" s="41"/>
      <c r="MSZ122" s="41"/>
      <c r="MTA122" s="41"/>
      <c r="MTB122" s="41"/>
      <c r="MTC122" s="41"/>
      <c r="MTD122" s="41"/>
      <c r="MTE122" s="41"/>
      <c r="MTF122" s="41"/>
      <c r="MTG122" s="41"/>
      <c r="MTH122" s="41"/>
      <c r="MTI122" s="41"/>
      <c r="MTJ122" s="41"/>
      <c r="MTK122" s="41"/>
      <c r="MTL122" s="41"/>
      <c r="MTM122" s="41"/>
      <c r="MTN122" s="41"/>
      <c r="MTO122" s="41"/>
      <c r="MTP122" s="41"/>
      <c r="MTQ122" s="41"/>
      <c r="MTR122" s="41"/>
      <c r="MTS122" s="41"/>
      <c r="MTT122" s="41"/>
      <c r="MTU122" s="41"/>
      <c r="MTV122" s="41"/>
      <c r="MTW122" s="41"/>
      <c r="MTX122" s="41"/>
      <c r="MTY122" s="41"/>
      <c r="MTZ122" s="41"/>
      <c r="MUA122" s="41"/>
      <c r="MUB122" s="41"/>
      <c r="MUC122" s="41"/>
      <c r="MUD122" s="41"/>
      <c r="MUE122" s="41"/>
      <c r="MUF122" s="41"/>
      <c r="MUG122" s="41"/>
      <c r="MUH122" s="41"/>
      <c r="MUI122" s="41"/>
      <c r="MUJ122" s="41"/>
      <c r="MUK122" s="41"/>
      <c r="MUL122" s="41"/>
      <c r="MUM122" s="41"/>
      <c r="MUN122" s="41"/>
      <c r="MUO122" s="41"/>
      <c r="MUP122" s="41"/>
      <c r="MUQ122" s="41"/>
      <c r="MUR122" s="41"/>
      <c r="MUS122" s="41"/>
      <c r="MUT122" s="41"/>
      <c r="MUU122" s="41"/>
      <c r="MUV122" s="41"/>
      <c r="MUW122" s="41"/>
      <c r="MUX122" s="41"/>
      <c r="MUY122" s="41"/>
      <c r="MUZ122" s="41"/>
      <c r="MVA122" s="41"/>
      <c r="MVB122" s="41"/>
      <c r="MVC122" s="41"/>
      <c r="MVD122" s="41"/>
      <c r="MVE122" s="41"/>
      <c r="MVF122" s="41"/>
      <c r="MVG122" s="41"/>
      <c r="MVH122" s="41"/>
      <c r="MVI122" s="41"/>
      <c r="MVJ122" s="41"/>
      <c r="MVK122" s="41"/>
      <c r="MVL122" s="41"/>
      <c r="MVM122" s="41"/>
      <c r="MVN122" s="41"/>
      <c r="MVO122" s="41"/>
      <c r="MVP122" s="41"/>
      <c r="MVQ122" s="41"/>
      <c r="MVR122" s="41"/>
      <c r="MVS122" s="41"/>
      <c r="MVT122" s="41"/>
      <c r="MVU122" s="41"/>
      <c r="MVV122" s="41"/>
      <c r="MVW122" s="41"/>
      <c r="MVX122" s="41"/>
      <c r="MVY122" s="41"/>
      <c r="MVZ122" s="41"/>
      <c r="MWA122" s="41"/>
      <c r="MWB122" s="41"/>
      <c r="MWC122" s="41"/>
      <c r="MWD122" s="41"/>
      <c r="MWE122" s="41"/>
      <c r="MWF122" s="41"/>
      <c r="MWG122" s="41"/>
      <c r="MWH122" s="41"/>
      <c r="MWI122" s="41"/>
      <c r="MWJ122" s="41"/>
      <c r="MWK122" s="41"/>
      <c r="MWL122" s="41"/>
      <c r="MWM122" s="41"/>
      <c r="MWN122" s="41"/>
      <c r="MWO122" s="41"/>
      <c r="MWP122" s="41"/>
      <c r="MWQ122" s="41"/>
      <c r="MWR122" s="41"/>
      <c r="MWS122" s="41"/>
      <c r="MWT122" s="41"/>
      <c r="MWU122" s="41"/>
      <c r="MWV122" s="41"/>
      <c r="MWW122" s="41"/>
      <c r="MWX122" s="41"/>
      <c r="MWY122" s="41"/>
      <c r="MWZ122" s="41"/>
      <c r="MXA122" s="41"/>
      <c r="MXB122" s="41"/>
      <c r="MXC122" s="41"/>
      <c r="MXD122" s="41"/>
      <c r="MXE122" s="41"/>
      <c r="MXF122" s="41"/>
      <c r="MXG122" s="41"/>
      <c r="MXH122" s="41"/>
      <c r="MXI122" s="41"/>
      <c r="MXJ122" s="41"/>
      <c r="MXK122" s="41"/>
      <c r="MXL122" s="41"/>
      <c r="MXM122" s="41"/>
      <c r="MXN122" s="41"/>
      <c r="MXO122" s="41"/>
      <c r="MXP122" s="41"/>
      <c r="MXQ122" s="41"/>
      <c r="MXR122" s="41"/>
      <c r="MXS122" s="41"/>
      <c r="MXT122" s="41"/>
      <c r="MXU122" s="41"/>
      <c r="MXV122" s="41"/>
      <c r="MXW122" s="41"/>
      <c r="MXX122" s="41"/>
      <c r="MXY122" s="41"/>
      <c r="MXZ122" s="41"/>
      <c r="MYA122" s="41"/>
      <c r="MYB122" s="41"/>
      <c r="MYC122" s="41"/>
      <c r="MYD122" s="41"/>
      <c r="MYE122" s="41"/>
      <c r="MYF122" s="41"/>
      <c r="MYG122" s="41"/>
      <c r="MYH122" s="41"/>
      <c r="MYI122" s="41"/>
      <c r="MYJ122" s="41"/>
      <c r="MYK122" s="41"/>
      <c r="MYL122" s="41"/>
      <c r="MYM122" s="41"/>
      <c r="MYN122" s="41"/>
      <c r="MYO122" s="41"/>
      <c r="MYP122" s="41"/>
      <c r="MYQ122" s="41"/>
      <c r="MYR122" s="41"/>
      <c r="MYS122" s="41"/>
      <c r="MYT122" s="41"/>
      <c r="MYU122" s="41"/>
      <c r="MYV122" s="41"/>
      <c r="MYW122" s="41"/>
      <c r="MYX122" s="41"/>
      <c r="MYY122" s="41"/>
      <c r="MYZ122" s="41"/>
      <c r="MZA122" s="41"/>
      <c r="MZB122" s="41"/>
      <c r="MZC122" s="41"/>
      <c r="MZD122" s="41"/>
      <c r="MZE122" s="41"/>
      <c r="MZF122" s="41"/>
      <c r="MZG122" s="41"/>
      <c r="MZH122" s="41"/>
      <c r="MZI122" s="41"/>
      <c r="MZJ122" s="41"/>
      <c r="MZK122" s="41"/>
      <c r="MZL122" s="41"/>
      <c r="MZM122" s="41"/>
      <c r="MZN122" s="41"/>
      <c r="MZO122" s="41"/>
      <c r="MZP122" s="41"/>
      <c r="MZQ122" s="41"/>
      <c r="MZR122" s="41"/>
      <c r="MZS122" s="41"/>
      <c r="MZT122" s="41"/>
      <c r="MZU122" s="41"/>
      <c r="MZV122" s="41"/>
      <c r="MZW122" s="41"/>
      <c r="MZX122" s="41"/>
      <c r="MZY122" s="41"/>
      <c r="MZZ122" s="41"/>
      <c r="NAA122" s="41"/>
      <c r="NAB122" s="41"/>
      <c r="NAC122" s="41"/>
      <c r="NAD122" s="41"/>
      <c r="NAE122" s="41"/>
      <c r="NAF122" s="41"/>
      <c r="NAG122" s="41"/>
      <c r="NAH122" s="41"/>
      <c r="NAI122" s="41"/>
      <c r="NAJ122" s="41"/>
      <c r="NAK122" s="41"/>
      <c r="NAL122" s="41"/>
      <c r="NAM122" s="41"/>
      <c r="NAN122" s="41"/>
      <c r="NAO122" s="41"/>
      <c r="NAP122" s="41"/>
      <c r="NAQ122" s="41"/>
      <c r="NAR122" s="41"/>
      <c r="NAS122" s="41"/>
      <c r="NAT122" s="41"/>
      <c r="NAU122" s="41"/>
      <c r="NAV122" s="41"/>
      <c r="NAW122" s="41"/>
      <c r="NAX122" s="41"/>
      <c r="NAY122" s="41"/>
      <c r="NAZ122" s="41"/>
      <c r="NBA122" s="41"/>
      <c r="NBB122" s="41"/>
      <c r="NBC122" s="41"/>
      <c r="NBD122" s="41"/>
      <c r="NBE122" s="41"/>
      <c r="NBF122" s="41"/>
      <c r="NBG122" s="41"/>
      <c r="NBH122" s="41"/>
      <c r="NBI122" s="41"/>
      <c r="NBJ122" s="41"/>
      <c r="NBK122" s="41"/>
      <c r="NBL122" s="41"/>
      <c r="NBM122" s="41"/>
      <c r="NBN122" s="41"/>
      <c r="NBO122" s="41"/>
      <c r="NBP122" s="41"/>
      <c r="NBQ122" s="41"/>
      <c r="NBR122" s="41"/>
      <c r="NBS122" s="41"/>
      <c r="NBT122" s="41"/>
      <c r="NBU122" s="41"/>
      <c r="NBV122" s="41"/>
      <c r="NBW122" s="41"/>
      <c r="NBX122" s="41"/>
      <c r="NBY122" s="41"/>
      <c r="NBZ122" s="41"/>
      <c r="NCA122" s="41"/>
      <c r="NCB122" s="41"/>
      <c r="NCC122" s="41"/>
      <c r="NCD122" s="41"/>
      <c r="NCE122" s="41"/>
      <c r="NCF122" s="41"/>
      <c r="NCG122" s="41"/>
      <c r="NCH122" s="41"/>
      <c r="NCI122" s="41"/>
      <c r="NCJ122" s="41"/>
      <c r="NCK122" s="41"/>
      <c r="NCL122" s="41"/>
      <c r="NCM122" s="41"/>
      <c r="NCN122" s="41"/>
      <c r="NCO122" s="41"/>
      <c r="NCP122" s="41"/>
      <c r="NCQ122" s="41"/>
      <c r="NCR122" s="41"/>
      <c r="NCS122" s="41"/>
      <c r="NCT122" s="41"/>
      <c r="NCU122" s="41"/>
      <c r="NCV122" s="41"/>
      <c r="NCW122" s="41"/>
      <c r="NCX122" s="41"/>
      <c r="NCY122" s="41"/>
      <c r="NCZ122" s="41"/>
      <c r="NDA122" s="41"/>
      <c r="NDB122" s="41"/>
      <c r="NDC122" s="41"/>
      <c r="NDD122" s="41"/>
      <c r="NDE122" s="41"/>
      <c r="NDF122" s="41"/>
      <c r="NDG122" s="41"/>
      <c r="NDH122" s="41"/>
      <c r="NDI122" s="41"/>
      <c r="NDJ122" s="41"/>
      <c r="NDK122" s="41"/>
      <c r="NDL122" s="41"/>
      <c r="NDM122" s="41"/>
      <c r="NDN122" s="41"/>
      <c r="NDO122" s="41"/>
      <c r="NDP122" s="41"/>
      <c r="NDQ122" s="41"/>
      <c r="NDR122" s="41"/>
      <c r="NDS122" s="41"/>
      <c r="NDT122" s="41"/>
      <c r="NDU122" s="41"/>
      <c r="NDV122" s="41"/>
      <c r="NDW122" s="41"/>
      <c r="NDX122" s="41"/>
      <c r="NDY122" s="41"/>
      <c r="NDZ122" s="41"/>
      <c r="NEA122" s="41"/>
      <c r="NEB122" s="41"/>
      <c r="NEC122" s="41"/>
      <c r="NED122" s="41"/>
      <c r="NEE122" s="41"/>
      <c r="NEF122" s="41"/>
      <c r="NEG122" s="41"/>
      <c r="NEH122" s="41"/>
      <c r="NEI122" s="41"/>
      <c r="NEJ122" s="41"/>
      <c r="NEK122" s="41"/>
      <c r="NEL122" s="41"/>
      <c r="NEM122" s="41"/>
      <c r="NEN122" s="41"/>
      <c r="NEO122" s="41"/>
      <c r="NEP122" s="41"/>
      <c r="NEQ122" s="41"/>
      <c r="NER122" s="41"/>
      <c r="NES122" s="41"/>
      <c r="NET122" s="41"/>
      <c r="NEU122" s="41"/>
      <c r="NEV122" s="41"/>
      <c r="NEW122" s="41"/>
      <c r="NEX122" s="41"/>
      <c r="NEY122" s="41"/>
      <c r="NEZ122" s="41"/>
      <c r="NFA122" s="41"/>
      <c r="NFB122" s="41"/>
      <c r="NFC122" s="41"/>
      <c r="NFD122" s="41"/>
      <c r="NFE122" s="41"/>
      <c r="NFF122" s="41"/>
      <c r="NFG122" s="41"/>
      <c r="NFH122" s="41"/>
      <c r="NFI122" s="41"/>
      <c r="NFJ122" s="41"/>
      <c r="NFK122" s="41"/>
      <c r="NFL122" s="41"/>
      <c r="NFM122" s="41"/>
      <c r="NFN122" s="41"/>
      <c r="NFO122" s="41"/>
      <c r="NFP122" s="41"/>
      <c r="NFQ122" s="41"/>
      <c r="NFR122" s="41"/>
      <c r="NFS122" s="41"/>
      <c r="NFT122" s="41"/>
      <c r="NFU122" s="41"/>
      <c r="NFV122" s="41"/>
      <c r="NFW122" s="41"/>
      <c r="NFX122" s="41"/>
      <c r="NFY122" s="41"/>
      <c r="NFZ122" s="41"/>
      <c r="NGA122" s="41"/>
      <c r="NGB122" s="41"/>
      <c r="NGC122" s="41"/>
      <c r="NGD122" s="41"/>
      <c r="NGE122" s="41"/>
      <c r="NGF122" s="41"/>
      <c r="NGG122" s="41"/>
      <c r="NGH122" s="41"/>
      <c r="NGI122" s="41"/>
      <c r="NGJ122" s="41"/>
      <c r="NGK122" s="41"/>
      <c r="NGL122" s="41"/>
      <c r="NGM122" s="41"/>
      <c r="NGN122" s="41"/>
      <c r="NGO122" s="41"/>
      <c r="NGP122" s="41"/>
      <c r="NGQ122" s="41"/>
      <c r="NGR122" s="41"/>
      <c r="NGS122" s="41"/>
      <c r="NGT122" s="41"/>
      <c r="NGU122" s="41"/>
      <c r="NGV122" s="41"/>
      <c r="NGW122" s="41"/>
      <c r="NGX122" s="41"/>
      <c r="NGY122" s="41"/>
      <c r="NGZ122" s="41"/>
      <c r="NHA122" s="41"/>
      <c r="NHB122" s="41"/>
      <c r="NHC122" s="41"/>
      <c r="NHD122" s="41"/>
      <c r="NHE122" s="41"/>
      <c r="NHF122" s="41"/>
      <c r="NHG122" s="41"/>
      <c r="NHH122" s="41"/>
      <c r="NHI122" s="41"/>
      <c r="NHJ122" s="41"/>
      <c r="NHK122" s="41"/>
      <c r="NHL122" s="41"/>
      <c r="NHM122" s="41"/>
      <c r="NHN122" s="41"/>
      <c r="NHO122" s="41"/>
      <c r="NHP122" s="41"/>
      <c r="NHQ122" s="41"/>
      <c r="NHR122" s="41"/>
      <c r="NHS122" s="41"/>
      <c r="NHT122" s="41"/>
      <c r="NHU122" s="41"/>
      <c r="NHV122" s="41"/>
      <c r="NHW122" s="41"/>
      <c r="NHX122" s="41"/>
      <c r="NHY122" s="41"/>
      <c r="NHZ122" s="41"/>
      <c r="NIA122" s="41"/>
      <c r="NIB122" s="41"/>
      <c r="NIC122" s="41"/>
      <c r="NID122" s="41"/>
      <c r="NIE122" s="41"/>
      <c r="NIF122" s="41"/>
      <c r="NIG122" s="41"/>
      <c r="NIH122" s="41"/>
      <c r="NII122" s="41"/>
      <c r="NIJ122" s="41"/>
      <c r="NIK122" s="41"/>
      <c r="NIL122" s="41"/>
      <c r="NIM122" s="41"/>
      <c r="NIN122" s="41"/>
      <c r="NIO122" s="41"/>
      <c r="NIP122" s="41"/>
      <c r="NIQ122" s="41"/>
      <c r="NIR122" s="41"/>
      <c r="NIS122" s="41"/>
      <c r="NIT122" s="41"/>
      <c r="NIU122" s="41"/>
      <c r="NIV122" s="41"/>
      <c r="NIW122" s="41"/>
      <c r="NIX122" s="41"/>
      <c r="NIY122" s="41"/>
      <c r="NIZ122" s="41"/>
      <c r="NJA122" s="41"/>
      <c r="NJB122" s="41"/>
      <c r="NJC122" s="41"/>
      <c r="NJD122" s="41"/>
      <c r="NJE122" s="41"/>
      <c r="NJF122" s="41"/>
      <c r="NJG122" s="41"/>
      <c r="NJH122" s="41"/>
      <c r="NJI122" s="41"/>
      <c r="NJJ122" s="41"/>
      <c r="NJK122" s="41"/>
      <c r="NJL122" s="41"/>
      <c r="NJM122" s="41"/>
      <c r="NJN122" s="41"/>
      <c r="NJO122" s="41"/>
      <c r="NJP122" s="41"/>
      <c r="NJQ122" s="41"/>
      <c r="NJR122" s="41"/>
      <c r="NJS122" s="41"/>
      <c r="NJT122" s="41"/>
      <c r="NJU122" s="41"/>
      <c r="NJV122" s="41"/>
      <c r="NJW122" s="41"/>
      <c r="NJX122" s="41"/>
      <c r="NJY122" s="41"/>
      <c r="NJZ122" s="41"/>
      <c r="NKA122" s="41"/>
      <c r="NKB122" s="41"/>
      <c r="NKC122" s="41"/>
      <c r="NKD122" s="41"/>
      <c r="NKE122" s="41"/>
      <c r="NKF122" s="41"/>
      <c r="NKG122" s="41"/>
      <c r="NKH122" s="41"/>
      <c r="NKI122" s="41"/>
      <c r="NKJ122" s="41"/>
      <c r="NKK122" s="41"/>
      <c r="NKL122" s="41"/>
      <c r="NKM122" s="41"/>
      <c r="NKN122" s="41"/>
      <c r="NKO122" s="41"/>
      <c r="NKP122" s="41"/>
      <c r="NKQ122" s="41"/>
      <c r="NKR122" s="41"/>
      <c r="NKS122" s="41"/>
      <c r="NKT122" s="41"/>
      <c r="NKU122" s="41"/>
      <c r="NKV122" s="41"/>
      <c r="NKW122" s="41"/>
      <c r="NKX122" s="41"/>
      <c r="NKY122" s="41"/>
      <c r="NKZ122" s="41"/>
      <c r="NLA122" s="41"/>
      <c r="NLB122" s="41"/>
      <c r="NLC122" s="41"/>
      <c r="NLD122" s="41"/>
      <c r="NLE122" s="41"/>
      <c r="NLF122" s="41"/>
      <c r="NLG122" s="41"/>
      <c r="NLH122" s="41"/>
      <c r="NLI122" s="41"/>
      <c r="NLJ122" s="41"/>
      <c r="NLK122" s="41"/>
      <c r="NLL122" s="41"/>
      <c r="NLM122" s="41"/>
      <c r="NLN122" s="41"/>
      <c r="NLO122" s="41"/>
      <c r="NLP122" s="41"/>
      <c r="NLQ122" s="41"/>
      <c r="NLR122" s="41"/>
      <c r="NLS122" s="41"/>
      <c r="NLT122" s="41"/>
      <c r="NLU122" s="41"/>
      <c r="NLV122" s="41"/>
      <c r="NLW122" s="41"/>
      <c r="NLX122" s="41"/>
      <c r="NLY122" s="41"/>
      <c r="NLZ122" s="41"/>
      <c r="NMA122" s="41"/>
      <c r="NMB122" s="41"/>
      <c r="NMC122" s="41"/>
      <c r="NMD122" s="41"/>
      <c r="NME122" s="41"/>
      <c r="NMF122" s="41"/>
      <c r="NMG122" s="41"/>
      <c r="NMH122" s="41"/>
      <c r="NMI122" s="41"/>
      <c r="NMJ122" s="41"/>
      <c r="NMK122" s="41"/>
      <c r="NML122" s="41"/>
      <c r="NMM122" s="41"/>
      <c r="NMN122" s="41"/>
      <c r="NMO122" s="41"/>
      <c r="NMP122" s="41"/>
      <c r="NMQ122" s="41"/>
      <c r="NMR122" s="41"/>
      <c r="NMS122" s="41"/>
      <c r="NMT122" s="41"/>
      <c r="NMU122" s="41"/>
      <c r="NMV122" s="41"/>
      <c r="NMW122" s="41"/>
      <c r="NMX122" s="41"/>
      <c r="NMY122" s="41"/>
      <c r="NMZ122" s="41"/>
      <c r="NNA122" s="41"/>
      <c r="NNB122" s="41"/>
      <c r="NNC122" s="41"/>
      <c r="NND122" s="41"/>
      <c r="NNE122" s="41"/>
      <c r="NNF122" s="41"/>
      <c r="NNG122" s="41"/>
      <c r="NNH122" s="41"/>
      <c r="NNI122" s="41"/>
      <c r="NNJ122" s="41"/>
      <c r="NNK122" s="41"/>
      <c r="NNL122" s="41"/>
      <c r="NNM122" s="41"/>
      <c r="NNN122" s="41"/>
      <c r="NNO122" s="41"/>
      <c r="NNP122" s="41"/>
      <c r="NNQ122" s="41"/>
      <c r="NNR122" s="41"/>
      <c r="NNS122" s="41"/>
      <c r="NNT122" s="41"/>
      <c r="NNU122" s="41"/>
      <c r="NNV122" s="41"/>
      <c r="NNW122" s="41"/>
      <c r="NNX122" s="41"/>
      <c r="NNY122" s="41"/>
      <c r="NNZ122" s="41"/>
      <c r="NOA122" s="41"/>
      <c r="NOB122" s="41"/>
      <c r="NOC122" s="41"/>
      <c r="NOD122" s="41"/>
      <c r="NOE122" s="41"/>
      <c r="NOF122" s="41"/>
      <c r="NOG122" s="41"/>
      <c r="NOH122" s="41"/>
      <c r="NOI122" s="41"/>
      <c r="NOJ122" s="41"/>
      <c r="NOK122" s="41"/>
      <c r="NOL122" s="41"/>
      <c r="NOM122" s="41"/>
      <c r="NON122" s="41"/>
      <c r="NOO122" s="41"/>
      <c r="NOP122" s="41"/>
      <c r="NOQ122" s="41"/>
      <c r="NOR122" s="41"/>
      <c r="NOS122" s="41"/>
      <c r="NOT122" s="41"/>
      <c r="NOU122" s="41"/>
      <c r="NOV122" s="41"/>
      <c r="NOW122" s="41"/>
      <c r="NOX122" s="41"/>
      <c r="NOY122" s="41"/>
      <c r="NOZ122" s="41"/>
      <c r="NPA122" s="41"/>
      <c r="NPB122" s="41"/>
      <c r="NPC122" s="41"/>
      <c r="NPD122" s="41"/>
      <c r="NPE122" s="41"/>
      <c r="NPF122" s="41"/>
      <c r="NPG122" s="41"/>
      <c r="NPH122" s="41"/>
      <c r="NPI122" s="41"/>
      <c r="NPJ122" s="41"/>
      <c r="NPK122" s="41"/>
      <c r="NPL122" s="41"/>
      <c r="NPM122" s="41"/>
      <c r="NPN122" s="41"/>
      <c r="NPO122" s="41"/>
      <c r="NPP122" s="41"/>
      <c r="NPQ122" s="41"/>
      <c r="NPR122" s="41"/>
      <c r="NPS122" s="41"/>
      <c r="NPT122" s="41"/>
      <c r="NPU122" s="41"/>
      <c r="NPV122" s="41"/>
      <c r="NPW122" s="41"/>
      <c r="NPX122" s="41"/>
      <c r="NPY122" s="41"/>
      <c r="NPZ122" s="41"/>
      <c r="NQA122" s="41"/>
      <c r="NQB122" s="41"/>
      <c r="NQC122" s="41"/>
      <c r="NQD122" s="41"/>
      <c r="NQE122" s="41"/>
      <c r="NQF122" s="41"/>
      <c r="NQG122" s="41"/>
      <c r="NQH122" s="41"/>
      <c r="NQI122" s="41"/>
      <c r="NQJ122" s="41"/>
      <c r="NQK122" s="41"/>
      <c r="NQL122" s="41"/>
      <c r="NQM122" s="41"/>
      <c r="NQN122" s="41"/>
      <c r="NQO122" s="41"/>
      <c r="NQP122" s="41"/>
      <c r="NQQ122" s="41"/>
      <c r="NQR122" s="41"/>
      <c r="NQS122" s="41"/>
      <c r="NQT122" s="41"/>
      <c r="NQU122" s="41"/>
      <c r="NQV122" s="41"/>
      <c r="NQW122" s="41"/>
      <c r="NQX122" s="41"/>
      <c r="NQY122" s="41"/>
      <c r="NQZ122" s="41"/>
      <c r="NRA122" s="41"/>
      <c r="NRB122" s="41"/>
      <c r="NRC122" s="41"/>
      <c r="NRD122" s="41"/>
      <c r="NRE122" s="41"/>
      <c r="NRF122" s="41"/>
      <c r="NRG122" s="41"/>
      <c r="NRH122" s="41"/>
      <c r="NRI122" s="41"/>
      <c r="NRJ122" s="41"/>
      <c r="NRK122" s="41"/>
      <c r="NRL122" s="41"/>
      <c r="NRM122" s="41"/>
      <c r="NRN122" s="41"/>
      <c r="NRO122" s="41"/>
      <c r="NRP122" s="41"/>
      <c r="NRQ122" s="41"/>
      <c r="NRR122" s="41"/>
      <c r="NRS122" s="41"/>
      <c r="NRT122" s="41"/>
      <c r="NRU122" s="41"/>
      <c r="NRV122" s="41"/>
      <c r="NRW122" s="41"/>
      <c r="NRX122" s="41"/>
      <c r="NRY122" s="41"/>
      <c r="NRZ122" s="41"/>
      <c r="NSA122" s="41"/>
      <c r="NSB122" s="41"/>
      <c r="NSC122" s="41"/>
      <c r="NSD122" s="41"/>
      <c r="NSE122" s="41"/>
      <c r="NSF122" s="41"/>
      <c r="NSG122" s="41"/>
      <c r="NSH122" s="41"/>
      <c r="NSI122" s="41"/>
      <c r="NSJ122" s="41"/>
      <c r="NSK122" s="41"/>
      <c r="NSL122" s="41"/>
      <c r="NSM122" s="41"/>
      <c r="NSN122" s="41"/>
      <c r="NSO122" s="41"/>
      <c r="NSP122" s="41"/>
      <c r="NSQ122" s="41"/>
      <c r="NSR122" s="41"/>
      <c r="NSS122" s="41"/>
      <c r="NST122" s="41"/>
      <c r="NSU122" s="41"/>
      <c r="NSV122" s="41"/>
      <c r="NSW122" s="41"/>
      <c r="NSX122" s="41"/>
      <c r="NSY122" s="41"/>
      <c r="NSZ122" s="41"/>
      <c r="NTA122" s="41"/>
      <c r="NTB122" s="41"/>
      <c r="NTC122" s="41"/>
      <c r="NTD122" s="41"/>
      <c r="NTE122" s="41"/>
      <c r="NTF122" s="41"/>
      <c r="NTG122" s="41"/>
      <c r="NTH122" s="41"/>
      <c r="NTI122" s="41"/>
      <c r="NTJ122" s="41"/>
      <c r="NTK122" s="41"/>
      <c r="NTL122" s="41"/>
      <c r="NTM122" s="41"/>
      <c r="NTN122" s="41"/>
      <c r="NTO122" s="41"/>
      <c r="NTP122" s="41"/>
      <c r="NTQ122" s="41"/>
      <c r="NTR122" s="41"/>
      <c r="NTS122" s="41"/>
      <c r="NTT122" s="41"/>
      <c r="NTU122" s="41"/>
      <c r="NTV122" s="41"/>
      <c r="NTW122" s="41"/>
      <c r="NTX122" s="41"/>
      <c r="NTY122" s="41"/>
      <c r="NTZ122" s="41"/>
      <c r="NUA122" s="41"/>
      <c r="NUB122" s="41"/>
      <c r="NUC122" s="41"/>
      <c r="NUD122" s="41"/>
      <c r="NUE122" s="41"/>
      <c r="NUF122" s="41"/>
      <c r="NUG122" s="41"/>
      <c r="NUH122" s="41"/>
      <c r="NUI122" s="41"/>
      <c r="NUJ122" s="41"/>
      <c r="NUK122" s="41"/>
      <c r="NUL122" s="41"/>
      <c r="NUM122" s="41"/>
      <c r="NUN122" s="41"/>
      <c r="NUO122" s="41"/>
      <c r="NUP122" s="41"/>
      <c r="NUQ122" s="41"/>
      <c r="NUR122" s="41"/>
      <c r="NUS122" s="41"/>
      <c r="NUT122" s="41"/>
      <c r="NUU122" s="41"/>
      <c r="NUV122" s="41"/>
      <c r="NUW122" s="41"/>
      <c r="NUX122" s="41"/>
      <c r="NUY122" s="41"/>
      <c r="NUZ122" s="41"/>
      <c r="NVA122" s="41"/>
      <c r="NVB122" s="41"/>
      <c r="NVC122" s="41"/>
      <c r="NVD122" s="41"/>
      <c r="NVE122" s="41"/>
      <c r="NVF122" s="41"/>
      <c r="NVG122" s="41"/>
      <c r="NVH122" s="41"/>
      <c r="NVI122" s="41"/>
      <c r="NVJ122" s="41"/>
      <c r="NVK122" s="41"/>
      <c r="NVL122" s="41"/>
      <c r="NVM122" s="41"/>
      <c r="NVN122" s="41"/>
      <c r="NVO122" s="41"/>
      <c r="NVP122" s="41"/>
      <c r="NVQ122" s="41"/>
      <c r="NVR122" s="41"/>
      <c r="NVS122" s="41"/>
      <c r="NVT122" s="41"/>
      <c r="NVU122" s="41"/>
      <c r="NVV122" s="41"/>
      <c r="NVW122" s="41"/>
      <c r="NVX122" s="41"/>
      <c r="NVY122" s="41"/>
      <c r="NVZ122" s="41"/>
      <c r="NWA122" s="41"/>
      <c r="NWB122" s="41"/>
      <c r="NWC122" s="41"/>
      <c r="NWD122" s="41"/>
      <c r="NWE122" s="41"/>
      <c r="NWF122" s="41"/>
      <c r="NWG122" s="41"/>
      <c r="NWH122" s="41"/>
      <c r="NWI122" s="41"/>
      <c r="NWJ122" s="41"/>
      <c r="NWK122" s="41"/>
      <c r="NWL122" s="41"/>
      <c r="NWM122" s="41"/>
      <c r="NWN122" s="41"/>
      <c r="NWO122" s="41"/>
      <c r="NWP122" s="41"/>
      <c r="NWQ122" s="41"/>
      <c r="NWR122" s="41"/>
      <c r="NWS122" s="41"/>
      <c r="NWT122" s="41"/>
      <c r="NWU122" s="41"/>
      <c r="NWV122" s="41"/>
      <c r="NWW122" s="41"/>
      <c r="NWX122" s="41"/>
      <c r="NWY122" s="41"/>
      <c r="NWZ122" s="41"/>
      <c r="NXA122" s="41"/>
      <c r="NXB122" s="41"/>
      <c r="NXC122" s="41"/>
      <c r="NXD122" s="41"/>
      <c r="NXE122" s="41"/>
      <c r="NXF122" s="41"/>
      <c r="NXG122" s="41"/>
      <c r="NXH122" s="41"/>
      <c r="NXI122" s="41"/>
      <c r="NXJ122" s="41"/>
      <c r="NXK122" s="41"/>
      <c r="NXL122" s="41"/>
      <c r="NXM122" s="41"/>
      <c r="NXN122" s="41"/>
      <c r="NXO122" s="41"/>
      <c r="NXP122" s="41"/>
      <c r="NXQ122" s="41"/>
      <c r="NXR122" s="41"/>
      <c r="NXS122" s="41"/>
      <c r="NXT122" s="41"/>
      <c r="NXU122" s="41"/>
      <c r="NXV122" s="41"/>
      <c r="NXW122" s="41"/>
      <c r="NXX122" s="41"/>
      <c r="NXY122" s="41"/>
      <c r="NXZ122" s="41"/>
      <c r="NYA122" s="41"/>
      <c r="NYB122" s="41"/>
      <c r="NYC122" s="41"/>
      <c r="NYD122" s="41"/>
      <c r="NYE122" s="41"/>
      <c r="NYF122" s="41"/>
      <c r="NYG122" s="41"/>
      <c r="NYH122" s="41"/>
      <c r="NYI122" s="41"/>
      <c r="NYJ122" s="41"/>
      <c r="NYK122" s="41"/>
      <c r="NYL122" s="41"/>
      <c r="NYM122" s="41"/>
      <c r="NYN122" s="41"/>
      <c r="NYO122" s="41"/>
      <c r="NYP122" s="41"/>
      <c r="NYQ122" s="41"/>
      <c r="NYR122" s="41"/>
      <c r="NYS122" s="41"/>
      <c r="NYT122" s="41"/>
      <c r="NYU122" s="41"/>
      <c r="NYV122" s="41"/>
      <c r="NYW122" s="41"/>
      <c r="NYX122" s="41"/>
      <c r="NYY122" s="41"/>
      <c r="NYZ122" s="41"/>
      <c r="NZA122" s="41"/>
      <c r="NZB122" s="41"/>
      <c r="NZC122" s="41"/>
      <c r="NZD122" s="41"/>
      <c r="NZE122" s="41"/>
      <c r="NZF122" s="41"/>
      <c r="NZG122" s="41"/>
      <c r="NZH122" s="41"/>
      <c r="NZI122" s="41"/>
      <c r="NZJ122" s="41"/>
      <c r="NZK122" s="41"/>
      <c r="NZL122" s="41"/>
      <c r="NZM122" s="41"/>
      <c r="NZN122" s="41"/>
      <c r="NZO122" s="41"/>
      <c r="NZP122" s="41"/>
      <c r="NZQ122" s="41"/>
      <c r="NZR122" s="41"/>
      <c r="NZS122" s="41"/>
      <c r="NZT122" s="41"/>
      <c r="NZU122" s="41"/>
      <c r="NZV122" s="41"/>
      <c r="NZW122" s="41"/>
      <c r="NZX122" s="41"/>
      <c r="NZY122" s="41"/>
      <c r="NZZ122" s="41"/>
      <c r="OAA122" s="41"/>
      <c r="OAB122" s="41"/>
      <c r="OAC122" s="41"/>
      <c r="OAD122" s="41"/>
      <c r="OAE122" s="41"/>
      <c r="OAF122" s="41"/>
      <c r="OAG122" s="41"/>
      <c r="OAH122" s="41"/>
      <c r="OAI122" s="41"/>
      <c r="OAJ122" s="41"/>
      <c r="OAK122" s="41"/>
      <c r="OAL122" s="41"/>
      <c r="OAM122" s="41"/>
      <c r="OAN122" s="41"/>
      <c r="OAO122" s="41"/>
      <c r="OAP122" s="41"/>
      <c r="OAQ122" s="41"/>
      <c r="OAR122" s="41"/>
      <c r="OAS122" s="41"/>
      <c r="OAT122" s="41"/>
      <c r="OAU122" s="41"/>
      <c r="OAV122" s="41"/>
      <c r="OAW122" s="41"/>
      <c r="OAX122" s="41"/>
      <c r="OAY122" s="41"/>
      <c r="OAZ122" s="41"/>
      <c r="OBA122" s="41"/>
      <c r="OBB122" s="41"/>
      <c r="OBC122" s="41"/>
      <c r="OBD122" s="41"/>
      <c r="OBE122" s="41"/>
      <c r="OBF122" s="41"/>
      <c r="OBG122" s="41"/>
      <c r="OBH122" s="41"/>
      <c r="OBI122" s="41"/>
      <c r="OBJ122" s="41"/>
      <c r="OBK122" s="41"/>
      <c r="OBL122" s="41"/>
      <c r="OBM122" s="41"/>
      <c r="OBN122" s="41"/>
      <c r="OBO122" s="41"/>
      <c r="OBP122" s="41"/>
      <c r="OBQ122" s="41"/>
      <c r="OBR122" s="41"/>
      <c r="OBS122" s="41"/>
      <c r="OBT122" s="41"/>
      <c r="OBU122" s="41"/>
      <c r="OBV122" s="41"/>
      <c r="OBW122" s="41"/>
      <c r="OBX122" s="41"/>
      <c r="OBY122" s="41"/>
      <c r="OBZ122" s="41"/>
      <c r="OCA122" s="41"/>
      <c r="OCB122" s="41"/>
      <c r="OCC122" s="41"/>
      <c r="OCD122" s="41"/>
      <c r="OCE122" s="41"/>
      <c r="OCF122" s="41"/>
      <c r="OCG122" s="41"/>
      <c r="OCH122" s="41"/>
      <c r="OCI122" s="41"/>
      <c r="OCJ122" s="41"/>
      <c r="OCK122" s="41"/>
      <c r="OCL122" s="41"/>
      <c r="OCM122" s="41"/>
      <c r="OCN122" s="41"/>
      <c r="OCO122" s="41"/>
      <c r="OCP122" s="41"/>
      <c r="OCQ122" s="41"/>
      <c r="OCR122" s="41"/>
      <c r="OCS122" s="41"/>
      <c r="OCT122" s="41"/>
      <c r="OCU122" s="41"/>
      <c r="OCV122" s="41"/>
      <c r="OCW122" s="41"/>
      <c r="OCX122" s="41"/>
      <c r="OCY122" s="41"/>
      <c r="OCZ122" s="41"/>
      <c r="ODA122" s="41"/>
      <c r="ODB122" s="41"/>
      <c r="ODC122" s="41"/>
      <c r="ODD122" s="41"/>
      <c r="ODE122" s="41"/>
      <c r="ODF122" s="41"/>
      <c r="ODG122" s="41"/>
      <c r="ODH122" s="41"/>
      <c r="ODI122" s="41"/>
      <c r="ODJ122" s="41"/>
      <c r="ODK122" s="41"/>
      <c r="ODL122" s="41"/>
      <c r="ODM122" s="41"/>
      <c r="ODN122" s="41"/>
      <c r="ODO122" s="41"/>
      <c r="ODP122" s="41"/>
      <c r="ODQ122" s="41"/>
      <c r="ODR122" s="41"/>
      <c r="ODS122" s="41"/>
      <c r="ODT122" s="41"/>
      <c r="ODU122" s="41"/>
      <c r="ODV122" s="41"/>
      <c r="ODW122" s="41"/>
      <c r="ODX122" s="41"/>
      <c r="ODY122" s="41"/>
      <c r="ODZ122" s="41"/>
      <c r="OEA122" s="41"/>
      <c r="OEB122" s="41"/>
      <c r="OEC122" s="41"/>
      <c r="OED122" s="41"/>
      <c r="OEE122" s="41"/>
      <c r="OEF122" s="41"/>
      <c r="OEG122" s="41"/>
      <c r="OEH122" s="41"/>
      <c r="OEI122" s="41"/>
      <c r="OEJ122" s="41"/>
      <c r="OEK122" s="41"/>
      <c r="OEL122" s="41"/>
      <c r="OEM122" s="41"/>
      <c r="OEN122" s="41"/>
      <c r="OEO122" s="41"/>
      <c r="OEP122" s="41"/>
      <c r="OEQ122" s="41"/>
      <c r="OER122" s="41"/>
      <c r="OES122" s="41"/>
      <c r="OET122" s="41"/>
      <c r="OEU122" s="41"/>
      <c r="OEV122" s="41"/>
      <c r="OEW122" s="41"/>
      <c r="OEX122" s="41"/>
      <c r="OEY122" s="41"/>
      <c r="OEZ122" s="41"/>
      <c r="OFA122" s="41"/>
      <c r="OFB122" s="41"/>
      <c r="OFC122" s="41"/>
      <c r="OFD122" s="41"/>
      <c r="OFE122" s="41"/>
      <c r="OFF122" s="41"/>
      <c r="OFG122" s="41"/>
      <c r="OFH122" s="41"/>
      <c r="OFI122" s="41"/>
      <c r="OFJ122" s="41"/>
      <c r="OFK122" s="41"/>
      <c r="OFL122" s="41"/>
      <c r="OFM122" s="41"/>
      <c r="OFN122" s="41"/>
      <c r="OFO122" s="41"/>
      <c r="OFP122" s="41"/>
      <c r="OFQ122" s="41"/>
      <c r="OFR122" s="41"/>
      <c r="OFS122" s="41"/>
      <c r="OFT122" s="41"/>
      <c r="OFU122" s="41"/>
      <c r="OFV122" s="41"/>
      <c r="OFW122" s="41"/>
      <c r="OFX122" s="41"/>
      <c r="OFY122" s="41"/>
      <c r="OFZ122" s="41"/>
      <c r="OGA122" s="41"/>
      <c r="OGB122" s="41"/>
      <c r="OGC122" s="41"/>
      <c r="OGD122" s="41"/>
      <c r="OGE122" s="41"/>
      <c r="OGF122" s="41"/>
      <c r="OGG122" s="41"/>
      <c r="OGH122" s="41"/>
      <c r="OGI122" s="41"/>
      <c r="OGJ122" s="41"/>
      <c r="OGK122" s="41"/>
      <c r="OGL122" s="41"/>
      <c r="OGM122" s="41"/>
      <c r="OGN122" s="41"/>
      <c r="OGO122" s="41"/>
      <c r="OGP122" s="41"/>
      <c r="OGQ122" s="41"/>
      <c r="OGR122" s="41"/>
      <c r="OGS122" s="41"/>
      <c r="OGT122" s="41"/>
      <c r="OGU122" s="41"/>
      <c r="OGV122" s="41"/>
      <c r="OGW122" s="41"/>
      <c r="OGX122" s="41"/>
      <c r="OGY122" s="41"/>
      <c r="OGZ122" s="41"/>
      <c r="OHA122" s="41"/>
      <c r="OHB122" s="41"/>
      <c r="OHC122" s="41"/>
      <c r="OHD122" s="41"/>
      <c r="OHE122" s="41"/>
      <c r="OHF122" s="41"/>
      <c r="OHG122" s="41"/>
      <c r="OHH122" s="41"/>
      <c r="OHI122" s="41"/>
      <c r="OHJ122" s="41"/>
      <c r="OHK122" s="41"/>
      <c r="OHL122" s="41"/>
      <c r="OHM122" s="41"/>
      <c r="OHN122" s="41"/>
      <c r="OHO122" s="41"/>
      <c r="OHP122" s="41"/>
      <c r="OHQ122" s="41"/>
      <c r="OHR122" s="41"/>
      <c r="OHS122" s="41"/>
      <c r="OHT122" s="41"/>
      <c r="OHU122" s="41"/>
      <c r="OHV122" s="41"/>
      <c r="OHW122" s="41"/>
      <c r="OHX122" s="41"/>
      <c r="OHY122" s="41"/>
      <c r="OHZ122" s="41"/>
      <c r="OIA122" s="41"/>
      <c r="OIB122" s="41"/>
      <c r="OIC122" s="41"/>
      <c r="OID122" s="41"/>
      <c r="OIE122" s="41"/>
      <c r="OIF122" s="41"/>
      <c r="OIG122" s="41"/>
      <c r="OIH122" s="41"/>
      <c r="OII122" s="41"/>
      <c r="OIJ122" s="41"/>
      <c r="OIK122" s="41"/>
      <c r="OIL122" s="41"/>
      <c r="OIM122" s="41"/>
      <c r="OIN122" s="41"/>
      <c r="OIO122" s="41"/>
      <c r="OIP122" s="41"/>
      <c r="OIQ122" s="41"/>
      <c r="OIR122" s="41"/>
      <c r="OIS122" s="41"/>
      <c r="OIT122" s="41"/>
      <c r="OIU122" s="41"/>
      <c r="OIV122" s="41"/>
      <c r="OIW122" s="41"/>
      <c r="OIX122" s="41"/>
      <c r="OIY122" s="41"/>
      <c r="OIZ122" s="41"/>
      <c r="OJA122" s="41"/>
      <c r="OJB122" s="41"/>
      <c r="OJC122" s="41"/>
      <c r="OJD122" s="41"/>
      <c r="OJE122" s="41"/>
      <c r="OJF122" s="41"/>
      <c r="OJG122" s="41"/>
      <c r="OJH122" s="41"/>
      <c r="OJI122" s="41"/>
      <c r="OJJ122" s="41"/>
      <c r="OJK122" s="41"/>
      <c r="OJL122" s="41"/>
      <c r="OJM122" s="41"/>
      <c r="OJN122" s="41"/>
      <c r="OJO122" s="41"/>
      <c r="OJP122" s="41"/>
      <c r="OJQ122" s="41"/>
      <c r="OJR122" s="41"/>
      <c r="OJS122" s="41"/>
      <c r="OJT122" s="41"/>
      <c r="OJU122" s="41"/>
      <c r="OJV122" s="41"/>
      <c r="OJW122" s="41"/>
      <c r="OJX122" s="41"/>
      <c r="OJY122" s="41"/>
      <c r="OJZ122" s="41"/>
      <c r="OKA122" s="41"/>
      <c r="OKB122" s="41"/>
      <c r="OKC122" s="41"/>
      <c r="OKD122" s="41"/>
      <c r="OKE122" s="41"/>
      <c r="OKF122" s="41"/>
      <c r="OKG122" s="41"/>
      <c r="OKH122" s="41"/>
      <c r="OKI122" s="41"/>
      <c r="OKJ122" s="41"/>
      <c r="OKK122" s="41"/>
      <c r="OKL122" s="41"/>
      <c r="OKM122" s="41"/>
      <c r="OKN122" s="41"/>
      <c r="OKO122" s="41"/>
      <c r="OKP122" s="41"/>
      <c r="OKQ122" s="41"/>
      <c r="OKR122" s="41"/>
      <c r="OKS122" s="41"/>
      <c r="OKT122" s="41"/>
      <c r="OKU122" s="41"/>
      <c r="OKV122" s="41"/>
      <c r="OKW122" s="41"/>
      <c r="OKX122" s="41"/>
      <c r="OKY122" s="41"/>
      <c r="OKZ122" s="41"/>
      <c r="OLA122" s="41"/>
      <c r="OLB122" s="41"/>
      <c r="OLC122" s="41"/>
      <c r="OLD122" s="41"/>
      <c r="OLE122" s="41"/>
      <c r="OLF122" s="41"/>
      <c r="OLG122" s="41"/>
      <c r="OLH122" s="41"/>
      <c r="OLI122" s="41"/>
      <c r="OLJ122" s="41"/>
      <c r="OLK122" s="41"/>
      <c r="OLL122" s="41"/>
      <c r="OLM122" s="41"/>
      <c r="OLN122" s="41"/>
      <c r="OLO122" s="41"/>
      <c r="OLP122" s="41"/>
      <c r="OLQ122" s="41"/>
      <c r="OLR122" s="41"/>
      <c r="OLS122" s="41"/>
      <c r="OLT122" s="41"/>
      <c r="OLU122" s="41"/>
      <c r="OLV122" s="41"/>
      <c r="OLW122" s="41"/>
      <c r="OLX122" s="41"/>
      <c r="OLY122" s="41"/>
      <c r="OLZ122" s="41"/>
      <c r="OMA122" s="41"/>
      <c r="OMB122" s="41"/>
      <c r="OMC122" s="41"/>
      <c r="OMD122" s="41"/>
      <c r="OME122" s="41"/>
      <c r="OMF122" s="41"/>
      <c r="OMG122" s="41"/>
      <c r="OMH122" s="41"/>
      <c r="OMI122" s="41"/>
      <c r="OMJ122" s="41"/>
      <c r="OMK122" s="41"/>
      <c r="OML122" s="41"/>
      <c r="OMM122" s="41"/>
      <c r="OMN122" s="41"/>
      <c r="OMO122" s="41"/>
      <c r="OMP122" s="41"/>
      <c r="OMQ122" s="41"/>
      <c r="OMR122" s="41"/>
      <c r="OMS122" s="41"/>
      <c r="OMT122" s="41"/>
      <c r="OMU122" s="41"/>
      <c r="OMV122" s="41"/>
      <c r="OMW122" s="41"/>
      <c r="OMX122" s="41"/>
      <c r="OMY122" s="41"/>
      <c r="OMZ122" s="41"/>
      <c r="ONA122" s="41"/>
      <c r="ONB122" s="41"/>
      <c r="ONC122" s="41"/>
      <c r="OND122" s="41"/>
      <c r="ONE122" s="41"/>
      <c r="ONF122" s="41"/>
      <c r="ONG122" s="41"/>
      <c r="ONH122" s="41"/>
      <c r="ONI122" s="41"/>
      <c r="ONJ122" s="41"/>
      <c r="ONK122" s="41"/>
      <c r="ONL122" s="41"/>
      <c r="ONM122" s="41"/>
      <c r="ONN122" s="41"/>
      <c r="ONO122" s="41"/>
      <c r="ONP122" s="41"/>
      <c r="ONQ122" s="41"/>
      <c r="ONR122" s="41"/>
      <c r="ONS122" s="41"/>
      <c r="ONT122" s="41"/>
      <c r="ONU122" s="41"/>
      <c r="ONV122" s="41"/>
      <c r="ONW122" s="41"/>
      <c r="ONX122" s="41"/>
      <c r="ONY122" s="41"/>
      <c r="ONZ122" s="41"/>
      <c r="OOA122" s="41"/>
      <c r="OOB122" s="41"/>
      <c r="OOC122" s="41"/>
      <c r="OOD122" s="41"/>
      <c r="OOE122" s="41"/>
      <c r="OOF122" s="41"/>
      <c r="OOG122" s="41"/>
      <c r="OOH122" s="41"/>
      <c r="OOI122" s="41"/>
      <c r="OOJ122" s="41"/>
      <c r="OOK122" s="41"/>
      <c r="OOL122" s="41"/>
      <c r="OOM122" s="41"/>
      <c r="OON122" s="41"/>
      <c r="OOO122" s="41"/>
      <c r="OOP122" s="41"/>
      <c r="OOQ122" s="41"/>
      <c r="OOR122" s="41"/>
      <c r="OOS122" s="41"/>
      <c r="OOT122" s="41"/>
      <c r="OOU122" s="41"/>
      <c r="OOV122" s="41"/>
      <c r="OOW122" s="41"/>
      <c r="OOX122" s="41"/>
      <c r="OOY122" s="41"/>
      <c r="OOZ122" s="41"/>
      <c r="OPA122" s="41"/>
      <c r="OPB122" s="41"/>
      <c r="OPC122" s="41"/>
      <c r="OPD122" s="41"/>
      <c r="OPE122" s="41"/>
      <c r="OPF122" s="41"/>
      <c r="OPG122" s="41"/>
      <c r="OPH122" s="41"/>
      <c r="OPI122" s="41"/>
      <c r="OPJ122" s="41"/>
      <c r="OPK122" s="41"/>
      <c r="OPL122" s="41"/>
      <c r="OPM122" s="41"/>
      <c r="OPN122" s="41"/>
      <c r="OPO122" s="41"/>
      <c r="OPP122" s="41"/>
      <c r="OPQ122" s="41"/>
      <c r="OPR122" s="41"/>
      <c r="OPS122" s="41"/>
      <c r="OPT122" s="41"/>
      <c r="OPU122" s="41"/>
      <c r="OPV122" s="41"/>
      <c r="OPW122" s="41"/>
      <c r="OPX122" s="41"/>
      <c r="OPY122" s="41"/>
      <c r="OPZ122" s="41"/>
      <c r="OQA122" s="41"/>
      <c r="OQB122" s="41"/>
      <c r="OQC122" s="41"/>
      <c r="OQD122" s="41"/>
      <c r="OQE122" s="41"/>
      <c r="OQF122" s="41"/>
      <c r="OQG122" s="41"/>
      <c r="OQH122" s="41"/>
      <c r="OQI122" s="41"/>
      <c r="OQJ122" s="41"/>
      <c r="OQK122" s="41"/>
      <c r="OQL122" s="41"/>
      <c r="OQM122" s="41"/>
      <c r="OQN122" s="41"/>
      <c r="OQO122" s="41"/>
      <c r="OQP122" s="41"/>
      <c r="OQQ122" s="41"/>
      <c r="OQR122" s="41"/>
      <c r="OQS122" s="41"/>
      <c r="OQT122" s="41"/>
      <c r="OQU122" s="41"/>
      <c r="OQV122" s="41"/>
      <c r="OQW122" s="41"/>
      <c r="OQX122" s="41"/>
      <c r="OQY122" s="41"/>
      <c r="OQZ122" s="41"/>
      <c r="ORA122" s="41"/>
      <c r="ORB122" s="41"/>
      <c r="ORC122" s="41"/>
      <c r="ORD122" s="41"/>
      <c r="ORE122" s="41"/>
      <c r="ORF122" s="41"/>
      <c r="ORG122" s="41"/>
      <c r="ORH122" s="41"/>
      <c r="ORI122" s="41"/>
      <c r="ORJ122" s="41"/>
      <c r="ORK122" s="41"/>
      <c r="ORL122" s="41"/>
      <c r="ORM122" s="41"/>
      <c r="ORN122" s="41"/>
      <c r="ORO122" s="41"/>
      <c r="ORP122" s="41"/>
      <c r="ORQ122" s="41"/>
      <c r="ORR122" s="41"/>
      <c r="ORS122" s="41"/>
      <c r="ORT122" s="41"/>
      <c r="ORU122" s="41"/>
      <c r="ORV122" s="41"/>
      <c r="ORW122" s="41"/>
      <c r="ORX122" s="41"/>
      <c r="ORY122" s="41"/>
      <c r="ORZ122" s="41"/>
      <c r="OSA122" s="41"/>
      <c r="OSB122" s="41"/>
      <c r="OSC122" s="41"/>
      <c r="OSD122" s="41"/>
      <c r="OSE122" s="41"/>
      <c r="OSF122" s="41"/>
      <c r="OSG122" s="41"/>
      <c r="OSH122" s="41"/>
      <c r="OSI122" s="41"/>
      <c r="OSJ122" s="41"/>
      <c r="OSK122" s="41"/>
      <c r="OSL122" s="41"/>
      <c r="OSM122" s="41"/>
      <c r="OSN122" s="41"/>
      <c r="OSO122" s="41"/>
      <c r="OSP122" s="41"/>
      <c r="OSQ122" s="41"/>
      <c r="OSR122" s="41"/>
      <c r="OSS122" s="41"/>
      <c r="OST122" s="41"/>
      <c r="OSU122" s="41"/>
      <c r="OSV122" s="41"/>
      <c r="OSW122" s="41"/>
      <c r="OSX122" s="41"/>
      <c r="OSY122" s="41"/>
      <c r="OSZ122" s="41"/>
      <c r="OTA122" s="41"/>
      <c r="OTB122" s="41"/>
      <c r="OTC122" s="41"/>
      <c r="OTD122" s="41"/>
      <c r="OTE122" s="41"/>
      <c r="OTF122" s="41"/>
      <c r="OTG122" s="41"/>
      <c r="OTH122" s="41"/>
      <c r="OTI122" s="41"/>
      <c r="OTJ122" s="41"/>
      <c r="OTK122" s="41"/>
      <c r="OTL122" s="41"/>
      <c r="OTM122" s="41"/>
      <c r="OTN122" s="41"/>
      <c r="OTO122" s="41"/>
      <c r="OTP122" s="41"/>
      <c r="OTQ122" s="41"/>
      <c r="OTR122" s="41"/>
      <c r="OTS122" s="41"/>
      <c r="OTT122" s="41"/>
      <c r="OTU122" s="41"/>
      <c r="OTV122" s="41"/>
      <c r="OTW122" s="41"/>
      <c r="OTX122" s="41"/>
      <c r="OTY122" s="41"/>
      <c r="OTZ122" s="41"/>
      <c r="OUA122" s="41"/>
      <c r="OUB122" s="41"/>
      <c r="OUC122" s="41"/>
      <c r="OUD122" s="41"/>
      <c r="OUE122" s="41"/>
      <c r="OUF122" s="41"/>
      <c r="OUG122" s="41"/>
      <c r="OUH122" s="41"/>
      <c r="OUI122" s="41"/>
      <c r="OUJ122" s="41"/>
      <c r="OUK122" s="41"/>
      <c r="OUL122" s="41"/>
      <c r="OUM122" s="41"/>
      <c r="OUN122" s="41"/>
      <c r="OUO122" s="41"/>
      <c r="OUP122" s="41"/>
      <c r="OUQ122" s="41"/>
      <c r="OUR122" s="41"/>
      <c r="OUS122" s="41"/>
      <c r="OUT122" s="41"/>
      <c r="OUU122" s="41"/>
      <c r="OUV122" s="41"/>
      <c r="OUW122" s="41"/>
      <c r="OUX122" s="41"/>
      <c r="OUY122" s="41"/>
      <c r="OUZ122" s="41"/>
      <c r="OVA122" s="41"/>
      <c r="OVB122" s="41"/>
      <c r="OVC122" s="41"/>
      <c r="OVD122" s="41"/>
      <c r="OVE122" s="41"/>
      <c r="OVF122" s="41"/>
      <c r="OVG122" s="41"/>
      <c r="OVH122" s="41"/>
      <c r="OVI122" s="41"/>
      <c r="OVJ122" s="41"/>
      <c r="OVK122" s="41"/>
      <c r="OVL122" s="41"/>
      <c r="OVM122" s="41"/>
      <c r="OVN122" s="41"/>
      <c r="OVO122" s="41"/>
      <c r="OVP122" s="41"/>
      <c r="OVQ122" s="41"/>
      <c r="OVR122" s="41"/>
      <c r="OVS122" s="41"/>
      <c r="OVT122" s="41"/>
      <c r="OVU122" s="41"/>
      <c r="OVV122" s="41"/>
      <c r="OVW122" s="41"/>
      <c r="OVX122" s="41"/>
      <c r="OVY122" s="41"/>
      <c r="OVZ122" s="41"/>
      <c r="OWA122" s="41"/>
      <c r="OWB122" s="41"/>
      <c r="OWC122" s="41"/>
      <c r="OWD122" s="41"/>
      <c r="OWE122" s="41"/>
      <c r="OWF122" s="41"/>
      <c r="OWG122" s="41"/>
      <c r="OWH122" s="41"/>
      <c r="OWI122" s="41"/>
      <c r="OWJ122" s="41"/>
      <c r="OWK122" s="41"/>
      <c r="OWL122" s="41"/>
      <c r="OWM122" s="41"/>
      <c r="OWN122" s="41"/>
      <c r="OWO122" s="41"/>
      <c r="OWP122" s="41"/>
      <c r="OWQ122" s="41"/>
      <c r="OWR122" s="41"/>
      <c r="OWS122" s="41"/>
      <c r="OWT122" s="41"/>
      <c r="OWU122" s="41"/>
      <c r="OWV122" s="41"/>
      <c r="OWW122" s="41"/>
      <c r="OWX122" s="41"/>
      <c r="OWY122" s="41"/>
      <c r="OWZ122" s="41"/>
      <c r="OXA122" s="41"/>
      <c r="OXB122" s="41"/>
      <c r="OXC122" s="41"/>
      <c r="OXD122" s="41"/>
      <c r="OXE122" s="41"/>
      <c r="OXF122" s="41"/>
      <c r="OXG122" s="41"/>
      <c r="OXH122" s="41"/>
      <c r="OXI122" s="41"/>
      <c r="OXJ122" s="41"/>
      <c r="OXK122" s="41"/>
      <c r="OXL122" s="41"/>
      <c r="OXM122" s="41"/>
      <c r="OXN122" s="41"/>
      <c r="OXO122" s="41"/>
      <c r="OXP122" s="41"/>
      <c r="OXQ122" s="41"/>
      <c r="OXR122" s="41"/>
      <c r="OXS122" s="41"/>
      <c r="OXT122" s="41"/>
      <c r="OXU122" s="41"/>
      <c r="OXV122" s="41"/>
      <c r="OXW122" s="41"/>
      <c r="OXX122" s="41"/>
      <c r="OXY122" s="41"/>
      <c r="OXZ122" s="41"/>
      <c r="OYA122" s="41"/>
      <c r="OYB122" s="41"/>
      <c r="OYC122" s="41"/>
      <c r="OYD122" s="41"/>
      <c r="OYE122" s="41"/>
      <c r="OYF122" s="41"/>
      <c r="OYG122" s="41"/>
      <c r="OYH122" s="41"/>
      <c r="OYI122" s="41"/>
      <c r="OYJ122" s="41"/>
      <c r="OYK122" s="41"/>
      <c r="OYL122" s="41"/>
      <c r="OYM122" s="41"/>
      <c r="OYN122" s="41"/>
      <c r="OYO122" s="41"/>
      <c r="OYP122" s="41"/>
      <c r="OYQ122" s="41"/>
      <c r="OYR122" s="41"/>
      <c r="OYS122" s="41"/>
      <c r="OYT122" s="41"/>
      <c r="OYU122" s="41"/>
      <c r="OYV122" s="41"/>
      <c r="OYW122" s="41"/>
      <c r="OYX122" s="41"/>
      <c r="OYY122" s="41"/>
      <c r="OYZ122" s="41"/>
      <c r="OZA122" s="41"/>
      <c r="OZB122" s="41"/>
      <c r="OZC122" s="41"/>
      <c r="OZD122" s="41"/>
      <c r="OZE122" s="41"/>
      <c r="OZF122" s="41"/>
      <c r="OZG122" s="41"/>
      <c r="OZH122" s="41"/>
      <c r="OZI122" s="41"/>
      <c r="OZJ122" s="41"/>
      <c r="OZK122" s="41"/>
      <c r="OZL122" s="41"/>
      <c r="OZM122" s="41"/>
      <c r="OZN122" s="41"/>
      <c r="OZO122" s="41"/>
      <c r="OZP122" s="41"/>
      <c r="OZQ122" s="41"/>
      <c r="OZR122" s="41"/>
      <c r="OZS122" s="41"/>
      <c r="OZT122" s="41"/>
      <c r="OZU122" s="41"/>
      <c r="OZV122" s="41"/>
      <c r="OZW122" s="41"/>
      <c r="OZX122" s="41"/>
      <c r="OZY122" s="41"/>
      <c r="OZZ122" s="41"/>
      <c r="PAA122" s="41"/>
      <c r="PAB122" s="41"/>
      <c r="PAC122" s="41"/>
      <c r="PAD122" s="41"/>
      <c r="PAE122" s="41"/>
      <c r="PAF122" s="41"/>
      <c r="PAG122" s="41"/>
      <c r="PAH122" s="41"/>
      <c r="PAI122" s="41"/>
      <c r="PAJ122" s="41"/>
      <c r="PAK122" s="41"/>
      <c r="PAL122" s="41"/>
      <c r="PAM122" s="41"/>
      <c r="PAN122" s="41"/>
      <c r="PAO122" s="41"/>
      <c r="PAP122" s="41"/>
      <c r="PAQ122" s="41"/>
      <c r="PAR122" s="41"/>
      <c r="PAS122" s="41"/>
      <c r="PAT122" s="41"/>
      <c r="PAU122" s="41"/>
      <c r="PAV122" s="41"/>
      <c r="PAW122" s="41"/>
      <c r="PAX122" s="41"/>
      <c r="PAY122" s="41"/>
      <c r="PAZ122" s="41"/>
      <c r="PBA122" s="41"/>
      <c r="PBB122" s="41"/>
      <c r="PBC122" s="41"/>
      <c r="PBD122" s="41"/>
      <c r="PBE122" s="41"/>
      <c r="PBF122" s="41"/>
      <c r="PBG122" s="41"/>
      <c r="PBH122" s="41"/>
      <c r="PBI122" s="41"/>
      <c r="PBJ122" s="41"/>
      <c r="PBK122" s="41"/>
      <c r="PBL122" s="41"/>
      <c r="PBM122" s="41"/>
      <c r="PBN122" s="41"/>
      <c r="PBO122" s="41"/>
      <c r="PBP122" s="41"/>
      <c r="PBQ122" s="41"/>
      <c r="PBR122" s="41"/>
      <c r="PBS122" s="41"/>
      <c r="PBT122" s="41"/>
      <c r="PBU122" s="41"/>
      <c r="PBV122" s="41"/>
      <c r="PBW122" s="41"/>
      <c r="PBX122" s="41"/>
      <c r="PBY122" s="41"/>
      <c r="PBZ122" s="41"/>
      <c r="PCA122" s="41"/>
      <c r="PCB122" s="41"/>
      <c r="PCC122" s="41"/>
      <c r="PCD122" s="41"/>
      <c r="PCE122" s="41"/>
      <c r="PCF122" s="41"/>
      <c r="PCG122" s="41"/>
      <c r="PCH122" s="41"/>
      <c r="PCI122" s="41"/>
      <c r="PCJ122" s="41"/>
      <c r="PCK122" s="41"/>
      <c r="PCL122" s="41"/>
      <c r="PCM122" s="41"/>
      <c r="PCN122" s="41"/>
      <c r="PCO122" s="41"/>
      <c r="PCP122" s="41"/>
      <c r="PCQ122" s="41"/>
      <c r="PCR122" s="41"/>
      <c r="PCS122" s="41"/>
      <c r="PCT122" s="41"/>
      <c r="PCU122" s="41"/>
      <c r="PCV122" s="41"/>
      <c r="PCW122" s="41"/>
      <c r="PCX122" s="41"/>
      <c r="PCY122" s="41"/>
      <c r="PCZ122" s="41"/>
      <c r="PDA122" s="41"/>
      <c r="PDB122" s="41"/>
      <c r="PDC122" s="41"/>
      <c r="PDD122" s="41"/>
      <c r="PDE122" s="41"/>
      <c r="PDF122" s="41"/>
      <c r="PDG122" s="41"/>
      <c r="PDH122" s="41"/>
      <c r="PDI122" s="41"/>
      <c r="PDJ122" s="41"/>
      <c r="PDK122" s="41"/>
      <c r="PDL122" s="41"/>
      <c r="PDM122" s="41"/>
      <c r="PDN122" s="41"/>
      <c r="PDO122" s="41"/>
      <c r="PDP122" s="41"/>
      <c r="PDQ122" s="41"/>
      <c r="PDR122" s="41"/>
      <c r="PDS122" s="41"/>
      <c r="PDT122" s="41"/>
      <c r="PDU122" s="41"/>
      <c r="PDV122" s="41"/>
      <c r="PDW122" s="41"/>
      <c r="PDX122" s="41"/>
      <c r="PDY122" s="41"/>
      <c r="PDZ122" s="41"/>
      <c r="PEA122" s="41"/>
      <c r="PEB122" s="41"/>
      <c r="PEC122" s="41"/>
      <c r="PED122" s="41"/>
      <c r="PEE122" s="41"/>
      <c r="PEF122" s="41"/>
      <c r="PEG122" s="41"/>
      <c r="PEH122" s="41"/>
      <c r="PEI122" s="41"/>
      <c r="PEJ122" s="41"/>
      <c r="PEK122" s="41"/>
      <c r="PEL122" s="41"/>
      <c r="PEM122" s="41"/>
      <c r="PEN122" s="41"/>
      <c r="PEO122" s="41"/>
      <c r="PEP122" s="41"/>
      <c r="PEQ122" s="41"/>
      <c r="PER122" s="41"/>
      <c r="PES122" s="41"/>
      <c r="PET122" s="41"/>
      <c r="PEU122" s="41"/>
      <c r="PEV122" s="41"/>
      <c r="PEW122" s="41"/>
      <c r="PEX122" s="41"/>
      <c r="PEY122" s="41"/>
      <c r="PEZ122" s="41"/>
      <c r="PFA122" s="41"/>
      <c r="PFB122" s="41"/>
      <c r="PFC122" s="41"/>
      <c r="PFD122" s="41"/>
      <c r="PFE122" s="41"/>
      <c r="PFF122" s="41"/>
      <c r="PFG122" s="41"/>
      <c r="PFH122" s="41"/>
      <c r="PFI122" s="41"/>
      <c r="PFJ122" s="41"/>
      <c r="PFK122" s="41"/>
      <c r="PFL122" s="41"/>
      <c r="PFM122" s="41"/>
      <c r="PFN122" s="41"/>
      <c r="PFO122" s="41"/>
      <c r="PFP122" s="41"/>
      <c r="PFQ122" s="41"/>
      <c r="PFR122" s="41"/>
      <c r="PFS122" s="41"/>
      <c r="PFT122" s="41"/>
      <c r="PFU122" s="41"/>
      <c r="PFV122" s="41"/>
      <c r="PFW122" s="41"/>
      <c r="PFX122" s="41"/>
      <c r="PFY122" s="41"/>
      <c r="PFZ122" s="41"/>
      <c r="PGA122" s="41"/>
      <c r="PGB122" s="41"/>
      <c r="PGC122" s="41"/>
      <c r="PGD122" s="41"/>
      <c r="PGE122" s="41"/>
      <c r="PGF122" s="41"/>
      <c r="PGG122" s="41"/>
      <c r="PGH122" s="41"/>
      <c r="PGI122" s="41"/>
      <c r="PGJ122" s="41"/>
      <c r="PGK122" s="41"/>
      <c r="PGL122" s="41"/>
      <c r="PGM122" s="41"/>
      <c r="PGN122" s="41"/>
      <c r="PGO122" s="41"/>
      <c r="PGP122" s="41"/>
      <c r="PGQ122" s="41"/>
      <c r="PGR122" s="41"/>
      <c r="PGS122" s="41"/>
      <c r="PGT122" s="41"/>
      <c r="PGU122" s="41"/>
      <c r="PGV122" s="41"/>
      <c r="PGW122" s="41"/>
      <c r="PGX122" s="41"/>
      <c r="PGY122" s="41"/>
      <c r="PGZ122" s="41"/>
      <c r="PHA122" s="41"/>
      <c r="PHB122" s="41"/>
      <c r="PHC122" s="41"/>
      <c r="PHD122" s="41"/>
      <c r="PHE122" s="41"/>
      <c r="PHF122" s="41"/>
      <c r="PHG122" s="41"/>
      <c r="PHH122" s="41"/>
      <c r="PHI122" s="41"/>
      <c r="PHJ122" s="41"/>
      <c r="PHK122" s="41"/>
      <c r="PHL122" s="41"/>
      <c r="PHM122" s="41"/>
      <c r="PHN122" s="41"/>
      <c r="PHO122" s="41"/>
      <c r="PHP122" s="41"/>
      <c r="PHQ122" s="41"/>
      <c r="PHR122" s="41"/>
      <c r="PHS122" s="41"/>
      <c r="PHT122" s="41"/>
      <c r="PHU122" s="41"/>
      <c r="PHV122" s="41"/>
      <c r="PHW122" s="41"/>
      <c r="PHX122" s="41"/>
      <c r="PHY122" s="41"/>
      <c r="PHZ122" s="41"/>
      <c r="PIA122" s="41"/>
      <c r="PIB122" s="41"/>
      <c r="PIC122" s="41"/>
      <c r="PID122" s="41"/>
      <c r="PIE122" s="41"/>
      <c r="PIF122" s="41"/>
      <c r="PIG122" s="41"/>
      <c r="PIH122" s="41"/>
      <c r="PII122" s="41"/>
      <c r="PIJ122" s="41"/>
      <c r="PIK122" s="41"/>
      <c r="PIL122" s="41"/>
      <c r="PIM122" s="41"/>
      <c r="PIN122" s="41"/>
      <c r="PIO122" s="41"/>
      <c r="PIP122" s="41"/>
      <c r="PIQ122" s="41"/>
      <c r="PIR122" s="41"/>
      <c r="PIS122" s="41"/>
      <c r="PIT122" s="41"/>
      <c r="PIU122" s="41"/>
      <c r="PIV122" s="41"/>
      <c r="PIW122" s="41"/>
      <c r="PIX122" s="41"/>
      <c r="PIY122" s="41"/>
      <c r="PIZ122" s="41"/>
      <c r="PJA122" s="41"/>
      <c r="PJB122" s="41"/>
      <c r="PJC122" s="41"/>
      <c r="PJD122" s="41"/>
      <c r="PJE122" s="41"/>
      <c r="PJF122" s="41"/>
      <c r="PJG122" s="41"/>
      <c r="PJH122" s="41"/>
      <c r="PJI122" s="41"/>
      <c r="PJJ122" s="41"/>
      <c r="PJK122" s="41"/>
      <c r="PJL122" s="41"/>
      <c r="PJM122" s="41"/>
      <c r="PJN122" s="41"/>
      <c r="PJO122" s="41"/>
      <c r="PJP122" s="41"/>
      <c r="PJQ122" s="41"/>
      <c r="PJR122" s="41"/>
      <c r="PJS122" s="41"/>
      <c r="PJT122" s="41"/>
      <c r="PJU122" s="41"/>
      <c r="PJV122" s="41"/>
      <c r="PJW122" s="41"/>
      <c r="PJX122" s="41"/>
      <c r="PJY122" s="41"/>
      <c r="PJZ122" s="41"/>
      <c r="PKA122" s="41"/>
      <c r="PKB122" s="41"/>
      <c r="PKC122" s="41"/>
      <c r="PKD122" s="41"/>
      <c r="PKE122" s="41"/>
      <c r="PKF122" s="41"/>
      <c r="PKG122" s="41"/>
      <c r="PKH122" s="41"/>
      <c r="PKI122" s="41"/>
      <c r="PKJ122" s="41"/>
      <c r="PKK122" s="41"/>
      <c r="PKL122" s="41"/>
      <c r="PKM122" s="41"/>
      <c r="PKN122" s="41"/>
      <c r="PKO122" s="41"/>
      <c r="PKP122" s="41"/>
      <c r="PKQ122" s="41"/>
      <c r="PKR122" s="41"/>
      <c r="PKS122" s="41"/>
      <c r="PKT122" s="41"/>
      <c r="PKU122" s="41"/>
      <c r="PKV122" s="41"/>
      <c r="PKW122" s="41"/>
      <c r="PKX122" s="41"/>
      <c r="PKY122" s="41"/>
      <c r="PKZ122" s="41"/>
      <c r="PLA122" s="41"/>
      <c r="PLB122" s="41"/>
      <c r="PLC122" s="41"/>
      <c r="PLD122" s="41"/>
      <c r="PLE122" s="41"/>
      <c r="PLF122" s="41"/>
      <c r="PLG122" s="41"/>
      <c r="PLH122" s="41"/>
      <c r="PLI122" s="41"/>
      <c r="PLJ122" s="41"/>
      <c r="PLK122" s="41"/>
      <c r="PLL122" s="41"/>
      <c r="PLM122" s="41"/>
      <c r="PLN122" s="41"/>
      <c r="PLO122" s="41"/>
      <c r="PLP122" s="41"/>
      <c r="PLQ122" s="41"/>
      <c r="PLR122" s="41"/>
      <c r="PLS122" s="41"/>
      <c r="PLT122" s="41"/>
      <c r="PLU122" s="41"/>
      <c r="PLV122" s="41"/>
      <c r="PLW122" s="41"/>
      <c r="PLX122" s="41"/>
      <c r="PLY122" s="41"/>
      <c r="PLZ122" s="41"/>
      <c r="PMA122" s="41"/>
      <c r="PMB122" s="41"/>
      <c r="PMC122" s="41"/>
      <c r="PMD122" s="41"/>
      <c r="PME122" s="41"/>
      <c r="PMF122" s="41"/>
      <c r="PMG122" s="41"/>
      <c r="PMH122" s="41"/>
      <c r="PMI122" s="41"/>
      <c r="PMJ122" s="41"/>
      <c r="PMK122" s="41"/>
      <c r="PML122" s="41"/>
      <c r="PMM122" s="41"/>
      <c r="PMN122" s="41"/>
      <c r="PMO122" s="41"/>
      <c r="PMP122" s="41"/>
      <c r="PMQ122" s="41"/>
      <c r="PMR122" s="41"/>
      <c r="PMS122" s="41"/>
      <c r="PMT122" s="41"/>
      <c r="PMU122" s="41"/>
      <c r="PMV122" s="41"/>
      <c r="PMW122" s="41"/>
      <c r="PMX122" s="41"/>
      <c r="PMY122" s="41"/>
      <c r="PMZ122" s="41"/>
      <c r="PNA122" s="41"/>
      <c r="PNB122" s="41"/>
      <c r="PNC122" s="41"/>
      <c r="PND122" s="41"/>
      <c r="PNE122" s="41"/>
      <c r="PNF122" s="41"/>
      <c r="PNG122" s="41"/>
      <c r="PNH122" s="41"/>
      <c r="PNI122" s="41"/>
      <c r="PNJ122" s="41"/>
      <c r="PNK122" s="41"/>
      <c r="PNL122" s="41"/>
      <c r="PNM122" s="41"/>
      <c r="PNN122" s="41"/>
      <c r="PNO122" s="41"/>
      <c r="PNP122" s="41"/>
      <c r="PNQ122" s="41"/>
      <c r="PNR122" s="41"/>
      <c r="PNS122" s="41"/>
      <c r="PNT122" s="41"/>
      <c r="PNU122" s="41"/>
      <c r="PNV122" s="41"/>
      <c r="PNW122" s="41"/>
      <c r="PNX122" s="41"/>
      <c r="PNY122" s="41"/>
      <c r="PNZ122" s="41"/>
      <c r="POA122" s="41"/>
      <c r="POB122" s="41"/>
      <c r="POC122" s="41"/>
      <c r="POD122" s="41"/>
      <c r="POE122" s="41"/>
      <c r="POF122" s="41"/>
      <c r="POG122" s="41"/>
      <c r="POH122" s="41"/>
      <c r="POI122" s="41"/>
      <c r="POJ122" s="41"/>
      <c r="POK122" s="41"/>
      <c r="POL122" s="41"/>
      <c r="POM122" s="41"/>
      <c r="PON122" s="41"/>
      <c r="POO122" s="41"/>
      <c r="POP122" s="41"/>
      <c r="POQ122" s="41"/>
      <c r="POR122" s="41"/>
      <c r="POS122" s="41"/>
      <c r="POT122" s="41"/>
      <c r="POU122" s="41"/>
      <c r="POV122" s="41"/>
      <c r="POW122" s="41"/>
      <c r="POX122" s="41"/>
      <c r="POY122" s="41"/>
      <c r="POZ122" s="41"/>
      <c r="PPA122" s="41"/>
      <c r="PPB122" s="41"/>
      <c r="PPC122" s="41"/>
      <c r="PPD122" s="41"/>
      <c r="PPE122" s="41"/>
      <c r="PPF122" s="41"/>
      <c r="PPG122" s="41"/>
      <c r="PPH122" s="41"/>
      <c r="PPI122" s="41"/>
      <c r="PPJ122" s="41"/>
      <c r="PPK122" s="41"/>
      <c r="PPL122" s="41"/>
      <c r="PPM122" s="41"/>
      <c r="PPN122" s="41"/>
      <c r="PPO122" s="41"/>
      <c r="PPP122" s="41"/>
      <c r="PPQ122" s="41"/>
      <c r="PPR122" s="41"/>
      <c r="PPS122" s="41"/>
      <c r="PPT122" s="41"/>
      <c r="PPU122" s="41"/>
      <c r="PPV122" s="41"/>
      <c r="PPW122" s="41"/>
      <c r="PPX122" s="41"/>
      <c r="PPY122" s="41"/>
      <c r="PPZ122" s="41"/>
      <c r="PQA122" s="41"/>
      <c r="PQB122" s="41"/>
      <c r="PQC122" s="41"/>
      <c r="PQD122" s="41"/>
      <c r="PQE122" s="41"/>
      <c r="PQF122" s="41"/>
      <c r="PQG122" s="41"/>
      <c r="PQH122" s="41"/>
      <c r="PQI122" s="41"/>
      <c r="PQJ122" s="41"/>
      <c r="PQK122" s="41"/>
      <c r="PQL122" s="41"/>
      <c r="PQM122" s="41"/>
      <c r="PQN122" s="41"/>
      <c r="PQO122" s="41"/>
      <c r="PQP122" s="41"/>
      <c r="PQQ122" s="41"/>
      <c r="PQR122" s="41"/>
      <c r="PQS122" s="41"/>
      <c r="PQT122" s="41"/>
      <c r="PQU122" s="41"/>
      <c r="PQV122" s="41"/>
      <c r="PQW122" s="41"/>
      <c r="PQX122" s="41"/>
      <c r="PQY122" s="41"/>
      <c r="PQZ122" s="41"/>
      <c r="PRA122" s="41"/>
      <c r="PRB122" s="41"/>
      <c r="PRC122" s="41"/>
      <c r="PRD122" s="41"/>
      <c r="PRE122" s="41"/>
      <c r="PRF122" s="41"/>
      <c r="PRG122" s="41"/>
      <c r="PRH122" s="41"/>
      <c r="PRI122" s="41"/>
      <c r="PRJ122" s="41"/>
      <c r="PRK122" s="41"/>
      <c r="PRL122" s="41"/>
      <c r="PRM122" s="41"/>
      <c r="PRN122" s="41"/>
      <c r="PRO122" s="41"/>
      <c r="PRP122" s="41"/>
      <c r="PRQ122" s="41"/>
      <c r="PRR122" s="41"/>
      <c r="PRS122" s="41"/>
      <c r="PRT122" s="41"/>
      <c r="PRU122" s="41"/>
      <c r="PRV122" s="41"/>
      <c r="PRW122" s="41"/>
      <c r="PRX122" s="41"/>
      <c r="PRY122" s="41"/>
      <c r="PRZ122" s="41"/>
      <c r="PSA122" s="41"/>
      <c r="PSB122" s="41"/>
      <c r="PSC122" s="41"/>
      <c r="PSD122" s="41"/>
      <c r="PSE122" s="41"/>
      <c r="PSF122" s="41"/>
      <c r="PSG122" s="41"/>
      <c r="PSH122" s="41"/>
      <c r="PSI122" s="41"/>
      <c r="PSJ122" s="41"/>
      <c r="PSK122" s="41"/>
      <c r="PSL122" s="41"/>
      <c r="PSM122" s="41"/>
      <c r="PSN122" s="41"/>
      <c r="PSO122" s="41"/>
      <c r="PSP122" s="41"/>
      <c r="PSQ122" s="41"/>
      <c r="PSR122" s="41"/>
      <c r="PSS122" s="41"/>
      <c r="PST122" s="41"/>
      <c r="PSU122" s="41"/>
      <c r="PSV122" s="41"/>
      <c r="PSW122" s="41"/>
      <c r="PSX122" s="41"/>
      <c r="PSY122" s="41"/>
      <c r="PSZ122" s="41"/>
      <c r="PTA122" s="41"/>
      <c r="PTB122" s="41"/>
      <c r="PTC122" s="41"/>
      <c r="PTD122" s="41"/>
      <c r="PTE122" s="41"/>
      <c r="PTF122" s="41"/>
      <c r="PTG122" s="41"/>
      <c r="PTH122" s="41"/>
      <c r="PTI122" s="41"/>
      <c r="PTJ122" s="41"/>
      <c r="PTK122" s="41"/>
      <c r="PTL122" s="41"/>
      <c r="PTM122" s="41"/>
      <c r="PTN122" s="41"/>
      <c r="PTO122" s="41"/>
      <c r="PTP122" s="41"/>
      <c r="PTQ122" s="41"/>
      <c r="PTR122" s="41"/>
      <c r="PTS122" s="41"/>
      <c r="PTT122" s="41"/>
      <c r="PTU122" s="41"/>
      <c r="PTV122" s="41"/>
      <c r="PTW122" s="41"/>
      <c r="PTX122" s="41"/>
      <c r="PTY122" s="41"/>
      <c r="PTZ122" s="41"/>
      <c r="PUA122" s="41"/>
      <c r="PUB122" s="41"/>
      <c r="PUC122" s="41"/>
      <c r="PUD122" s="41"/>
      <c r="PUE122" s="41"/>
      <c r="PUF122" s="41"/>
      <c r="PUG122" s="41"/>
      <c r="PUH122" s="41"/>
      <c r="PUI122" s="41"/>
      <c r="PUJ122" s="41"/>
      <c r="PUK122" s="41"/>
      <c r="PUL122" s="41"/>
      <c r="PUM122" s="41"/>
      <c r="PUN122" s="41"/>
      <c r="PUO122" s="41"/>
      <c r="PUP122" s="41"/>
      <c r="PUQ122" s="41"/>
      <c r="PUR122" s="41"/>
      <c r="PUS122" s="41"/>
      <c r="PUT122" s="41"/>
      <c r="PUU122" s="41"/>
      <c r="PUV122" s="41"/>
      <c r="PUW122" s="41"/>
      <c r="PUX122" s="41"/>
      <c r="PUY122" s="41"/>
      <c r="PUZ122" s="41"/>
      <c r="PVA122" s="41"/>
      <c r="PVB122" s="41"/>
      <c r="PVC122" s="41"/>
      <c r="PVD122" s="41"/>
      <c r="PVE122" s="41"/>
      <c r="PVF122" s="41"/>
      <c r="PVG122" s="41"/>
      <c r="PVH122" s="41"/>
      <c r="PVI122" s="41"/>
      <c r="PVJ122" s="41"/>
      <c r="PVK122" s="41"/>
      <c r="PVL122" s="41"/>
      <c r="PVM122" s="41"/>
      <c r="PVN122" s="41"/>
      <c r="PVO122" s="41"/>
      <c r="PVP122" s="41"/>
      <c r="PVQ122" s="41"/>
      <c r="PVR122" s="41"/>
      <c r="PVS122" s="41"/>
      <c r="PVT122" s="41"/>
      <c r="PVU122" s="41"/>
      <c r="PVV122" s="41"/>
      <c r="PVW122" s="41"/>
      <c r="PVX122" s="41"/>
      <c r="PVY122" s="41"/>
      <c r="PVZ122" s="41"/>
      <c r="PWA122" s="41"/>
      <c r="PWB122" s="41"/>
      <c r="PWC122" s="41"/>
      <c r="PWD122" s="41"/>
      <c r="PWE122" s="41"/>
      <c r="PWF122" s="41"/>
      <c r="PWG122" s="41"/>
      <c r="PWH122" s="41"/>
      <c r="PWI122" s="41"/>
      <c r="PWJ122" s="41"/>
      <c r="PWK122" s="41"/>
      <c r="PWL122" s="41"/>
      <c r="PWM122" s="41"/>
      <c r="PWN122" s="41"/>
      <c r="PWO122" s="41"/>
      <c r="PWP122" s="41"/>
      <c r="PWQ122" s="41"/>
      <c r="PWR122" s="41"/>
      <c r="PWS122" s="41"/>
      <c r="PWT122" s="41"/>
      <c r="PWU122" s="41"/>
      <c r="PWV122" s="41"/>
      <c r="PWW122" s="41"/>
      <c r="PWX122" s="41"/>
      <c r="PWY122" s="41"/>
      <c r="PWZ122" s="41"/>
      <c r="PXA122" s="41"/>
      <c r="PXB122" s="41"/>
      <c r="PXC122" s="41"/>
      <c r="PXD122" s="41"/>
      <c r="PXE122" s="41"/>
      <c r="PXF122" s="41"/>
      <c r="PXG122" s="41"/>
      <c r="PXH122" s="41"/>
      <c r="PXI122" s="41"/>
      <c r="PXJ122" s="41"/>
      <c r="PXK122" s="41"/>
      <c r="PXL122" s="41"/>
      <c r="PXM122" s="41"/>
      <c r="PXN122" s="41"/>
      <c r="PXO122" s="41"/>
      <c r="PXP122" s="41"/>
      <c r="PXQ122" s="41"/>
      <c r="PXR122" s="41"/>
      <c r="PXS122" s="41"/>
      <c r="PXT122" s="41"/>
      <c r="PXU122" s="41"/>
      <c r="PXV122" s="41"/>
      <c r="PXW122" s="41"/>
      <c r="PXX122" s="41"/>
      <c r="PXY122" s="41"/>
      <c r="PXZ122" s="41"/>
      <c r="PYA122" s="41"/>
      <c r="PYB122" s="41"/>
      <c r="PYC122" s="41"/>
      <c r="PYD122" s="41"/>
      <c r="PYE122" s="41"/>
      <c r="PYF122" s="41"/>
      <c r="PYG122" s="41"/>
      <c r="PYH122" s="41"/>
      <c r="PYI122" s="41"/>
      <c r="PYJ122" s="41"/>
      <c r="PYK122" s="41"/>
      <c r="PYL122" s="41"/>
      <c r="PYM122" s="41"/>
      <c r="PYN122" s="41"/>
      <c r="PYO122" s="41"/>
      <c r="PYP122" s="41"/>
      <c r="PYQ122" s="41"/>
      <c r="PYR122" s="41"/>
      <c r="PYS122" s="41"/>
      <c r="PYT122" s="41"/>
      <c r="PYU122" s="41"/>
      <c r="PYV122" s="41"/>
      <c r="PYW122" s="41"/>
      <c r="PYX122" s="41"/>
      <c r="PYY122" s="41"/>
      <c r="PYZ122" s="41"/>
      <c r="PZA122" s="41"/>
      <c r="PZB122" s="41"/>
      <c r="PZC122" s="41"/>
      <c r="PZD122" s="41"/>
      <c r="PZE122" s="41"/>
      <c r="PZF122" s="41"/>
      <c r="PZG122" s="41"/>
      <c r="PZH122" s="41"/>
      <c r="PZI122" s="41"/>
      <c r="PZJ122" s="41"/>
      <c r="PZK122" s="41"/>
      <c r="PZL122" s="41"/>
      <c r="PZM122" s="41"/>
      <c r="PZN122" s="41"/>
      <c r="PZO122" s="41"/>
      <c r="PZP122" s="41"/>
      <c r="PZQ122" s="41"/>
      <c r="PZR122" s="41"/>
      <c r="PZS122" s="41"/>
      <c r="PZT122" s="41"/>
      <c r="PZU122" s="41"/>
      <c r="PZV122" s="41"/>
      <c r="PZW122" s="41"/>
      <c r="PZX122" s="41"/>
      <c r="PZY122" s="41"/>
      <c r="PZZ122" s="41"/>
      <c r="QAA122" s="41"/>
      <c r="QAB122" s="41"/>
      <c r="QAC122" s="41"/>
      <c r="QAD122" s="41"/>
      <c r="QAE122" s="41"/>
      <c r="QAF122" s="41"/>
      <c r="QAG122" s="41"/>
      <c r="QAH122" s="41"/>
      <c r="QAI122" s="41"/>
      <c r="QAJ122" s="41"/>
      <c r="QAK122" s="41"/>
      <c r="QAL122" s="41"/>
      <c r="QAM122" s="41"/>
      <c r="QAN122" s="41"/>
      <c r="QAO122" s="41"/>
      <c r="QAP122" s="41"/>
      <c r="QAQ122" s="41"/>
      <c r="QAR122" s="41"/>
      <c r="QAS122" s="41"/>
      <c r="QAT122" s="41"/>
      <c r="QAU122" s="41"/>
      <c r="QAV122" s="41"/>
      <c r="QAW122" s="41"/>
      <c r="QAX122" s="41"/>
      <c r="QAY122" s="41"/>
      <c r="QAZ122" s="41"/>
      <c r="QBA122" s="41"/>
      <c r="QBB122" s="41"/>
      <c r="QBC122" s="41"/>
      <c r="QBD122" s="41"/>
      <c r="QBE122" s="41"/>
      <c r="QBF122" s="41"/>
      <c r="QBG122" s="41"/>
      <c r="QBH122" s="41"/>
      <c r="QBI122" s="41"/>
      <c r="QBJ122" s="41"/>
      <c r="QBK122" s="41"/>
      <c r="QBL122" s="41"/>
      <c r="QBM122" s="41"/>
      <c r="QBN122" s="41"/>
      <c r="QBO122" s="41"/>
      <c r="QBP122" s="41"/>
      <c r="QBQ122" s="41"/>
      <c r="QBR122" s="41"/>
      <c r="QBS122" s="41"/>
      <c r="QBT122" s="41"/>
      <c r="QBU122" s="41"/>
      <c r="QBV122" s="41"/>
      <c r="QBW122" s="41"/>
      <c r="QBX122" s="41"/>
      <c r="QBY122" s="41"/>
      <c r="QBZ122" s="41"/>
      <c r="QCA122" s="41"/>
      <c r="QCB122" s="41"/>
      <c r="QCC122" s="41"/>
      <c r="QCD122" s="41"/>
      <c r="QCE122" s="41"/>
      <c r="QCF122" s="41"/>
      <c r="QCG122" s="41"/>
      <c r="QCH122" s="41"/>
      <c r="QCI122" s="41"/>
      <c r="QCJ122" s="41"/>
      <c r="QCK122" s="41"/>
      <c r="QCL122" s="41"/>
      <c r="QCM122" s="41"/>
      <c r="QCN122" s="41"/>
      <c r="QCO122" s="41"/>
      <c r="QCP122" s="41"/>
      <c r="QCQ122" s="41"/>
      <c r="QCR122" s="41"/>
      <c r="QCS122" s="41"/>
      <c r="QCT122" s="41"/>
      <c r="QCU122" s="41"/>
      <c r="QCV122" s="41"/>
      <c r="QCW122" s="41"/>
      <c r="QCX122" s="41"/>
      <c r="QCY122" s="41"/>
      <c r="QCZ122" s="41"/>
      <c r="QDA122" s="41"/>
      <c r="QDB122" s="41"/>
      <c r="QDC122" s="41"/>
      <c r="QDD122" s="41"/>
      <c r="QDE122" s="41"/>
      <c r="QDF122" s="41"/>
      <c r="QDG122" s="41"/>
      <c r="QDH122" s="41"/>
      <c r="QDI122" s="41"/>
      <c r="QDJ122" s="41"/>
      <c r="QDK122" s="41"/>
      <c r="QDL122" s="41"/>
      <c r="QDM122" s="41"/>
      <c r="QDN122" s="41"/>
      <c r="QDO122" s="41"/>
      <c r="QDP122" s="41"/>
      <c r="QDQ122" s="41"/>
      <c r="QDR122" s="41"/>
      <c r="QDS122" s="41"/>
      <c r="QDT122" s="41"/>
      <c r="QDU122" s="41"/>
      <c r="QDV122" s="41"/>
      <c r="QDW122" s="41"/>
      <c r="QDX122" s="41"/>
      <c r="QDY122" s="41"/>
      <c r="QDZ122" s="41"/>
      <c r="QEA122" s="41"/>
      <c r="QEB122" s="41"/>
      <c r="QEC122" s="41"/>
      <c r="QED122" s="41"/>
      <c r="QEE122" s="41"/>
      <c r="QEF122" s="41"/>
      <c r="QEG122" s="41"/>
      <c r="QEH122" s="41"/>
      <c r="QEI122" s="41"/>
      <c r="QEJ122" s="41"/>
      <c r="QEK122" s="41"/>
      <c r="QEL122" s="41"/>
      <c r="QEM122" s="41"/>
      <c r="QEN122" s="41"/>
      <c r="QEO122" s="41"/>
      <c r="QEP122" s="41"/>
      <c r="QEQ122" s="41"/>
      <c r="QER122" s="41"/>
      <c r="QES122" s="41"/>
      <c r="QET122" s="41"/>
      <c r="QEU122" s="41"/>
      <c r="QEV122" s="41"/>
      <c r="QEW122" s="41"/>
      <c r="QEX122" s="41"/>
      <c r="QEY122" s="41"/>
      <c r="QEZ122" s="41"/>
      <c r="QFA122" s="41"/>
      <c r="QFB122" s="41"/>
      <c r="QFC122" s="41"/>
      <c r="QFD122" s="41"/>
      <c r="QFE122" s="41"/>
      <c r="QFF122" s="41"/>
      <c r="QFG122" s="41"/>
      <c r="QFH122" s="41"/>
      <c r="QFI122" s="41"/>
      <c r="QFJ122" s="41"/>
      <c r="QFK122" s="41"/>
      <c r="QFL122" s="41"/>
      <c r="QFM122" s="41"/>
      <c r="QFN122" s="41"/>
      <c r="QFO122" s="41"/>
      <c r="QFP122" s="41"/>
      <c r="QFQ122" s="41"/>
      <c r="QFR122" s="41"/>
      <c r="QFS122" s="41"/>
      <c r="QFT122" s="41"/>
      <c r="QFU122" s="41"/>
      <c r="QFV122" s="41"/>
      <c r="QFW122" s="41"/>
      <c r="QFX122" s="41"/>
      <c r="QFY122" s="41"/>
      <c r="QFZ122" s="41"/>
      <c r="QGA122" s="41"/>
      <c r="QGB122" s="41"/>
      <c r="QGC122" s="41"/>
      <c r="QGD122" s="41"/>
      <c r="QGE122" s="41"/>
      <c r="QGF122" s="41"/>
      <c r="QGG122" s="41"/>
      <c r="QGH122" s="41"/>
      <c r="QGI122" s="41"/>
      <c r="QGJ122" s="41"/>
      <c r="QGK122" s="41"/>
      <c r="QGL122" s="41"/>
      <c r="QGM122" s="41"/>
      <c r="QGN122" s="41"/>
      <c r="QGO122" s="41"/>
      <c r="QGP122" s="41"/>
      <c r="QGQ122" s="41"/>
      <c r="QGR122" s="41"/>
      <c r="QGS122" s="41"/>
      <c r="QGT122" s="41"/>
      <c r="QGU122" s="41"/>
      <c r="QGV122" s="41"/>
      <c r="QGW122" s="41"/>
      <c r="QGX122" s="41"/>
      <c r="QGY122" s="41"/>
      <c r="QGZ122" s="41"/>
      <c r="QHA122" s="41"/>
      <c r="QHB122" s="41"/>
      <c r="QHC122" s="41"/>
      <c r="QHD122" s="41"/>
      <c r="QHE122" s="41"/>
      <c r="QHF122" s="41"/>
      <c r="QHG122" s="41"/>
      <c r="QHH122" s="41"/>
      <c r="QHI122" s="41"/>
      <c r="QHJ122" s="41"/>
      <c r="QHK122" s="41"/>
      <c r="QHL122" s="41"/>
      <c r="QHM122" s="41"/>
      <c r="QHN122" s="41"/>
      <c r="QHO122" s="41"/>
      <c r="QHP122" s="41"/>
      <c r="QHQ122" s="41"/>
      <c r="QHR122" s="41"/>
      <c r="QHS122" s="41"/>
      <c r="QHT122" s="41"/>
      <c r="QHU122" s="41"/>
      <c r="QHV122" s="41"/>
      <c r="QHW122" s="41"/>
      <c r="QHX122" s="41"/>
      <c r="QHY122" s="41"/>
      <c r="QHZ122" s="41"/>
      <c r="QIA122" s="41"/>
      <c r="QIB122" s="41"/>
      <c r="QIC122" s="41"/>
      <c r="QID122" s="41"/>
      <c r="QIE122" s="41"/>
      <c r="QIF122" s="41"/>
      <c r="QIG122" s="41"/>
      <c r="QIH122" s="41"/>
      <c r="QII122" s="41"/>
      <c r="QIJ122" s="41"/>
      <c r="QIK122" s="41"/>
      <c r="QIL122" s="41"/>
      <c r="QIM122" s="41"/>
      <c r="QIN122" s="41"/>
      <c r="QIO122" s="41"/>
      <c r="QIP122" s="41"/>
      <c r="QIQ122" s="41"/>
      <c r="QIR122" s="41"/>
      <c r="QIS122" s="41"/>
      <c r="QIT122" s="41"/>
      <c r="QIU122" s="41"/>
      <c r="QIV122" s="41"/>
      <c r="QIW122" s="41"/>
      <c r="QIX122" s="41"/>
      <c r="QIY122" s="41"/>
      <c r="QIZ122" s="41"/>
      <c r="QJA122" s="41"/>
      <c r="QJB122" s="41"/>
      <c r="QJC122" s="41"/>
      <c r="QJD122" s="41"/>
      <c r="QJE122" s="41"/>
      <c r="QJF122" s="41"/>
      <c r="QJG122" s="41"/>
      <c r="QJH122" s="41"/>
      <c r="QJI122" s="41"/>
      <c r="QJJ122" s="41"/>
      <c r="QJK122" s="41"/>
      <c r="QJL122" s="41"/>
      <c r="QJM122" s="41"/>
      <c r="QJN122" s="41"/>
      <c r="QJO122" s="41"/>
      <c r="QJP122" s="41"/>
      <c r="QJQ122" s="41"/>
      <c r="QJR122" s="41"/>
      <c r="QJS122" s="41"/>
      <c r="QJT122" s="41"/>
      <c r="QJU122" s="41"/>
      <c r="QJV122" s="41"/>
      <c r="QJW122" s="41"/>
      <c r="QJX122" s="41"/>
      <c r="QJY122" s="41"/>
      <c r="QJZ122" s="41"/>
      <c r="QKA122" s="41"/>
      <c r="QKB122" s="41"/>
      <c r="QKC122" s="41"/>
      <c r="QKD122" s="41"/>
      <c r="QKE122" s="41"/>
      <c r="QKF122" s="41"/>
      <c r="QKG122" s="41"/>
      <c r="QKH122" s="41"/>
      <c r="QKI122" s="41"/>
      <c r="QKJ122" s="41"/>
      <c r="QKK122" s="41"/>
      <c r="QKL122" s="41"/>
      <c r="QKM122" s="41"/>
      <c r="QKN122" s="41"/>
      <c r="QKO122" s="41"/>
      <c r="QKP122" s="41"/>
      <c r="QKQ122" s="41"/>
      <c r="QKR122" s="41"/>
      <c r="QKS122" s="41"/>
      <c r="QKT122" s="41"/>
      <c r="QKU122" s="41"/>
      <c r="QKV122" s="41"/>
      <c r="QKW122" s="41"/>
      <c r="QKX122" s="41"/>
      <c r="QKY122" s="41"/>
      <c r="QKZ122" s="41"/>
      <c r="QLA122" s="41"/>
      <c r="QLB122" s="41"/>
      <c r="QLC122" s="41"/>
      <c r="QLD122" s="41"/>
      <c r="QLE122" s="41"/>
      <c r="QLF122" s="41"/>
      <c r="QLG122" s="41"/>
      <c r="QLH122" s="41"/>
      <c r="QLI122" s="41"/>
      <c r="QLJ122" s="41"/>
      <c r="QLK122" s="41"/>
      <c r="QLL122" s="41"/>
      <c r="QLM122" s="41"/>
      <c r="QLN122" s="41"/>
      <c r="QLO122" s="41"/>
      <c r="QLP122" s="41"/>
      <c r="QLQ122" s="41"/>
      <c r="QLR122" s="41"/>
      <c r="QLS122" s="41"/>
      <c r="QLT122" s="41"/>
      <c r="QLU122" s="41"/>
      <c r="QLV122" s="41"/>
      <c r="QLW122" s="41"/>
      <c r="QLX122" s="41"/>
      <c r="QLY122" s="41"/>
      <c r="QLZ122" s="41"/>
      <c r="QMA122" s="41"/>
      <c r="QMB122" s="41"/>
      <c r="QMC122" s="41"/>
      <c r="QMD122" s="41"/>
      <c r="QME122" s="41"/>
      <c r="QMF122" s="41"/>
      <c r="QMG122" s="41"/>
      <c r="QMH122" s="41"/>
      <c r="QMI122" s="41"/>
      <c r="QMJ122" s="41"/>
      <c r="QMK122" s="41"/>
      <c r="QML122" s="41"/>
      <c r="QMM122" s="41"/>
      <c r="QMN122" s="41"/>
      <c r="QMO122" s="41"/>
      <c r="QMP122" s="41"/>
      <c r="QMQ122" s="41"/>
      <c r="QMR122" s="41"/>
      <c r="QMS122" s="41"/>
      <c r="QMT122" s="41"/>
      <c r="QMU122" s="41"/>
      <c r="QMV122" s="41"/>
      <c r="QMW122" s="41"/>
      <c r="QMX122" s="41"/>
      <c r="QMY122" s="41"/>
      <c r="QMZ122" s="41"/>
      <c r="QNA122" s="41"/>
      <c r="QNB122" s="41"/>
      <c r="QNC122" s="41"/>
      <c r="QND122" s="41"/>
      <c r="QNE122" s="41"/>
      <c r="QNF122" s="41"/>
      <c r="QNG122" s="41"/>
      <c r="QNH122" s="41"/>
      <c r="QNI122" s="41"/>
      <c r="QNJ122" s="41"/>
      <c r="QNK122" s="41"/>
      <c r="QNL122" s="41"/>
      <c r="QNM122" s="41"/>
      <c r="QNN122" s="41"/>
      <c r="QNO122" s="41"/>
      <c r="QNP122" s="41"/>
      <c r="QNQ122" s="41"/>
      <c r="QNR122" s="41"/>
      <c r="QNS122" s="41"/>
      <c r="QNT122" s="41"/>
      <c r="QNU122" s="41"/>
      <c r="QNV122" s="41"/>
      <c r="QNW122" s="41"/>
      <c r="QNX122" s="41"/>
      <c r="QNY122" s="41"/>
      <c r="QNZ122" s="41"/>
      <c r="QOA122" s="41"/>
      <c r="QOB122" s="41"/>
      <c r="QOC122" s="41"/>
      <c r="QOD122" s="41"/>
      <c r="QOE122" s="41"/>
      <c r="QOF122" s="41"/>
      <c r="QOG122" s="41"/>
      <c r="QOH122" s="41"/>
      <c r="QOI122" s="41"/>
      <c r="QOJ122" s="41"/>
      <c r="QOK122" s="41"/>
      <c r="QOL122" s="41"/>
      <c r="QOM122" s="41"/>
      <c r="QON122" s="41"/>
      <c r="QOO122" s="41"/>
      <c r="QOP122" s="41"/>
      <c r="QOQ122" s="41"/>
      <c r="QOR122" s="41"/>
      <c r="QOS122" s="41"/>
      <c r="QOT122" s="41"/>
      <c r="QOU122" s="41"/>
      <c r="QOV122" s="41"/>
      <c r="QOW122" s="41"/>
      <c r="QOX122" s="41"/>
      <c r="QOY122" s="41"/>
      <c r="QOZ122" s="41"/>
      <c r="QPA122" s="41"/>
      <c r="QPB122" s="41"/>
      <c r="QPC122" s="41"/>
      <c r="QPD122" s="41"/>
      <c r="QPE122" s="41"/>
      <c r="QPF122" s="41"/>
      <c r="QPG122" s="41"/>
      <c r="QPH122" s="41"/>
      <c r="QPI122" s="41"/>
      <c r="QPJ122" s="41"/>
      <c r="QPK122" s="41"/>
      <c r="QPL122" s="41"/>
      <c r="QPM122" s="41"/>
      <c r="QPN122" s="41"/>
      <c r="QPO122" s="41"/>
      <c r="QPP122" s="41"/>
      <c r="QPQ122" s="41"/>
      <c r="QPR122" s="41"/>
      <c r="QPS122" s="41"/>
      <c r="QPT122" s="41"/>
      <c r="QPU122" s="41"/>
      <c r="QPV122" s="41"/>
      <c r="QPW122" s="41"/>
      <c r="QPX122" s="41"/>
      <c r="QPY122" s="41"/>
      <c r="QPZ122" s="41"/>
      <c r="QQA122" s="41"/>
      <c r="QQB122" s="41"/>
      <c r="QQC122" s="41"/>
      <c r="QQD122" s="41"/>
      <c r="QQE122" s="41"/>
      <c r="QQF122" s="41"/>
      <c r="QQG122" s="41"/>
      <c r="QQH122" s="41"/>
      <c r="QQI122" s="41"/>
      <c r="QQJ122" s="41"/>
      <c r="QQK122" s="41"/>
      <c r="QQL122" s="41"/>
      <c r="QQM122" s="41"/>
      <c r="QQN122" s="41"/>
      <c r="QQO122" s="41"/>
      <c r="QQP122" s="41"/>
      <c r="QQQ122" s="41"/>
      <c r="QQR122" s="41"/>
      <c r="QQS122" s="41"/>
      <c r="QQT122" s="41"/>
      <c r="QQU122" s="41"/>
      <c r="QQV122" s="41"/>
      <c r="QQW122" s="41"/>
      <c r="QQX122" s="41"/>
      <c r="QQY122" s="41"/>
      <c r="QQZ122" s="41"/>
      <c r="QRA122" s="41"/>
      <c r="QRB122" s="41"/>
      <c r="QRC122" s="41"/>
      <c r="QRD122" s="41"/>
      <c r="QRE122" s="41"/>
      <c r="QRF122" s="41"/>
      <c r="QRG122" s="41"/>
      <c r="QRH122" s="41"/>
      <c r="QRI122" s="41"/>
      <c r="QRJ122" s="41"/>
      <c r="QRK122" s="41"/>
      <c r="QRL122" s="41"/>
      <c r="QRM122" s="41"/>
      <c r="QRN122" s="41"/>
      <c r="QRO122" s="41"/>
      <c r="QRP122" s="41"/>
      <c r="QRQ122" s="41"/>
      <c r="QRR122" s="41"/>
      <c r="QRS122" s="41"/>
      <c r="QRT122" s="41"/>
      <c r="QRU122" s="41"/>
      <c r="QRV122" s="41"/>
      <c r="QRW122" s="41"/>
      <c r="QRX122" s="41"/>
      <c r="QRY122" s="41"/>
      <c r="QRZ122" s="41"/>
      <c r="QSA122" s="41"/>
      <c r="QSB122" s="41"/>
      <c r="QSC122" s="41"/>
      <c r="QSD122" s="41"/>
      <c r="QSE122" s="41"/>
      <c r="QSF122" s="41"/>
      <c r="QSG122" s="41"/>
      <c r="QSH122" s="41"/>
      <c r="QSI122" s="41"/>
      <c r="QSJ122" s="41"/>
      <c r="QSK122" s="41"/>
      <c r="QSL122" s="41"/>
      <c r="QSM122" s="41"/>
      <c r="QSN122" s="41"/>
      <c r="QSO122" s="41"/>
      <c r="QSP122" s="41"/>
      <c r="QSQ122" s="41"/>
      <c r="QSR122" s="41"/>
      <c r="QSS122" s="41"/>
      <c r="QST122" s="41"/>
      <c r="QSU122" s="41"/>
      <c r="QSV122" s="41"/>
      <c r="QSW122" s="41"/>
      <c r="QSX122" s="41"/>
      <c r="QSY122" s="41"/>
      <c r="QSZ122" s="41"/>
      <c r="QTA122" s="41"/>
      <c r="QTB122" s="41"/>
      <c r="QTC122" s="41"/>
      <c r="QTD122" s="41"/>
      <c r="QTE122" s="41"/>
      <c r="QTF122" s="41"/>
      <c r="QTG122" s="41"/>
      <c r="QTH122" s="41"/>
      <c r="QTI122" s="41"/>
      <c r="QTJ122" s="41"/>
      <c r="QTK122" s="41"/>
      <c r="QTL122" s="41"/>
      <c r="QTM122" s="41"/>
      <c r="QTN122" s="41"/>
      <c r="QTO122" s="41"/>
      <c r="QTP122" s="41"/>
      <c r="QTQ122" s="41"/>
      <c r="QTR122" s="41"/>
      <c r="QTS122" s="41"/>
      <c r="QTT122" s="41"/>
      <c r="QTU122" s="41"/>
      <c r="QTV122" s="41"/>
      <c r="QTW122" s="41"/>
      <c r="QTX122" s="41"/>
      <c r="QTY122" s="41"/>
      <c r="QTZ122" s="41"/>
      <c r="QUA122" s="41"/>
      <c r="QUB122" s="41"/>
      <c r="QUC122" s="41"/>
      <c r="QUD122" s="41"/>
      <c r="QUE122" s="41"/>
      <c r="QUF122" s="41"/>
      <c r="QUG122" s="41"/>
      <c r="QUH122" s="41"/>
      <c r="QUI122" s="41"/>
      <c r="QUJ122" s="41"/>
      <c r="QUK122" s="41"/>
      <c r="QUL122" s="41"/>
      <c r="QUM122" s="41"/>
      <c r="QUN122" s="41"/>
      <c r="QUO122" s="41"/>
      <c r="QUP122" s="41"/>
      <c r="QUQ122" s="41"/>
      <c r="QUR122" s="41"/>
      <c r="QUS122" s="41"/>
      <c r="QUT122" s="41"/>
      <c r="QUU122" s="41"/>
      <c r="QUV122" s="41"/>
      <c r="QUW122" s="41"/>
      <c r="QUX122" s="41"/>
      <c r="QUY122" s="41"/>
      <c r="QUZ122" s="41"/>
      <c r="QVA122" s="41"/>
      <c r="QVB122" s="41"/>
      <c r="QVC122" s="41"/>
      <c r="QVD122" s="41"/>
      <c r="QVE122" s="41"/>
      <c r="QVF122" s="41"/>
      <c r="QVG122" s="41"/>
      <c r="QVH122" s="41"/>
      <c r="QVI122" s="41"/>
      <c r="QVJ122" s="41"/>
      <c r="QVK122" s="41"/>
      <c r="QVL122" s="41"/>
      <c r="QVM122" s="41"/>
      <c r="QVN122" s="41"/>
      <c r="QVO122" s="41"/>
      <c r="QVP122" s="41"/>
      <c r="QVQ122" s="41"/>
      <c r="QVR122" s="41"/>
      <c r="QVS122" s="41"/>
      <c r="QVT122" s="41"/>
      <c r="QVU122" s="41"/>
      <c r="QVV122" s="41"/>
      <c r="QVW122" s="41"/>
      <c r="QVX122" s="41"/>
      <c r="QVY122" s="41"/>
      <c r="QVZ122" s="41"/>
      <c r="QWA122" s="41"/>
      <c r="QWB122" s="41"/>
      <c r="QWC122" s="41"/>
      <c r="QWD122" s="41"/>
      <c r="QWE122" s="41"/>
      <c r="QWF122" s="41"/>
      <c r="QWG122" s="41"/>
      <c r="QWH122" s="41"/>
      <c r="QWI122" s="41"/>
      <c r="QWJ122" s="41"/>
      <c r="QWK122" s="41"/>
      <c r="QWL122" s="41"/>
      <c r="QWM122" s="41"/>
      <c r="QWN122" s="41"/>
      <c r="QWO122" s="41"/>
      <c r="QWP122" s="41"/>
      <c r="QWQ122" s="41"/>
      <c r="QWR122" s="41"/>
      <c r="QWS122" s="41"/>
      <c r="QWT122" s="41"/>
      <c r="QWU122" s="41"/>
      <c r="QWV122" s="41"/>
      <c r="QWW122" s="41"/>
      <c r="QWX122" s="41"/>
      <c r="QWY122" s="41"/>
      <c r="QWZ122" s="41"/>
      <c r="QXA122" s="41"/>
      <c r="QXB122" s="41"/>
      <c r="QXC122" s="41"/>
      <c r="QXD122" s="41"/>
      <c r="QXE122" s="41"/>
      <c r="QXF122" s="41"/>
      <c r="QXG122" s="41"/>
      <c r="QXH122" s="41"/>
      <c r="QXI122" s="41"/>
      <c r="QXJ122" s="41"/>
      <c r="QXK122" s="41"/>
      <c r="QXL122" s="41"/>
      <c r="QXM122" s="41"/>
      <c r="QXN122" s="41"/>
      <c r="QXO122" s="41"/>
      <c r="QXP122" s="41"/>
      <c r="QXQ122" s="41"/>
      <c r="QXR122" s="41"/>
      <c r="QXS122" s="41"/>
      <c r="QXT122" s="41"/>
      <c r="QXU122" s="41"/>
      <c r="QXV122" s="41"/>
      <c r="QXW122" s="41"/>
      <c r="QXX122" s="41"/>
      <c r="QXY122" s="41"/>
      <c r="QXZ122" s="41"/>
      <c r="QYA122" s="41"/>
      <c r="QYB122" s="41"/>
      <c r="QYC122" s="41"/>
      <c r="QYD122" s="41"/>
      <c r="QYE122" s="41"/>
      <c r="QYF122" s="41"/>
      <c r="QYG122" s="41"/>
      <c r="QYH122" s="41"/>
      <c r="QYI122" s="41"/>
      <c r="QYJ122" s="41"/>
      <c r="QYK122" s="41"/>
      <c r="QYL122" s="41"/>
      <c r="QYM122" s="41"/>
      <c r="QYN122" s="41"/>
      <c r="QYO122" s="41"/>
      <c r="QYP122" s="41"/>
      <c r="QYQ122" s="41"/>
      <c r="QYR122" s="41"/>
      <c r="QYS122" s="41"/>
      <c r="QYT122" s="41"/>
      <c r="QYU122" s="41"/>
      <c r="QYV122" s="41"/>
      <c r="QYW122" s="41"/>
      <c r="QYX122" s="41"/>
      <c r="QYY122" s="41"/>
      <c r="QYZ122" s="41"/>
      <c r="QZA122" s="41"/>
      <c r="QZB122" s="41"/>
      <c r="QZC122" s="41"/>
      <c r="QZD122" s="41"/>
      <c r="QZE122" s="41"/>
      <c r="QZF122" s="41"/>
      <c r="QZG122" s="41"/>
      <c r="QZH122" s="41"/>
      <c r="QZI122" s="41"/>
      <c r="QZJ122" s="41"/>
      <c r="QZK122" s="41"/>
      <c r="QZL122" s="41"/>
      <c r="QZM122" s="41"/>
      <c r="QZN122" s="41"/>
      <c r="QZO122" s="41"/>
      <c r="QZP122" s="41"/>
      <c r="QZQ122" s="41"/>
      <c r="QZR122" s="41"/>
      <c r="QZS122" s="41"/>
      <c r="QZT122" s="41"/>
      <c r="QZU122" s="41"/>
      <c r="QZV122" s="41"/>
      <c r="QZW122" s="41"/>
      <c r="QZX122" s="41"/>
      <c r="QZY122" s="41"/>
      <c r="QZZ122" s="41"/>
      <c r="RAA122" s="41"/>
      <c r="RAB122" s="41"/>
      <c r="RAC122" s="41"/>
      <c r="RAD122" s="41"/>
      <c r="RAE122" s="41"/>
      <c r="RAF122" s="41"/>
      <c r="RAG122" s="41"/>
      <c r="RAH122" s="41"/>
      <c r="RAI122" s="41"/>
      <c r="RAJ122" s="41"/>
      <c r="RAK122" s="41"/>
      <c r="RAL122" s="41"/>
      <c r="RAM122" s="41"/>
      <c r="RAN122" s="41"/>
      <c r="RAO122" s="41"/>
      <c r="RAP122" s="41"/>
      <c r="RAQ122" s="41"/>
      <c r="RAR122" s="41"/>
      <c r="RAS122" s="41"/>
      <c r="RAT122" s="41"/>
      <c r="RAU122" s="41"/>
      <c r="RAV122" s="41"/>
      <c r="RAW122" s="41"/>
      <c r="RAX122" s="41"/>
      <c r="RAY122" s="41"/>
      <c r="RAZ122" s="41"/>
      <c r="RBA122" s="41"/>
      <c r="RBB122" s="41"/>
      <c r="RBC122" s="41"/>
      <c r="RBD122" s="41"/>
      <c r="RBE122" s="41"/>
      <c r="RBF122" s="41"/>
      <c r="RBG122" s="41"/>
      <c r="RBH122" s="41"/>
      <c r="RBI122" s="41"/>
      <c r="RBJ122" s="41"/>
      <c r="RBK122" s="41"/>
      <c r="RBL122" s="41"/>
      <c r="RBM122" s="41"/>
      <c r="RBN122" s="41"/>
      <c r="RBO122" s="41"/>
      <c r="RBP122" s="41"/>
      <c r="RBQ122" s="41"/>
      <c r="RBR122" s="41"/>
      <c r="RBS122" s="41"/>
      <c r="RBT122" s="41"/>
      <c r="RBU122" s="41"/>
      <c r="RBV122" s="41"/>
      <c r="RBW122" s="41"/>
      <c r="RBX122" s="41"/>
      <c r="RBY122" s="41"/>
      <c r="RBZ122" s="41"/>
      <c r="RCA122" s="41"/>
      <c r="RCB122" s="41"/>
      <c r="RCC122" s="41"/>
      <c r="RCD122" s="41"/>
      <c r="RCE122" s="41"/>
      <c r="RCF122" s="41"/>
      <c r="RCG122" s="41"/>
      <c r="RCH122" s="41"/>
      <c r="RCI122" s="41"/>
      <c r="RCJ122" s="41"/>
      <c r="RCK122" s="41"/>
      <c r="RCL122" s="41"/>
      <c r="RCM122" s="41"/>
      <c r="RCN122" s="41"/>
      <c r="RCO122" s="41"/>
      <c r="RCP122" s="41"/>
      <c r="RCQ122" s="41"/>
      <c r="RCR122" s="41"/>
      <c r="RCS122" s="41"/>
      <c r="RCT122" s="41"/>
      <c r="RCU122" s="41"/>
      <c r="RCV122" s="41"/>
      <c r="RCW122" s="41"/>
      <c r="RCX122" s="41"/>
      <c r="RCY122" s="41"/>
      <c r="RCZ122" s="41"/>
      <c r="RDA122" s="41"/>
      <c r="RDB122" s="41"/>
      <c r="RDC122" s="41"/>
      <c r="RDD122" s="41"/>
      <c r="RDE122" s="41"/>
      <c r="RDF122" s="41"/>
      <c r="RDG122" s="41"/>
      <c r="RDH122" s="41"/>
      <c r="RDI122" s="41"/>
      <c r="RDJ122" s="41"/>
      <c r="RDK122" s="41"/>
      <c r="RDL122" s="41"/>
      <c r="RDM122" s="41"/>
      <c r="RDN122" s="41"/>
      <c r="RDO122" s="41"/>
      <c r="RDP122" s="41"/>
      <c r="RDQ122" s="41"/>
      <c r="RDR122" s="41"/>
      <c r="RDS122" s="41"/>
      <c r="RDT122" s="41"/>
      <c r="RDU122" s="41"/>
      <c r="RDV122" s="41"/>
      <c r="RDW122" s="41"/>
      <c r="RDX122" s="41"/>
      <c r="RDY122" s="41"/>
      <c r="RDZ122" s="41"/>
      <c r="REA122" s="41"/>
      <c r="REB122" s="41"/>
      <c r="REC122" s="41"/>
      <c r="RED122" s="41"/>
      <c r="REE122" s="41"/>
      <c r="REF122" s="41"/>
      <c r="REG122" s="41"/>
      <c r="REH122" s="41"/>
      <c r="REI122" s="41"/>
      <c r="REJ122" s="41"/>
      <c r="REK122" s="41"/>
      <c r="REL122" s="41"/>
      <c r="REM122" s="41"/>
      <c r="REN122" s="41"/>
      <c r="REO122" s="41"/>
      <c r="REP122" s="41"/>
      <c r="REQ122" s="41"/>
      <c r="RER122" s="41"/>
      <c r="RES122" s="41"/>
      <c r="RET122" s="41"/>
      <c r="REU122" s="41"/>
      <c r="REV122" s="41"/>
      <c r="REW122" s="41"/>
      <c r="REX122" s="41"/>
      <c r="REY122" s="41"/>
      <c r="REZ122" s="41"/>
      <c r="RFA122" s="41"/>
      <c r="RFB122" s="41"/>
      <c r="RFC122" s="41"/>
      <c r="RFD122" s="41"/>
      <c r="RFE122" s="41"/>
      <c r="RFF122" s="41"/>
      <c r="RFG122" s="41"/>
      <c r="RFH122" s="41"/>
      <c r="RFI122" s="41"/>
      <c r="RFJ122" s="41"/>
      <c r="RFK122" s="41"/>
      <c r="RFL122" s="41"/>
      <c r="RFM122" s="41"/>
      <c r="RFN122" s="41"/>
      <c r="RFO122" s="41"/>
      <c r="RFP122" s="41"/>
      <c r="RFQ122" s="41"/>
      <c r="RFR122" s="41"/>
      <c r="RFS122" s="41"/>
      <c r="RFT122" s="41"/>
      <c r="RFU122" s="41"/>
      <c r="RFV122" s="41"/>
      <c r="RFW122" s="41"/>
      <c r="RFX122" s="41"/>
      <c r="RFY122" s="41"/>
      <c r="RFZ122" s="41"/>
      <c r="RGA122" s="41"/>
      <c r="RGB122" s="41"/>
      <c r="RGC122" s="41"/>
      <c r="RGD122" s="41"/>
      <c r="RGE122" s="41"/>
      <c r="RGF122" s="41"/>
      <c r="RGG122" s="41"/>
      <c r="RGH122" s="41"/>
      <c r="RGI122" s="41"/>
      <c r="RGJ122" s="41"/>
      <c r="RGK122" s="41"/>
      <c r="RGL122" s="41"/>
      <c r="RGM122" s="41"/>
      <c r="RGN122" s="41"/>
      <c r="RGO122" s="41"/>
      <c r="RGP122" s="41"/>
      <c r="RGQ122" s="41"/>
      <c r="RGR122" s="41"/>
      <c r="RGS122" s="41"/>
      <c r="RGT122" s="41"/>
      <c r="RGU122" s="41"/>
      <c r="RGV122" s="41"/>
      <c r="RGW122" s="41"/>
      <c r="RGX122" s="41"/>
      <c r="RGY122" s="41"/>
      <c r="RGZ122" s="41"/>
      <c r="RHA122" s="41"/>
      <c r="RHB122" s="41"/>
      <c r="RHC122" s="41"/>
      <c r="RHD122" s="41"/>
      <c r="RHE122" s="41"/>
      <c r="RHF122" s="41"/>
      <c r="RHG122" s="41"/>
      <c r="RHH122" s="41"/>
      <c r="RHI122" s="41"/>
      <c r="RHJ122" s="41"/>
      <c r="RHK122" s="41"/>
      <c r="RHL122" s="41"/>
      <c r="RHM122" s="41"/>
      <c r="RHN122" s="41"/>
      <c r="RHO122" s="41"/>
      <c r="RHP122" s="41"/>
      <c r="RHQ122" s="41"/>
      <c r="RHR122" s="41"/>
      <c r="RHS122" s="41"/>
      <c r="RHT122" s="41"/>
      <c r="RHU122" s="41"/>
      <c r="RHV122" s="41"/>
      <c r="RHW122" s="41"/>
      <c r="RHX122" s="41"/>
      <c r="RHY122" s="41"/>
      <c r="RHZ122" s="41"/>
      <c r="RIA122" s="41"/>
      <c r="RIB122" s="41"/>
      <c r="RIC122" s="41"/>
      <c r="RID122" s="41"/>
      <c r="RIE122" s="41"/>
      <c r="RIF122" s="41"/>
      <c r="RIG122" s="41"/>
      <c r="RIH122" s="41"/>
      <c r="RII122" s="41"/>
      <c r="RIJ122" s="41"/>
      <c r="RIK122" s="41"/>
      <c r="RIL122" s="41"/>
      <c r="RIM122" s="41"/>
      <c r="RIN122" s="41"/>
      <c r="RIO122" s="41"/>
      <c r="RIP122" s="41"/>
      <c r="RIQ122" s="41"/>
      <c r="RIR122" s="41"/>
      <c r="RIS122" s="41"/>
      <c r="RIT122" s="41"/>
      <c r="RIU122" s="41"/>
      <c r="RIV122" s="41"/>
      <c r="RIW122" s="41"/>
      <c r="RIX122" s="41"/>
      <c r="RIY122" s="41"/>
      <c r="RIZ122" s="41"/>
      <c r="RJA122" s="41"/>
      <c r="RJB122" s="41"/>
      <c r="RJC122" s="41"/>
      <c r="RJD122" s="41"/>
      <c r="RJE122" s="41"/>
      <c r="RJF122" s="41"/>
      <c r="RJG122" s="41"/>
      <c r="RJH122" s="41"/>
      <c r="RJI122" s="41"/>
      <c r="RJJ122" s="41"/>
      <c r="RJK122" s="41"/>
      <c r="RJL122" s="41"/>
      <c r="RJM122" s="41"/>
      <c r="RJN122" s="41"/>
      <c r="RJO122" s="41"/>
      <c r="RJP122" s="41"/>
      <c r="RJQ122" s="41"/>
      <c r="RJR122" s="41"/>
      <c r="RJS122" s="41"/>
      <c r="RJT122" s="41"/>
      <c r="RJU122" s="41"/>
      <c r="RJV122" s="41"/>
      <c r="RJW122" s="41"/>
      <c r="RJX122" s="41"/>
      <c r="RJY122" s="41"/>
      <c r="RJZ122" s="41"/>
      <c r="RKA122" s="41"/>
      <c r="RKB122" s="41"/>
      <c r="RKC122" s="41"/>
      <c r="RKD122" s="41"/>
      <c r="RKE122" s="41"/>
      <c r="RKF122" s="41"/>
      <c r="RKG122" s="41"/>
      <c r="RKH122" s="41"/>
      <c r="RKI122" s="41"/>
      <c r="RKJ122" s="41"/>
      <c r="RKK122" s="41"/>
      <c r="RKL122" s="41"/>
      <c r="RKM122" s="41"/>
      <c r="RKN122" s="41"/>
      <c r="RKO122" s="41"/>
      <c r="RKP122" s="41"/>
      <c r="RKQ122" s="41"/>
      <c r="RKR122" s="41"/>
      <c r="RKS122" s="41"/>
      <c r="RKT122" s="41"/>
      <c r="RKU122" s="41"/>
      <c r="RKV122" s="41"/>
      <c r="RKW122" s="41"/>
      <c r="RKX122" s="41"/>
      <c r="RKY122" s="41"/>
      <c r="RKZ122" s="41"/>
      <c r="RLA122" s="41"/>
      <c r="RLB122" s="41"/>
      <c r="RLC122" s="41"/>
      <c r="RLD122" s="41"/>
      <c r="RLE122" s="41"/>
      <c r="RLF122" s="41"/>
      <c r="RLG122" s="41"/>
      <c r="RLH122" s="41"/>
      <c r="RLI122" s="41"/>
      <c r="RLJ122" s="41"/>
      <c r="RLK122" s="41"/>
      <c r="RLL122" s="41"/>
      <c r="RLM122" s="41"/>
      <c r="RLN122" s="41"/>
      <c r="RLO122" s="41"/>
      <c r="RLP122" s="41"/>
      <c r="RLQ122" s="41"/>
      <c r="RLR122" s="41"/>
      <c r="RLS122" s="41"/>
      <c r="RLT122" s="41"/>
      <c r="RLU122" s="41"/>
      <c r="RLV122" s="41"/>
      <c r="RLW122" s="41"/>
      <c r="RLX122" s="41"/>
      <c r="RLY122" s="41"/>
      <c r="RLZ122" s="41"/>
      <c r="RMA122" s="41"/>
      <c r="RMB122" s="41"/>
      <c r="RMC122" s="41"/>
      <c r="RMD122" s="41"/>
      <c r="RME122" s="41"/>
      <c r="RMF122" s="41"/>
      <c r="RMG122" s="41"/>
      <c r="RMH122" s="41"/>
      <c r="RMI122" s="41"/>
      <c r="RMJ122" s="41"/>
      <c r="RMK122" s="41"/>
      <c r="RML122" s="41"/>
      <c r="RMM122" s="41"/>
      <c r="RMN122" s="41"/>
      <c r="RMO122" s="41"/>
      <c r="RMP122" s="41"/>
      <c r="RMQ122" s="41"/>
      <c r="RMR122" s="41"/>
      <c r="RMS122" s="41"/>
      <c r="RMT122" s="41"/>
      <c r="RMU122" s="41"/>
      <c r="RMV122" s="41"/>
      <c r="RMW122" s="41"/>
      <c r="RMX122" s="41"/>
      <c r="RMY122" s="41"/>
      <c r="RMZ122" s="41"/>
      <c r="RNA122" s="41"/>
      <c r="RNB122" s="41"/>
      <c r="RNC122" s="41"/>
      <c r="RND122" s="41"/>
      <c r="RNE122" s="41"/>
      <c r="RNF122" s="41"/>
      <c r="RNG122" s="41"/>
      <c r="RNH122" s="41"/>
      <c r="RNI122" s="41"/>
      <c r="RNJ122" s="41"/>
      <c r="RNK122" s="41"/>
      <c r="RNL122" s="41"/>
      <c r="RNM122" s="41"/>
      <c r="RNN122" s="41"/>
      <c r="RNO122" s="41"/>
      <c r="RNP122" s="41"/>
      <c r="RNQ122" s="41"/>
      <c r="RNR122" s="41"/>
      <c r="RNS122" s="41"/>
      <c r="RNT122" s="41"/>
      <c r="RNU122" s="41"/>
      <c r="RNV122" s="41"/>
      <c r="RNW122" s="41"/>
      <c r="RNX122" s="41"/>
      <c r="RNY122" s="41"/>
      <c r="RNZ122" s="41"/>
      <c r="ROA122" s="41"/>
      <c r="ROB122" s="41"/>
      <c r="ROC122" s="41"/>
      <c r="ROD122" s="41"/>
      <c r="ROE122" s="41"/>
      <c r="ROF122" s="41"/>
      <c r="ROG122" s="41"/>
      <c r="ROH122" s="41"/>
      <c r="ROI122" s="41"/>
      <c r="ROJ122" s="41"/>
      <c r="ROK122" s="41"/>
      <c r="ROL122" s="41"/>
      <c r="ROM122" s="41"/>
      <c r="RON122" s="41"/>
      <c r="ROO122" s="41"/>
      <c r="ROP122" s="41"/>
      <c r="ROQ122" s="41"/>
      <c r="ROR122" s="41"/>
      <c r="ROS122" s="41"/>
      <c r="ROT122" s="41"/>
      <c r="ROU122" s="41"/>
      <c r="ROV122" s="41"/>
      <c r="ROW122" s="41"/>
      <c r="ROX122" s="41"/>
      <c r="ROY122" s="41"/>
      <c r="ROZ122" s="41"/>
      <c r="RPA122" s="41"/>
      <c r="RPB122" s="41"/>
      <c r="RPC122" s="41"/>
      <c r="RPD122" s="41"/>
      <c r="RPE122" s="41"/>
      <c r="RPF122" s="41"/>
      <c r="RPG122" s="41"/>
      <c r="RPH122" s="41"/>
      <c r="RPI122" s="41"/>
      <c r="RPJ122" s="41"/>
      <c r="RPK122" s="41"/>
      <c r="RPL122" s="41"/>
      <c r="RPM122" s="41"/>
      <c r="RPN122" s="41"/>
      <c r="RPO122" s="41"/>
      <c r="RPP122" s="41"/>
      <c r="RPQ122" s="41"/>
      <c r="RPR122" s="41"/>
      <c r="RPS122" s="41"/>
      <c r="RPT122" s="41"/>
      <c r="RPU122" s="41"/>
      <c r="RPV122" s="41"/>
      <c r="RPW122" s="41"/>
      <c r="RPX122" s="41"/>
      <c r="RPY122" s="41"/>
      <c r="RPZ122" s="41"/>
      <c r="RQA122" s="41"/>
      <c r="RQB122" s="41"/>
      <c r="RQC122" s="41"/>
      <c r="RQD122" s="41"/>
      <c r="RQE122" s="41"/>
      <c r="RQF122" s="41"/>
      <c r="RQG122" s="41"/>
      <c r="RQH122" s="41"/>
      <c r="RQI122" s="41"/>
      <c r="RQJ122" s="41"/>
      <c r="RQK122" s="41"/>
      <c r="RQL122" s="41"/>
      <c r="RQM122" s="41"/>
      <c r="RQN122" s="41"/>
      <c r="RQO122" s="41"/>
      <c r="RQP122" s="41"/>
      <c r="RQQ122" s="41"/>
      <c r="RQR122" s="41"/>
      <c r="RQS122" s="41"/>
      <c r="RQT122" s="41"/>
      <c r="RQU122" s="41"/>
      <c r="RQV122" s="41"/>
      <c r="RQW122" s="41"/>
      <c r="RQX122" s="41"/>
      <c r="RQY122" s="41"/>
      <c r="RQZ122" s="41"/>
      <c r="RRA122" s="41"/>
      <c r="RRB122" s="41"/>
      <c r="RRC122" s="41"/>
      <c r="RRD122" s="41"/>
      <c r="RRE122" s="41"/>
      <c r="RRF122" s="41"/>
      <c r="RRG122" s="41"/>
      <c r="RRH122" s="41"/>
      <c r="RRI122" s="41"/>
      <c r="RRJ122" s="41"/>
      <c r="RRK122" s="41"/>
      <c r="RRL122" s="41"/>
      <c r="RRM122" s="41"/>
      <c r="RRN122" s="41"/>
      <c r="RRO122" s="41"/>
      <c r="RRP122" s="41"/>
      <c r="RRQ122" s="41"/>
      <c r="RRR122" s="41"/>
      <c r="RRS122" s="41"/>
      <c r="RRT122" s="41"/>
      <c r="RRU122" s="41"/>
      <c r="RRV122" s="41"/>
      <c r="RRW122" s="41"/>
      <c r="RRX122" s="41"/>
      <c r="RRY122" s="41"/>
      <c r="RRZ122" s="41"/>
      <c r="RSA122" s="41"/>
      <c r="RSB122" s="41"/>
      <c r="RSC122" s="41"/>
      <c r="RSD122" s="41"/>
      <c r="RSE122" s="41"/>
      <c r="RSF122" s="41"/>
      <c r="RSG122" s="41"/>
      <c r="RSH122" s="41"/>
      <c r="RSI122" s="41"/>
      <c r="RSJ122" s="41"/>
      <c r="RSK122" s="41"/>
      <c r="RSL122" s="41"/>
      <c r="RSM122" s="41"/>
      <c r="RSN122" s="41"/>
      <c r="RSO122" s="41"/>
      <c r="RSP122" s="41"/>
      <c r="RSQ122" s="41"/>
      <c r="RSR122" s="41"/>
      <c r="RSS122" s="41"/>
      <c r="RST122" s="41"/>
      <c r="RSU122" s="41"/>
      <c r="RSV122" s="41"/>
      <c r="RSW122" s="41"/>
      <c r="RSX122" s="41"/>
      <c r="RSY122" s="41"/>
      <c r="RSZ122" s="41"/>
      <c r="RTA122" s="41"/>
      <c r="RTB122" s="41"/>
      <c r="RTC122" s="41"/>
      <c r="RTD122" s="41"/>
      <c r="RTE122" s="41"/>
      <c r="RTF122" s="41"/>
      <c r="RTG122" s="41"/>
      <c r="RTH122" s="41"/>
      <c r="RTI122" s="41"/>
      <c r="RTJ122" s="41"/>
      <c r="RTK122" s="41"/>
      <c r="RTL122" s="41"/>
      <c r="RTM122" s="41"/>
      <c r="RTN122" s="41"/>
      <c r="RTO122" s="41"/>
      <c r="RTP122" s="41"/>
      <c r="RTQ122" s="41"/>
      <c r="RTR122" s="41"/>
      <c r="RTS122" s="41"/>
      <c r="RTT122" s="41"/>
      <c r="RTU122" s="41"/>
      <c r="RTV122" s="41"/>
      <c r="RTW122" s="41"/>
      <c r="RTX122" s="41"/>
      <c r="RTY122" s="41"/>
      <c r="RTZ122" s="41"/>
      <c r="RUA122" s="41"/>
      <c r="RUB122" s="41"/>
      <c r="RUC122" s="41"/>
      <c r="RUD122" s="41"/>
      <c r="RUE122" s="41"/>
      <c r="RUF122" s="41"/>
      <c r="RUG122" s="41"/>
      <c r="RUH122" s="41"/>
      <c r="RUI122" s="41"/>
      <c r="RUJ122" s="41"/>
      <c r="RUK122" s="41"/>
      <c r="RUL122" s="41"/>
      <c r="RUM122" s="41"/>
      <c r="RUN122" s="41"/>
      <c r="RUO122" s="41"/>
      <c r="RUP122" s="41"/>
      <c r="RUQ122" s="41"/>
      <c r="RUR122" s="41"/>
      <c r="RUS122" s="41"/>
      <c r="RUT122" s="41"/>
      <c r="RUU122" s="41"/>
      <c r="RUV122" s="41"/>
      <c r="RUW122" s="41"/>
      <c r="RUX122" s="41"/>
      <c r="RUY122" s="41"/>
      <c r="RUZ122" s="41"/>
      <c r="RVA122" s="41"/>
      <c r="RVB122" s="41"/>
      <c r="RVC122" s="41"/>
      <c r="RVD122" s="41"/>
      <c r="RVE122" s="41"/>
      <c r="RVF122" s="41"/>
      <c r="RVG122" s="41"/>
      <c r="RVH122" s="41"/>
      <c r="RVI122" s="41"/>
      <c r="RVJ122" s="41"/>
      <c r="RVK122" s="41"/>
      <c r="RVL122" s="41"/>
      <c r="RVM122" s="41"/>
      <c r="RVN122" s="41"/>
      <c r="RVO122" s="41"/>
      <c r="RVP122" s="41"/>
      <c r="RVQ122" s="41"/>
      <c r="RVR122" s="41"/>
      <c r="RVS122" s="41"/>
      <c r="RVT122" s="41"/>
      <c r="RVU122" s="41"/>
      <c r="RVV122" s="41"/>
      <c r="RVW122" s="41"/>
      <c r="RVX122" s="41"/>
      <c r="RVY122" s="41"/>
      <c r="RVZ122" s="41"/>
      <c r="RWA122" s="41"/>
      <c r="RWB122" s="41"/>
      <c r="RWC122" s="41"/>
      <c r="RWD122" s="41"/>
      <c r="RWE122" s="41"/>
      <c r="RWF122" s="41"/>
      <c r="RWG122" s="41"/>
      <c r="RWH122" s="41"/>
      <c r="RWI122" s="41"/>
      <c r="RWJ122" s="41"/>
      <c r="RWK122" s="41"/>
      <c r="RWL122" s="41"/>
      <c r="RWM122" s="41"/>
      <c r="RWN122" s="41"/>
      <c r="RWO122" s="41"/>
      <c r="RWP122" s="41"/>
      <c r="RWQ122" s="41"/>
      <c r="RWR122" s="41"/>
      <c r="RWS122" s="41"/>
      <c r="RWT122" s="41"/>
      <c r="RWU122" s="41"/>
      <c r="RWV122" s="41"/>
      <c r="RWW122" s="41"/>
      <c r="RWX122" s="41"/>
      <c r="RWY122" s="41"/>
      <c r="RWZ122" s="41"/>
      <c r="RXA122" s="41"/>
      <c r="RXB122" s="41"/>
      <c r="RXC122" s="41"/>
      <c r="RXD122" s="41"/>
      <c r="RXE122" s="41"/>
      <c r="RXF122" s="41"/>
      <c r="RXG122" s="41"/>
      <c r="RXH122" s="41"/>
      <c r="RXI122" s="41"/>
      <c r="RXJ122" s="41"/>
      <c r="RXK122" s="41"/>
      <c r="RXL122" s="41"/>
      <c r="RXM122" s="41"/>
      <c r="RXN122" s="41"/>
      <c r="RXO122" s="41"/>
      <c r="RXP122" s="41"/>
      <c r="RXQ122" s="41"/>
      <c r="RXR122" s="41"/>
      <c r="RXS122" s="41"/>
      <c r="RXT122" s="41"/>
      <c r="RXU122" s="41"/>
      <c r="RXV122" s="41"/>
      <c r="RXW122" s="41"/>
      <c r="RXX122" s="41"/>
      <c r="RXY122" s="41"/>
      <c r="RXZ122" s="41"/>
      <c r="RYA122" s="41"/>
      <c r="RYB122" s="41"/>
      <c r="RYC122" s="41"/>
      <c r="RYD122" s="41"/>
      <c r="RYE122" s="41"/>
      <c r="RYF122" s="41"/>
      <c r="RYG122" s="41"/>
      <c r="RYH122" s="41"/>
      <c r="RYI122" s="41"/>
      <c r="RYJ122" s="41"/>
      <c r="RYK122" s="41"/>
      <c r="RYL122" s="41"/>
      <c r="RYM122" s="41"/>
      <c r="RYN122" s="41"/>
      <c r="RYO122" s="41"/>
      <c r="RYP122" s="41"/>
      <c r="RYQ122" s="41"/>
      <c r="RYR122" s="41"/>
      <c r="RYS122" s="41"/>
      <c r="RYT122" s="41"/>
      <c r="RYU122" s="41"/>
      <c r="RYV122" s="41"/>
      <c r="RYW122" s="41"/>
      <c r="RYX122" s="41"/>
      <c r="RYY122" s="41"/>
      <c r="RYZ122" s="41"/>
      <c r="RZA122" s="41"/>
      <c r="RZB122" s="41"/>
      <c r="RZC122" s="41"/>
      <c r="RZD122" s="41"/>
      <c r="RZE122" s="41"/>
      <c r="RZF122" s="41"/>
      <c r="RZG122" s="41"/>
      <c r="RZH122" s="41"/>
      <c r="RZI122" s="41"/>
      <c r="RZJ122" s="41"/>
      <c r="RZK122" s="41"/>
      <c r="RZL122" s="41"/>
      <c r="RZM122" s="41"/>
      <c r="RZN122" s="41"/>
      <c r="RZO122" s="41"/>
      <c r="RZP122" s="41"/>
      <c r="RZQ122" s="41"/>
      <c r="RZR122" s="41"/>
      <c r="RZS122" s="41"/>
      <c r="RZT122" s="41"/>
      <c r="RZU122" s="41"/>
      <c r="RZV122" s="41"/>
      <c r="RZW122" s="41"/>
      <c r="RZX122" s="41"/>
      <c r="RZY122" s="41"/>
      <c r="RZZ122" s="41"/>
      <c r="SAA122" s="41"/>
      <c r="SAB122" s="41"/>
      <c r="SAC122" s="41"/>
      <c r="SAD122" s="41"/>
      <c r="SAE122" s="41"/>
      <c r="SAF122" s="41"/>
      <c r="SAG122" s="41"/>
      <c r="SAH122" s="41"/>
      <c r="SAI122" s="41"/>
      <c r="SAJ122" s="41"/>
      <c r="SAK122" s="41"/>
      <c r="SAL122" s="41"/>
      <c r="SAM122" s="41"/>
      <c r="SAN122" s="41"/>
      <c r="SAO122" s="41"/>
      <c r="SAP122" s="41"/>
      <c r="SAQ122" s="41"/>
      <c r="SAR122" s="41"/>
      <c r="SAS122" s="41"/>
      <c r="SAT122" s="41"/>
      <c r="SAU122" s="41"/>
      <c r="SAV122" s="41"/>
      <c r="SAW122" s="41"/>
      <c r="SAX122" s="41"/>
      <c r="SAY122" s="41"/>
      <c r="SAZ122" s="41"/>
      <c r="SBA122" s="41"/>
      <c r="SBB122" s="41"/>
      <c r="SBC122" s="41"/>
      <c r="SBD122" s="41"/>
      <c r="SBE122" s="41"/>
      <c r="SBF122" s="41"/>
      <c r="SBG122" s="41"/>
      <c r="SBH122" s="41"/>
      <c r="SBI122" s="41"/>
      <c r="SBJ122" s="41"/>
      <c r="SBK122" s="41"/>
      <c r="SBL122" s="41"/>
      <c r="SBM122" s="41"/>
      <c r="SBN122" s="41"/>
      <c r="SBO122" s="41"/>
      <c r="SBP122" s="41"/>
      <c r="SBQ122" s="41"/>
      <c r="SBR122" s="41"/>
      <c r="SBS122" s="41"/>
      <c r="SBT122" s="41"/>
      <c r="SBU122" s="41"/>
      <c r="SBV122" s="41"/>
      <c r="SBW122" s="41"/>
      <c r="SBX122" s="41"/>
      <c r="SBY122" s="41"/>
      <c r="SBZ122" s="41"/>
      <c r="SCA122" s="41"/>
      <c r="SCB122" s="41"/>
      <c r="SCC122" s="41"/>
      <c r="SCD122" s="41"/>
      <c r="SCE122" s="41"/>
      <c r="SCF122" s="41"/>
      <c r="SCG122" s="41"/>
      <c r="SCH122" s="41"/>
      <c r="SCI122" s="41"/>
      <c r="SCJ122" s="41"/>
      <c r="SCK122" s="41"/>
      <c r="SCL122" s="41"/>
      <c r="SCM122" s="41"/>
      <c r="SCN122" s="41"/>
      <c r="SCO122" s="41"/>
      <c r="SCP122" s="41"/>
      <c r="SCQ122" s="41"/>
      <c r="SCR122" s="41"/>
      <c r="SCS122" s="41"/>
      <c r="SCT122" s="41"/>
      <c r="SCU122" s="41"/>
      <c r="SCV122" s="41"/>
      <c r="SCW122" s="41"/>
      <c r="SCX122" s="41"/>
      <c r="SCY122" s="41"/>
      <c r="SCZ122" s="41"/>
      <c r="SDA122" s="41"/>
      <c r="SDB122" s="41"/>
      <c r="SDC122" s="41"/>
      <c r="SDD122" s="41"/>
      <c r="SDE122" s="41"/>
      <c r="SDF122" s="41"/>
      <c r="SDG122" s="41"/>
      <c r="SDH122" s="41"/>
      <c r="SDI122" s="41"/>
      <c r="SDJ122" s="41"/>
      <c r="SDK122" s="41"/>
      <c r="SDL122" s="41"/>
      <c r="SDM122" s="41"/>
      <c r="SDN122" s="41"/>
      <c r="SDO122" s="41"/>
      <c r="SDP122" s="41"/>
      <c r="SDQ122" s="41"/>
      <c r="SDR122" s="41"/>
      <c r="SDS122" s="41"/>
      <c r="SDT122" s="41"/>
      <c r="SDU122" s="41"/>
      <c r="SDV122" s="41"/>
      <c r="SDW122" s="41"/>
      <c r="SDX122" s="41"/>
      <c r="SDY122" s="41"/>
      <c r="SDZ122" s="41"/>
      <c r="SEA122" s="41"/>
      <c r="SEB122" s="41"/>
      <c r="SEC122" s="41"/>
      <c r="SED122" s="41"/>
      <c r="SEE122" s="41"/>
      <c r="SEF122" s="41"/>
      <c r="SEG122" s="41"/>
      <c r="SEH122" s="41"/>
      <c r="SEI122" s="41"/>
      <c r="SEJ122" s="41"/>
      <c r="SEK122" s="41"/>
      <c r="SEL122" s="41"/>
      <c r="SEM122" s="41"/>
      <c r="SEN122" s="41"/>
      <c r="SEO122" s="41"/>
      <c r="SEP122" s="41"/>
      <c r="SEQ122" s="41"/>
      <c r="SER122" s="41"/>
      <c r="SES122" s="41"/>
      <c r="SET122" s="41"/>
      <c r="SEU122" s="41"/>
      <c r="SEV122" s="41"/>
      <c r="SEW122" s="41"/>
      <c r="SEX122" s="41"/>
      <c r="SEY122" s="41"/>
      <c r="SEZ122" s="41"/>
      <c r="SFA122" s="41"/>
      <c r="SFB122" s="41"/>
      <c r="SFC122" s="41"/>
      <c r="SFD122" s="41"/>
      <c r="SFE122" s="41"/>
      <c r="SFF122" s="41"/>
      <c r="SFG122" s="41"/>
      <c r="SFH122" s="41"/>
      <c r="SFI122" s="41"/>
      <c r="SFJ122" s="41"/>
      <c r="SFK122" s="41"/>
      <c r="SFL122" s="41"/>
      <c r="SFM122" s="41"/>
      <c r="SFN122" s="41"/>
      <c r="SFO122" s="41"/>
      <c r="SFP122" s="41"/>
      <c r="SFQ122" s="41"/>
      <c r="SFR122" s="41"/>
      <c r="SFS122" s="41"/>
      <c r="SFT122" s="41"/>
      <c r="SFU122" s="41"/>
      <c r="SFV122" s="41"/>
      <c r="SFW122" s="41"/>
      <c r="SFX122" s="41"/>
      <c r="SFY122" s="41"/>
      <c r="SFZ122" s="41"/>
      <c r="SGA122" s="41"/>
      <c r="SGB122" s="41"/>
      <c r="SGC122" s="41"/>
      <c r="SGD122" s="41"/>
      <c r="SGE122" s="41"/>
      <c r="SGF122" s="41"/>
      <c r="SGG122" s="41"/>
      <c r="SGH122" s="41"/>
      <c r="SGI122" s="41"/>
      <c r="SGJ122" s="41"/>
      <c r="SGK122" s="41"/>
      <c r="SGL122" s="41"/>
      <c r="SGM122" s="41"/>
      <c r="SGN122" s="41"/>
      <c r="SGO122" s="41"/>
      <c r="SGP122" s="41"/>
      <c r="SGQ122" s="41"/>
      <c r="SGR122" s="41"/>
      <c r="SGS122" s="41"/>
      <c r="SGT122" s="41"/>
      <c r="SGU122" s="41"/>
      <c r="SGV122" s="41"/>
      <c r="SGW122" s="41"/>
      <c r="SGX122" s="41"/>
      <c r="SGY122" s="41"/>
      <c r="SGZ122" s="41"/>
      <c r="SHA122" s="41"/>
      <c r="SHB122" s="41"/>
      <c r="SHC122" s="41"/>
      <c r="SHD122" s="41"/>
      <c r="SHE122" s="41"/>
      <c r="SHF122" s="41"/>
      <c r="SHG122" s="41"/>
      <c r="SHH122" s="41"/>
      <c r="SHI122" s="41"/>
      <c r="SHJ122" s="41"/>
      <c r="SHK122" s="41"/>
      <c r="SHL122" s="41"/>
      <c r="SHM122" s="41"/>
      <c r="SHN122" s="41"/>
      <c r="SHO122" s="41"/>
      <c r="SHP122" s="41"/>
      <c r="SHQ122" s="41"/>
      <c r="SHR122" s="41"/>
      <c r="SHS122" s="41"/>
      <c r="SHT122" s="41"/>
      <c r="SHU122" s="41"/>
      <c r="SHV122" s="41"/>
      <c r="SHW122" s="41"/>
      <c r="SHX122" s="41"/>
      <c r="SHY122" s="41"/>
      <c r="SHZ122" s="41"/>
      <c r="SIA122" s="41"/>
      <c r="SIB122" s="41"/>
      <c r="SIC122" s="41"/>
      <c r="SID122" s="41"/>
      <c r="SIE122" s="41"/>
      <c r="SIF122" s="41"/>
      <c r="SIG122" s="41"/>
      <c r="SIH122" s="41"/>
      <c r="SII122" s="41"/>
      <c r="SIJ122" s="41"/>
      <c r="SIK122" s="41"/>
      <c r="SIL122" s="41"/>
      <c r="SIM122" s="41"/>
      <c r="SIN122" s="41"/>
      <c r="SIO122" s="41"/>
      <c r="SIP122" s="41"/>
      <c r="SIQ122" s="41"/>
      <c r="SIR122" s="41"/>
      <c r="SIS122" s="41"/>
      <c r="SIT122" s="41"/>
      <c r="SIU122" s="41"/>
      <c r="SIV122" s="41"/>
      <c r="SIW122" s="41"/>
      <c r="SIX122" s="41"/>
      <c r="SIY122" s="41"/>
      <c r="SIZ122" s="41"/>
      <c r="SJA122" s="41"/>
      <c r="SJB122" s="41"/>
      <c r="SJC122" s="41"/>
      <c r="SJD122" s="41"/>
      <c r="SJE122" s="41"/>
      <c r="SJF122" s="41"/>
      <c r="SJG122" s="41"/>
      <c r="SJH122" s="41"/>
      <c r="SJI122" s="41"/>
      <c r="SJJ122" s="41"/>
      <c r="SJK122" s="41"/>
      <c r="SJL122" s="41"/>
      <c r="SJM122" s="41"/>
      <c r="SJN122" s="41"/>
      <c r="SJO122" s="41"/>
      <c r="SJP122" s="41"/>
      <c r="SJQ122" s="41"/>
      <c r="SJR122" s="41"/>
      <c r="SJS122" s="41"/>
      <c r="SJT122" s="41"/>
      <c r="SJU122" s="41"/>
      <c r="SJV122" s="41"/>
      <c r="SJW122" s="41"/>
      <c r="SJX122" s="41"/>
      <c r="SJY122" s="41"/>
      <c r="SJZ122" s="41"/>
      <c r="SKA122" s="41"/>
      <c r="SKB122" s="41"/>
      <c r="SKC122" s="41"/>
      <c r="SKD122" s="41"/>
      <c r="SKE122" s="41"/>
      <c r="SKF122" s="41"/>
      <c r="SKG122" s="41"/>
      <c r="SKH122" s="41"/>
      <c r="SKI122" s="41"/>
      <c r="SKJ122" s="41"/>
      <c r="SKK122" s="41"/>
      <c r="SKL122" s="41"/>
      <c r="SKM122" s="41"/>
      <c r="SKN122" s="41"/>
      <c r="SKO122" s="41"/>
      <c r="SKP122" s="41"/>
      <c r="SKQ122" s="41"/>
      <c r="SKR122" s="41"/>
      <c r="SKS122" s="41"/>
      <c r="SKT122" s="41"/>
      <c r="SKU122" s="41"/>
      <c r="SKV122" s="41"/>
      <c r="SKW122" s="41"/>
      <c r="SKX122" s="41"/>
      <c r="SKY122" s="41"/>
      <c r="SKZ122" s="41"/>
      <c r="SLA122" s="41"/>
      <c r="SLB122" s="41"/>
      <c r="SLC122" s="41"/>
      <c r="SLD122" s="41"/>
      <c r="SLE122" s="41"/>
      <c r="SLF122" s="41"/>
      <c r="SLG122" s="41"/>
      <c r="SLH122" s="41"/>
      <c r="SLI122" s="41"/>
      <c r="SLJ122" s="41"/>
      <c r="SLK122" s="41"/>
      <c r="SLL122" s="41"/>
      <c r="SLM122" s="41"/>
      <c r="SLN122" s="41"/>
      <c r="SLO122" s="41"/>
      <c r="SLP122" s="41"/>
      <c r="SLQ122" s="41"/>
      <c r="SLR122" s="41"/>
      <c r="SLS122" s="41"/>
      <c r="SLT122" s="41"/>
      <c r="SLU122" s="41"/>
      <c r="SLV122" s="41"/>
      <c r="SLW122" s="41"/>
      <c r="SLX122" s="41"/>
      <c r="SLY122" s="41"/>
      <c r="SLZ122" s="41"/>
      <c r="SMA122" s="41"/>
      <c r="SMB122" s="41"/>
      <c r="SMC122" s="41"/>
      <c r="SMD122" s="41"/>
      <c r="SME122" s="41"/>
      <c r="SMF122" s="41"/>
      <c r="SMG122" s="41"/>
      <c r="SMH122" s="41"/>
      <c r="SMI122" s="41"/>
      <c r="SMJ122" s="41"/>
      <c r="SMK122" s="41"/>
      <c r="SML122" s="41"/>
      <c r="SMM122" s="41"/>
      <c r="SMN122" s="41"/>
      <c r="SMO122" s="41"/>
      <c r="SMP122" s="41"/>
      <c r="SMQ122" s="41"/>
      <c r="SMR122" s="41"/>
      <c r="SMS122" s="41"/>
      <c r="SMT122" s="41"/>
      <c r="SMU122" s="41"/>
      <c r="SMV122" s="41"/>
      <c r="SMW122" s="41"/>
      <c r="SMX122" s="41"/>
      <c r="SMY122" s="41"/>
      <c r="SMZ122" s="41"/>
      <c r="SNA122" s="41"/>
      <c r="SNB122" s="41"/>
      <c r="SNC122" s="41"/>
      <c r="SND122" s="41"/>
      <c r="SNE122" s="41"/>
      <c r="SNF122" s="41"/>
      <c r="SNG122" s="41"/>
      <c r="SNH122" s="41"/>
      <c r="SNI122" s="41"/>
      <c r="SNJ122" s="41"/>
      <c r="SNK122" s="41"/>
      <c r="SNL122" s="41"/>
      <c r="SNM122" s="41"/>
      <c r="SNN122" s="41"/>
      <c r="SNO122" s="41"/>
      <c r="SNP122" s="41"/>
      <c r="SNQ122" s="41"/>
      <c r="SNR122" s="41"/>
      <c r="SNS122" s="41"/>
      <c r="SNT122" s="41"/>
      <c r="SNU122" s="41"/>
      <c r="SNV122" s="41"/>
      <c r="SNW122" s="41"/>
      <c r="SNX122" s="41"/>
      <c r="SNY122" s="41"/>
      <c r="SNZ122" s="41"/>
      <c r="SOA122" s="41"/>
      <c r="SOB122" s="41"/>
      <c r="SOC122" s="41"/>
      <c r="SOD122" s="41"/>
      <c r="SOE122" s="41"/>
      <c r="SOF122" s="41"/>
      <c r="SOG122" s="41"/>
      <c r="SOH122" s="41"/>
      <c r="SOI122" s="41"/>
      <c r="SOJ122" s="41"/>
      <c r="SOK122" s="41"/>
      <c r="SOL122" s="41"/>
      <c r="SOM122" s="41"/>
      <c r="SON122" s="41"/>
      <c r="SOO122" s="41"/>
      <c r="SOP122" s="41"/>
      <c r="SOQ122" s="41"/>
      <c r="SOR122" s="41"/>
      <c r="SOS122" s="41"/>
      <c r="SOT122" s="41"/>
      <c r="SOU122" s="41"/>
      <c r="SOV122" s="41"/>
      <c r="SOW122" s="41"/>
      <c r="SOX122" s="41"/>
      <c r="SOY122" s="41"/>
      <c r="SOZ122" s="41"/>
      <c r="SPA122" s="41"/>
      <c r="SPB122" s="41"/>
      <c r="SPC122" s="41"/>
      <c r="SPD122" s="41"/>
      <c r="SPE122" s="41"/>
      <c r="SPF122" s="41"/>
      <c r="SPG122" s="41"/>
      <c r="SPH122" s="41"/>
      <c r="SPI122" s="41"/>
      <c r="SPJ122" s="41"/>
      <c r="SPK122" s="41"/>
      <c r="SPL122" s="41"/>
      <c r="SPM122" s="41"/>
      <c r="SPN122" s="41"/>
      <c r="SPO122" s="41"/>
      <c r="SPP122" s="41"/>
      <c r="SPQ122" s="41"/>
      <c r="SPR122" s="41"/>
      <c r="SPS122" s="41"/>
      <c r="SPT122" s="41"/>
      <c r="SPU122" s="41"/>
      <c r="SPV122" s="41"/>
      <c r="SPW122" s="41"/>
      <c r="SPX122" s="41"/>
      <c r="SPY122" s="41"/>
      <c r="SPZ122" s="41"/>
      <c r="SQA122" s="41"/>
      <c r="SQB122" s="41"/>
      <c r="SQC122" s="41"/>
      <c r="SQD122" s="41"/>
      <c r="SQE122" s="41"/>
      <c r="SQF122" s="41"/>
      <c r="SQG122" s="41"/>
      <c r="SQH122" s="41"/>
      <c r="SQI122" s="41"/>
      <c r="SQJ122" s="41"/>
      <c r="SQK122" s="41"/>
      <c r="SQL122" s="41"/>
      <c r="SQM122" s="41"/>
      <c r="SQN122" s="41"/>
      <c r="SQO122" s="41"/>
      <c r="SQP122" s="41"/>
      <c r="SQQ122" s="41"/>
      <c r="SQR122" s="41"/>
      <c r="SQS122" s="41"/>
      <c r="SQT122" s="41"/>
      <c r="SQU122" s="41"/>
      <c r="SQV122" s="41"/>
      <c r="SQW122" s="41"/>
      <c r="SQX122" s="41"/>
      <c r="SQY122" s="41"/>
      <c r="SQZ122" s="41"/>
      <c r="SRA122" s="41"/>
      <c r="SRB122" s="41"/>
      <c r="SRC122" s="41"/>
      <c r="SRD122" s="41"/>
      <c r="SRE122" s="41"/>
      <c r="SRF122" s="41"/>
      <c r="SRG122" s="41"/>
      <c r="SRH122" s="41"/>
      <c r="SRI122" s="41"/>
      <c r="SRJ122" s="41"/>
      <c r="SRK122" s="41"/>
      <c r="SRL122" s="41"/>
      <c r="SRM122" s="41"/>
      <c r="SRN122" s="41"/>
      <c r="SRO122" s="41"/>
      <c r="SRP122" s="41"/>
      <c r="SRQ122" s="41"/>
      <c r="SRR122" s="41"/>
      <c r="SRS122" s="41"/>
      <c r="SRT122" s="41"/>
      <c r="SRU122" s="41"/>
      <c r="SRV122" s="41"/>
      <c r="SRW122" s="41"/>
      <c r="SRX122" s="41"/>
      <c r="SRY122" s="41"/>
      <c r="SRZ122" s="41"/>
      <c r="SSA122" s="41"/>
      <c r="SSB122" s="41"/>
      <c r="SSC122" s="41"/>
      <c r="SSD122" s="41"/>
      <c r="SSE122" s="41"/>
      <c r="SSF122" s="41"/>
      <c r="SSG122" s="41"/>
      <c r="SSH122" s="41"/>
      <c r="SSI122" s="41"/>
      <c r="SSJ122" s="41"/>
      <c r="SSK122" s="41"/>
      <c r="SSL122" s="41"/>
      <c r="SSM122" s="41"/>
      <c r="SSN122" s="41"/>
      <c r="SSO122" s="41"/>
      <c r="SSP122" s="41"/>
      <c r="SSQ122" s="41"/>
      <c r="SSR122" s="41"/>
      <c r="SSS122" s="41"/>
      <c r="SST122" s="41"/>
      <c r="SSU122" s="41"/>
      <c r="SSV122" s="41"/>
      <c r="SSW122" s="41"/>
      <c r="SSX122" s="41"/>
      <c r="SSY122" s="41"/>
      <c r="SSZ122" s="41"/>
      <c r="STA122" s="41"/>
      <c r="STB122" s="41"/>
      <c r="STC122" s="41"/>
      <c r="STD122" s="41"/>
      <c r="STE122" s="41"/>
      <c r="STF122" s="41"/>
      <c r="STG122" s="41"/>
      <c r="STH122" s="41"/>
      <c r="STI122" s="41"/>
      <c r="STJ122" s="41"/>
      <c r="STK122" s="41"/>
      <c r="STL122" s="41"/>
      <c r="STM122" s="41"/>
      <c r="STN122" s="41"/>
      <c r="STO122" s="41"/>
      <c r="STP122" s="41"/>
      <c r="STQ122" s="41"/>
      <c r="STR122" s="41"/>
      <c r="STS122" s="41"/>
      <c r="STT122" s="41"/>
      <c r="STU122" s="41"/>
      <c r="STV122" s="41"/>
      <c r="STW122" s="41"/>
      <c r="STX122" s="41"/>
      <c r="STY122" s="41"/>
      <c r="STZ122" s="41"/>
      <c r="SUA122" s="41"/>
      <c r="SUB122" s="41"/>
      <c r="SUC122" s="41"/>
      <c r="SUD122" s="41"/>
      <c r="SUE122" s="41"/>
      <c r="SUF122" s="41"/>
      <c r="SUG122" s="41"/>
      <c r="SUH122" s="41"/>
      <c r="SUI122" s="41"/>
      <c r="SUJ122" s="41"/>
      <c r="SUK122" s="41"/>
      <c r="SUL122" s="41"/>
      <c r="SUM122" s="41"/>
      <c r="SUN122" s="41"/>
      <c r="SUO122" s="41"/>
      <c r="SUP122" s="41"/>
      <c r="SUQ122" s="41"/>
      <c r="SUR122" s="41"/>
      <c r="SUS122" s="41"/>
      <c r="SUT122" s="41"/>
      <c r="SUU122" s="41"/>
      <c r="SUV122" s="41"/>
      <c r="SUW122" s="41"/>
      <c r="SUX122" s="41"/>
      <c r="SUY122" s="41"/>
      <c r="SUZ122" s="41"/>
      <c r="SVA122" s="41"/>
      <c r="SVB122" s="41"/>
      <c r="SVC122" s="41"/>
      <c r="SVD122" s="41"/>
      <c r="SVE122" s="41"/>
      <c r="SVF122" s="41"/>
      <c r="SVG122" s="41"/>
      <c r="SVH122" s="41"/>
      <c r="SVI122" s="41"/>
      <c r="SVJ122" s="41"/>
      <c r="SVK122" s="41"/>
      <c r="SVL122" s="41"/>
      <c r="SVM122" s="41"/>
      <c r="SVN122" s="41"/>
      <c r="SVO122" s="41"/>
      <c r="SVP122" s="41"/>
      <c r="SVQ122" s="41"/>
      <c r="SVR122" s="41"/>
      <c r="SVS122" s="41"/>
      <c r="SVT122" s="41"/>
      <c r="SVU122" s="41"/>
      <c r="SVV122" s="41"/>
      <c r="SVW122" s="41"/>
      <c r="SVX122" s="41"/>
      <c r="SVY122" s="41"/>
      <c r="SVZ122" s="41"/>
      <c r="SWA122" s="41"/>
      <c r="SWB122" s="41"/>
      <c r="SWC122" s="41"/>
      <c r="SWD122" s="41"/>
      <c r="SWE122" s="41"/>
      <c r="SWF122" s="41"/>
      <c r="SWG122" s="41"/>
      <c r="SWH122" s="41"/>
      <c r="SWI122" s="41"/>
      <c r="SWJ122" s="41"/>
      <c r="SWK122" s="41"/>
      <c r="SWL122" s="41"/>
      <c r="SWM122" s="41"/>
      <c r="SWN122" s="41"/>
      <c r="SWO122" s="41"/>
      <c r="SWP122" s="41"/>
      <c r="SWQ122" s="41"/>
      <c r="SWR122" s="41"/>
      <c r="SWS122" s="41"/>
      <c r="SWT122" s="41"/>
      <c r="SWU122" s="41"/>
      <c r="SWV122" s="41"/>
      <c r="SWW122" s="41"/>
      <c r="SWX122" s="41"/>
      <c r="SWY122" s="41"/>
      <c r="SWZ122" s="41"/>
      <c r="SXA122" s="41"/>
      <c r="SXB122" s="41"/>
      <c r="SXC122" s="41"/>
      <c r="SXD122" s="41"/>
      <c r="SXE122" s="41"/>
      <c r="SXF122" s="41"/>
      <c r="SXG122" s="41"/>
      <c r="SXH122" s="41"/>
      <c r="SXI122" s="41"/>
      <c r="SXJ122" s="41"/>
      <c r="SXK122" s="41"/>
      <c r="SXL122" s="41"/>
      <c r="SXM122" s="41"/>
      <c r="SXN122" s="41"/>
      <c r="SXO122" s="41"/>
      <c r="SXP122" s="41"/>
      <c r="SXQ122" s="41"/>
      <c r="SXR122" s="41"/>
      <c r="SXS122" s="41"/>
      <c r="SXT122" s="41"/>
      <c r="SXU122" s="41"/>
      <c r="SXV122" s="41"/>
      <c r="SXW122" s="41"/>
      <c r="SXX122" s="41"/>
      <c r="SXY122" s="41"/>
      <c r="SXZ122" s="41"/>
      <c r="SYA122" s="41"/>
      <c r="SYB122" s="41"/>
      <c r="SYC122" s="41"/>
      <c r="SYD122" s="41"/>
      <c r="SYE122" s="41"/>
      <c r="SYF122" s="41"/>
      <c r="SYG122" s="41"/>
      <c r="SYH122" s="41"/>
      <c r="SYI122" s="41"/>
      <c r="SYJ122" s="41"/>
      <c r="SYK122" s="41"/>
      <c r="SYL122" s="41"/>
      <c r="SYM122" s="41"/>
      <c r="SYN122" s="41"/>
      <c r="SYO122" s="41"/>
      <c r="SYP122" s="41"/>
      <c r="SYQ122" s="41"/>
      <c r="SYR122" s="41"/>
      <c r="SYS122" s="41"/>
      <c r="SYT122" s="41"/>
      <c r="SYU122" s="41"/>
      <c r="SYV122" s="41"/>
      <c r="SYW122" s="41"/>
      <c r="SYX122" s="41"/>
      <c r="SYY122" s="41"/>
      <c r="SYZ122" s="41"/>
      <c r="SZA122" s="41"/>
      <c r="SZB122" s="41"/>
      <c r="SZC122" s="41"/>
      <c r="SZD122" s="41"/>
      <c r="SZE122" s="41"/>
      <c r="SZF122" s="41"/>
      <c r="SZG122" s="41"/>
      <c r="SZH122" s="41"/>
      <c r="SZI122" s="41"/>
      <c r="SZJ122" s="41"/>
      <c r="SZK122" s="41"/>
      <c r="SZL122" s="41"/>
      <c r="SZM122" s="41"/>
      <c r="SZN122" s="41"/>
      <c r="SZO122" s="41"/>
      <c r="SZP122" s="41"/>
      <c r="SZQ122" s="41"/>
      <c r="SZR122" s="41"/>
      <c r="SZS122" s="41"/>
      <c r="SZT122" s="41"/>
      <c r="SZU122" s="41"/>
      <c r="SZV122" s="41"/>
      <c r="SZW122" s="41"/>
      <c r="SZX122" s="41"/>
      <c r="SZY122" s="41"/>
      <c r="SZZ122" s="41"/>
      <c r="TAA122" s="41"/>
      <c r="TAB122" s="41"/>
      <c r="TAC122" s="41"/>
      <c r="TAD122" s="41"/>
      <c r="TAE122" s="41"/>
      <c r="TAF122" s="41"/>
      <c r="TAG122" s="41"/>
      <c r="TAH122" s="41"/>
      <c r="TAI122" s="41"/>
      <c r="TAJ122" s="41"/>
      <c r="TAK122" s="41"/>
      <c r="TAL122" s="41"/>
      <c r="TAM122" s="41"/>
      <c r="TAN122" s="41"/>
      <c r="TAO122" s="41"/>
      <c r="TAP122" s="41"/>
      <c r="TAQ122" s="41"/>
      <c r="TAR122" s="41"/>
      <c r="TAS122" s="41"/>
      <c r="TAT122" s="41"/>
      <c r="TAU122" s="41"/>
      <c r="TAV122" s="41"/>
      <c r="TAW122" s="41"/>
      <c r="TAX122" s="41"/>
      <c r="TAY122" s="41"/>
      <c r="TAZ122" s="41"/>
      <c r="TBA122" s="41"/>
      <c r="TBB122" s="41"/>
      <c r="TBC122" s="41"/>
      <c r="TBD122" s="41"/>
      <c r="TBE122" s="41"/>
      <c r="TBF122" s="41"/>
      <c r="TBG122" s="41"/>
      <c r="TBH122" s="41"/>
      <c r="TBI122" s="41"/>
      <c r="TBJ122" s="41"/>
      <c r="TBK122" s="41"/>
      <c r="TBL122" s="41"/>
      <c r="TBM122" s="41"/>
      <c r="TBN122" s="41"/>
      <c r="TBO122" s="41"/>
      <c r="TBP122" s="41"/>
      <c r="TBQ122" s="41"/>
      <c r="TBR122" s="41"/>
      <c r="TBS122" s="41"/>
      <c r="TBT122" s="41"/>
      <c r="TBU122" s="41"/>
      <c r="TBV122" s="41"/>
      <c r="TBW122" s="41"/>
      <c r="TBX122" s="41"/>
      <c r="TBY122" s="41"/>
      <c r="TBZ122" s="41"/>
      <c r="TCA122" s="41"/>
      <c r="TCB122" s="41"/>
      <c r="TCC122" s="41"/>
      <c r="TCD122" s="41"/>
      <c r="TCE122" s="41"/>
      <c r="TCF122" s="41"/>
      <c r="TCG122" s="41"/>
      <c r="TCH122" s="41"/>
      <c r="TCI122" s="41"/>
      <c r="TCJ122" s="41"/>
      <c r="TCK122" s="41"/>
      <c r="TCL122" s="41"/>
      <c r="TCM122" s="41"/>
      <c r="TCN122" s="41"/>
      <c r="TCO122" s="41"/>
      <c r="TCP122" s="41"/>
      <c r="TCQ122" s="41"/>
      <c r="TCR122" s="41"/>
      <c r="TCS122" s="41"/>
      <c r="TCT122" s="41"/>
      <c r="TCU122" s="41"/>
      <c r="TCV122" s="41"/>
      <c r="TCW122" s="41"/>
      <c r="TCX122" s="41"/>
      <c r="TCY122" s="41"/>
      <c r="TCZ122" s="41"/>
      <c r="TDA122" s="41"/>
      <c r="TDB122" s="41"/>
      <c r="TDC122" s="41"/>
      <c r="TDD122" s="41"/>
      <c r="TDE122" s="41"/>
      <c r="TDF122" s="41"/>
      <c r="TDG122" s="41"/>
      <c r="TDH122" s="41"/>
      <c r="TDI122" s="41"/>
      <c r="TDJ122" s="41"/>
      <c r="TDK122" s="41"/>
      <c r="TDL122" s="41"/>
      <c r="TDM122" s="41"/>
      <c r="TDN122" s="41"/>
      <c r="TDO122" s="41"/>
      <c r="TDP122" s="41"/>
      <c r="TDQ122" s="41"/>
      <c r="TDR122" s="41"/>
      <c r="TDS122" s="41"/>
      <c r="TDT122" s="41"/>
      <c r="TDU122" s="41"/>
      <c r="TDV122" s="41"/>
      <c r="TDW122" s="41"/>
      <c r="TDX122" s="41"/>
      <c r="TDY122" s="41"/>
      <c r="TDZ122" s="41"/>
      <c r="TEA122" s="41"/>
      <c r="TEB122" s="41"/>
      <c r="TEC122" s="41"/>
      <c r="TED122" s="41"/>
      <c r="TEE122" s="41"/>
      <c r="TEF122" s="41"/>
      <c r="TEG122" s="41"/>
      <c r="TEH122" s="41"/>
      <c r="TEI122" s="41"/>
      <c r="TEJ122" s="41"/>
      <c r="TEK122" s="41"/>
      <c r="TEL122" s="41"/>
      <c r="TEM122" s="41"/>
      <c r="TEN122" s="41"/>
      <c r="TEO122" s="41"/>
      <c r="TEP122" s="41"/>
      <c r="TEQ122" s="41"/>
      <c r="TER122" s="41"/>
      <c r="TES122" s="41"/>
      <c r="TET122" s="41"/>
      <c r="TEU122" s="41"/>
      <c r="TEV122" s="41"/>
      <c r="TEW122" s="41"/>
      <c r="TEX122" s="41"/>
      <c r="TEY122" s="41"/>
      <c r="TEZ122" s="41"/>
      <c r="TFA122" s="41"/>
      <c r="TFB122" s="41"/>
      <c r="TFC122" s="41"/>
      <c r="TFD122" s="41"/>
      <c r="TFE122" s="41"/>
      <c r="TFF122" s="41"/>
      <c r="TFG122" s="41"/>
      <c r="TFH122" s="41"/>
      <c r="TFI122" s="41"/>
      <c r="TFJ122" s="41"/>
      <c r="TFK122" s="41"/>
      <c r="TFL122" s="41"/>
      <c r="TFM122" s="41"/>
      <c r="TFN122" s="41"/>
      <c r="TFO122" s="41"/>
      <c r="TFP122" s="41"/>
      <c r="TFQ122" s="41"/>
      <c r="TFR122" s="41"/>
      <c r="TFS122" s="41"/>
      <c r="TFT122" s="41"/>
      <c r="TFU122" s="41"/>
      <c r="TFV122" s="41"/>
      <c r="TFW122" s="41"/>
      <c r="TFX122" s="41"/>
      <c r="TFY122" s="41"/>
      <c r="TFZ122" s="41"/>
      <c r="TGA122" s="41"/>
      <c r="TGB122" s="41"/>
      <c r="TGC122" s="41"/>
      <c r="TGD122" s="41"/>
      <c r="TGE122" s="41"/>
      <c r="TGF122" s="41"/>
      <c r="TGG122" s="41"/>
      <c r="TGH122" s="41"/>
      <c r="TGI122" s="41"/>
      <c r="TGJ122" s="41"/>
      <c r="TGK122" s="41"/>
      <c r="TGL122" s="41"/>
      <c r="TGM122" s="41"/>
      <c r="TGN122" s="41"/>
      <c r="TGO122" s="41"/>
      <c r="TGP122" s="41"/>
      <c r="TGQ122" s="41"/>
      <c r="TGR122" s="41"/>
      <c r="TGS122" s="41"/>
      <c r="TGT122" s="41"/>
      <c r="TGU122" s="41"/>
      <c r="TGV122" s="41"/>
      <c r="TGW122" s="41"/>
      <c r="TGX122" s="41"/>
      <c r="TGY122" s="41"/>
      <c r="TGZ122" s="41"/>
      <c r="THA122" s="41"/>
      <c r="THB122" s="41"/>
      <c r="THC122" s="41"/>
      <c r="THD122" s="41"/>
      <c r="THE122" s="41"/>
      <c r="THF122" s="41"/>
      <c r="THG122" s="41"/>
      <c r="THH122" s="41"/>
      <c r="THI122" s="41"/>
      <c r="THJ122" s="41"/>
      <c r="THK122" s="41"/>
      <c r="THL122" s="41"/>
      <c r="THM122" s="41"/>
      <c r="THN122" s="41"/>
      <c r="THO122" s="41"/>
      <c r="THP122" s="41"/>
      <c r="THQ122" s="41"/>
      <c r="THR122" s="41"/>
      <c r="THS122" s="41"/>
      <c r="THT122" s="41"/>
      <c r="THU122" s="41"/>
      <c r="THV122" s="41"/>
      <c r="THW122" s="41"/>
      <c r="THX122" s="41"/>
      <c r="THY122" s="41"/>
      <c r="THZ122" s="41"/>
      <c r="TIA122" s="41"/>
      <c r="TIB122" s="41"/>
      <c r="TIC122" s="41"/>
      <c r="TID122" s="41"/>
      <c r="TIE122" s="41"/>
      <c r="TIF122" s="41"/>
      <c r="TIG122" s="41"/>
      <c r="TIH122" s="41"/>
      <c r="TII122" s="41"/>
      <c r="TIJ122" s="41"/>
      <c r="TIK122" s="41"/>
      <c r="TIL122" s="41"/>
      <c r="TIM122" s="41"/>
      <c r="TIN122" s="41"/>
      <c r="TIO122" s="41"/>
      <c r="TIP122" s="41"/>
      <c r="TIQ122" s="41"/>
      <c r="TIR122" s="41"/>
      <c r="TIS122" s="41"/>
      <c r="TIT122" s="41"/>
      <c r="TIU122" s="41"/>
      <c r="TIV122" s="41"/>
      <c r="TIW122" s="41"/>
      <c r="TIX122" s="41"/>
      <c r="TIY122" s="41"/>
      <c r="TIZ122" s="41"/>
      <c r="TJA122" s="41"/>
      <c r="TJB122" s="41"/>
      <c r="TJC122" s="41"/>
      <c r="TJD122" s="41"/>
      <c r="TJE122" s="41"/>
      <c r="TJF122" s="41"/>
      <c r="TJG122" s="41"/>
      <c r="TJH122" s="41"/>
      <c r="TJI122" s="41"/>
      <c r="TJJ122" s="41"/>
      <c r="TJK122" s="41"/>
      <c r="TJL122" s="41"/>
      <c r="TJM122" s="41"/>
      <c r="TJN122" s="41"/>
      <c r="TJO122" s="41"/>
      <c r="TJP122" s="41"/>
      <c r="TJQ122" s="41"/>
      <c r="TJR122" s="41"/>
      <c r="TJS122" s="41"/>
      <c r="TJT122" s="41"/>
      <c r="TJU122" s="41"/>
      <c r="TJV122" s="41"/>
      <c r="TJW122" s="41"/>
      <c r="TJX122" s="41"/>
      <c r="TJY122" s="41"/>
      <c r="TJZ122" s="41"/>
      <c r="TKA122" s="41"/>
      <c r="TKB122" s="41"/>
      <c r="TKC122" s="41"/>
      <c r="TKD122" s="41"/>
      <c r="TKE122" s="41"/>
      <c r="TKF122" s="41"/>
      <c r="TKG122" s="41"/>
      <c r="TKH122" s="41"/>
      <c r="TKI122" s="41"/>
      <c r="TKJ122" s="41"/>
      <c r="TKK122" s="41"/>
      <c r="TKL122" s="41"/>
      <c r="TKM122" s="41"/>
      <c r="TKN122" s="41"/>
      <c r="TKO122" s="41"/>
      <c r="TKP122" s="41"/>
      <c r="TKQ122" s="41"/>
      <c r="TKR122" s="41"/>
      <c r="TKS122" s="41"/>
      <c r="TKT122" s="41"/>
      <c r="TKU122" s="41"/>
      <c r="TKV122" s="41"/>
      <c r="TKW122" s="41"/>
      <c r="TKX122" s="41"/>
      <c r="TKY122" s="41"/>
      <c r="TKZ122" s="41"/>
      <c r="TLA122" s="41"/>
      <c r="TLB122" s="41"/>
      <c r="TLC122" s="41"/>
      <c r="TLD122" s="41"/>
      <c r="TLE122" s="41"/>
      <c r="TLF122" s="41"/>
      <c r="TLG122" s="41"/>
      <c r="TLH122" s="41"/>
      <c r="TLI122" s="41"/>
      <c r="TLJ122" s="41"/>
      <c r="TLK122" s="41"/>
      <c r="TLL122" s="41"/>
      <c r="TLM122" s="41"/>
      <c r="TLN122" s="41"/>
      <c r="TLO122" s="41"/>
      <c r="TLP122" s="41"/>
      <c r="TLQ122" s="41"/>
      <c r="TLR122" s="41"/>
      <c r="TLS122" s="41"/>
      <c r="TLT122" s="41"/>
      <c r="TLU122" s="41"/>
      <c r="TLV122" s="41"/>
      <c r="TLW122" s="41"/>
      <c r="TLX122" s="41"/>
      <c r="TLY122" s="41"/>
      <c r="TLZ122" s="41"/>
      <c r="TMA122" s="41"/>
      <c r="TMB122" s="41"/>
      <c r="TMC122" s="41"/>
      <c r="TMD122" s="41"/>
      <c r="TME122" s="41"/>
      <c r="TMF122" s="41"/>
      <c r="TMG122" s="41"/>
      <c r="TMH122" s="41"/>
      <c r="TMI122" s="41"/>
      <c r="TMJ122" s="41"/>
      <c r="TMK122" s="41"/>
      <c r="TML122" s="41"/>
      <c r="TMM122" s="41"/>
      <c r="TMN122" s="41"/>
      <c r="TMO122" s="41"/>
      <c r="TMP122" s="41"/>
      <c r="TMQ122" s="41"/>
      <c r="TMR122" s="41"/>
      <c r="TMS122" s="41"/>
      <c r="TMT122" s="41"/>
      <c r="TMU122" s="41"/>
      <c r="TMV122" s="41"/>
      <c r="TMW122" s="41"/>
      <c r="TMX122" s="41"/>
      <c r="TMY122" s="41"/>
      <c r="TMZ122" s="41"/>
      <c r="TNA122" s="41"/>
      <c r="TNB122" s="41"/>
      <c r="TNC122" s="41"/>
      <c r="TND122" s="41"/>
      <c r="TNE122" s="41"/>
      <c r="TNF122" s="41"/>
      <c r="TNG122" s="41"/>
      <c r="TNH122" s="41"/>
      <c r="TNI122" s="41"/>
      <c r="TNJ122" s="41"/>
      <c r="TNK122" s="41"/>
      <c r="TNL122" s="41"/>
      <c r="TNM122" s="41"/>
      <c r="TNN122" s="41"/>
      <c r="TNO122" s="41"/>
      <c r="TNP122" s="41"/>
      <c r="TNQ122" s="41"/>
      <c r="TNR122" s="41"/>
      <c r="TNS122" s="41"/>
      <c r="TNT122" s="41"/>
      <c r="TNU122" s="41"/>
      <c r="TNV122" s="41"/>
      <c r="TNW122" s="41"/>
      <c r="TNX122" s="41"/>
      <c r="TNY122" s="41"/>
      <c r="TNZ122" s="41"/>
      <c r="TOA122" s="41"/>
      <c r="TOB122" s="41"/>
      <c r="TOC122" s="41"/>
      <c r="TOD122" s="41"/>
      <c r="TOE122" s="41"/>
      <c r="TOF122" s="41"/>
      <c r="TOG122" s="41"/>
      <c r="TOH122" s="41"/>
      <c r="TOI122" s="41"/>
      <c r="TOJ122" s="41"/>
      <c r="TOK122" s="41"/>
      <c r="TOL122" s="41"/>
      <c r="TOM122" s="41"/>
      <c r="TON122" s="41"/>
      <c r="TOO122" s="41"/>
      <c r="TOP122" s="41"/>
      <c r="TOQ122" s="41"/>
      <c r="TOR122" s="41"/>
      <c r="TOS122" s="41"/>
      <c r="TOT122" s="41"/>
      <c r="TOU122" s="41"/>
      <c r="TOV122" s="41"/>
      <c r="TOW122" s="41"/>
      <c r="TOX122" s="41"/>
      <c r="TOY122" s="41"/>
      <c r="TOZ122" s="41"/>
      <c r="TPA122" s="41"/>
      <c r="TPB122" s="41"/>
      <c r="TPC122" s="41"/>
      <c r="TPD122" s="41"/>
      <c r="TPE122" s="41"/>
      <c r="TPF122" s="41"/>
      <c r="TPG122" s="41"/>
      <c r="TPH122" s="41"/>
      <c r="TPI122" s="41"/>
      <c r="TPJ122" s="41"/>
      <c r="TPK122" s="41"/>
      <c r="TPL122" s="41"/>
      <c r="TPM122" s="41"/>
      <c r="TPN122" s="41"/>
      <c r="TPO122" s="41"/>
      <c r="TPP122" s="41"/>
      <c r="TPQ122" s="41"/>
      <c r="TPR122" s="41"/>
      <c r="TPS122" s="41"/>
      <c r="TPT122" s="41"/>
      <c r="TPU122" s="41"/>
      <c r="TPV122" s="41"/>
      <c r="TPW122" s="41"/>
      <c r="TPX122" s="41"/>
      <c r="TPY122" s="41"/>
      <c r="TPZ122" s="41"/>
      <c r="TQA122" s="41"/>
      <c r="TQB122" s="41"/>
      <c r="TQC122" s="41"/>
      <c r="TQD122" s="41"/>
      <c r="TQE122" s="41"/>
      <c r="TQF122" s="41"/>
      <c r="TQG122" s="41"/>
      <c r="TQH122" s="41"/>
      <c r="TQI122" s="41"/>
      <c r="TQJ122" s="41"/>
      <c r="TQK122" s="41"/>
      <c r="TQL122" s="41"/>
      <c r="TQM122" s="41"/>
      <c r="TQN122" s="41"/>
      <c r="TQO122" s="41"/>
      <c r="TQP122" s="41"/>
      <c r="TQQ122" s="41"/>
      <c r="TQR122" s="41"/>
      <c r="TQS122" s="41"/>
      <c r="TQT122" s="41"/>
      <c r="TQU122" s="41"/>
      <c r="TQV122" s="41"/>
      <c r="TQW122" s="41"/>
      <c r="TQX122" s="41"/>
      <c r="TQY122" s="41"/>
      <c r="TQZ122" s="41"/>
      <c r="TRA122" s="41"/>
      <c r="TRB122" s="41"/>
      <c r="TRC122" s="41"/>
      <c r="TRD122" s="41"/>
      <c r="TRE122" s="41"/>
      <c r="TRF122" s="41"/>
      <c r="TRG122" s="41"/>
      <c r="TRH122" s="41"/>
      <c r="TRI122" s="41"/>
      <c r="TRJ122" s="41"/>
      <c r="TRK122" s="41"/>
      <c r="TRL122" s="41"/>
      <c r="TRM122" s="41"/>
      <c r="TRN122" s="41"/>
      <c r="TRO122" s="41"/>
      <c r="TRP122" s="41"/>
      <c r="TRQ122" s="41"/>
      <c r="TRR122" s="41"/>
      <c r="TRS122" s="41"/>
      <c r="TRT122" s="41"/>
      <c r="TRU122" s="41"/>
      <c r="TRV122" s="41"/>
      <c r="TRW122" s="41"/>
      <c r="TRX122" s="41"/>
      <c r="TRY122" s="41"/>
      <c r="TRZ122" s="41"/>
      <c r="TSA122" s="41"/>
      <c r="TSB122" s="41"/>
      <c r="TSC122" s="41"/>
      <c r="TSD122" s="41"/>
      <c r="TSE122" s="41"/>
      <c r="TSF122" s="41"/>
      <c r="TSG122" s="41"/>
      <c r="TSH122" s="41"/>
      <c r="TSI122" s="41"/>
      <c r="TSJ122" s="41"/>
      <c r="TSK122" s="41"/>
      <c r="TSL122" s="41"/>
      <c r="TSM122" s="41"/>
      <c r="TSN122" s="41"/>
      <c r="TSO122" s="41"/>
      <c r="TSP122" s="41"/>
      <c r="TSQ122" s="41"/>
      <c r="TSR122" s="41"/>
      <c r="TSS122" s="41"/>
      <c r="TST122" s="41"/>
      <c r="TSU122" s="41"/>
      <c r="TSV122" s="41"/>
      <c r="TSW122" s="41"/>
      <c r="TSX122" s="41"/>
      <c r="TSY122" s="41"/>
      <c r="TSZ122" s="41"/>
      <c r="TTA122" s="41"/>
      <c r="TTB122" s="41"/>
      <c r="TTC122" s="41"/>
      <c r="TTD122" s="41"/>
      <c r="TTE122" s="41"/>
      <c r="TTF122" s="41"/>
      <c r="TTG122" s="41"/>
      <c r="TTH122" s="41"/>
      <c r="TTI122" s="41"/>
      <c r="TTJ122" s="41"/>
      <c r="TTK122" s="41"/>
      <c r="TTL122" s="41"/>
      <c r="TTM122" s="41"/>
      <c r="TTN122" s="41"/>
      <c r="TTO122" s="41"/>
      <c r="TTP122" s="41"/>
      <c r="TTQ122" s="41"/>
      <c r="TTR122" s="41"/>
      <c r="TTS122" s="41"/>
      <c r="TTT122" s="41"/>
      <c r="TTU122" s="41"/>
      <c r="TTV122" s="41"/>
      <c r="TTW122" s="41"/>
      <c r="TTX122" s="41"/>
      <c r="TTY122" s="41"/>
      <c r="TTZ122" s="41"/>
      <c r="TUA122" s="41"/>
      <c r="TUB122" s="41"/>
      <c r="TUC122" s="41"/>
      <c r="TUD122" s="41"/>
      <c r="TUE122" s="41"/>
      <c r="TUF122" s="41"/>
      <c r="TUG122" s="41"/>
      <c r="TUH122" s="41"/>
      <c r="TUI122" s="41"/>
      <c r="TUJ122" s="41"/>
      <c r="TUK122" s="41"/>
      <c r="TUL122" s="41"/>
      <c r="TUM122" s="41"/>
      <c r="TUN122" s="41"/>
      <c r="TUO122" s="41"/>
      <c r="TUP122" s="41"/>
      <c r="TUQ122" s="41"/>
      <c r="TUR122" s="41"/>
      <c r="TUS122" s="41"/>
      <c r="TUT122" s="41"/>
      <c r="TUU122" s="41"/>
      <c r="TUV122" s="41"/>
      <c r="TUW122" s="41"/>
      <c r="TUX122" s="41"/>
      <c r="TUY122" s="41"/>
      <c r="TUZ122" s="41"/>
      <c r="TVA122" s="41"/>
      <c r="TVB122" s="41"/>
      <c r="TVC122" s="41"/>
      <c r="TVD122" s="41"/>
      <c r="TVE122" s="41"/>
      <c r="TVF122" s="41"/>
      <c r="TVG122" s="41"/>
      <c r="TVH122" s="41"/>
      <c r="TVI122" s="41"/>
      <c r="TVJ122" s="41"/>
      <c r="TVK122" s="41"/>
      <c r="TVL122" s="41"/>
      <c r="TVM122" s="41"/>
      <c r="TVN122" s="41"/>
      <c r="TVO122" s="41"/>
      <c r="TVP122" s="41"/>
      <c r="TVQ122" s="41"/>
      <c r="TVR122" s="41"/>
      <c r="TVS122" s="41"/>
      <c r="TVT122" s="41"/>
      <c r="TVU122" s="41"/>
      <c r="TVV122" s="41"/>
      <c r="TVW122" s="41"/>
      <c r="TVX122" s="41"/>
      <c r="TVY122" s="41"/>
      <c r="TVZ122" s="41"/>
      <c r="TWA122" s="41"/>
      <c r="TWB122" s="41"/>
      <c r="TWC122" s="41"/>
      <c r="TWD122" s="41"/>
      <c r="TWE122" s="41"/>
      <c r="TWF122" s="41"/>
      <c r="TWG122" s="41"/>
      <c r="TWH122" s="41"/>
      <c r="TWI122" s="41"/>
      <c r="TWJ122" s="41"/>
      <c r="TWK122" s="41"/>
      <c r="TWL122" s="41"/>
      <c r="TWM122" s="41"/>
      <c r="TWN122" s="41"/>
      <c r="TWO122" s="41"/>
      <c r="TWP122" s="41"/>
      <c r="TWQ122" s="41"/>
      <c r="TWR122" s="41"/>
      <c r="TWS122" s="41"/>
      <c r="TWT122" s="41"/>
      <c r="TWU122" s="41"/>
      <c r="TWV122" s="41"/>
      <c r="TWW122" s="41"/>
      <c r="TWX122" s="41"/>
      <c r="TWY122" s="41"/>
      <c r="TWZ122" s="41"/>
      <c r="TXA122" s="41"/>
      <c r="TXB122" s="41"/>
      <c r="TXC122" s="41"/>
      <c r="TXD122" s="41"/>
      <c r="TXE122" s="41"/>
      <c r="TXF122" s="41"/>
      <c r="TXG122" s="41"/>
      <c r="TXH122" s="41"/>
      <c r="TXI122" s="41"/>
      <c r="TXJ122" s="41"/>
      <c r="TXK122" s="41"/>
      <c r="TXL122" s="41"/>
      <c r="TXM122" s="41"/>
      <c r="TXN122" s="41"/>
      <c r="TXO122" s="41"/>
      <c r="TXP122" s="41"/>
      <c r="TXQ122" s="41"/>
      <c r="TXR122" s="41"/>
      <c r="TXS122" s="41"/>
      <c r="TXT122" s="41"/>
      <c r="TXU122" s="41"/>
      <c r="TXV122" s="41"/>
      <c r="TXW122" s="41"/>
      <c r="TXX122" s="41"/>
      <c r="TXY122" s="41"/>
      <c r="TXZ122" s="41"/>
      <c r="TYA122" s="41"/>
      <c r="TYB122" s="41"/>
      <c r="TYC122" s="41"/>
      <c r="TYD122" s="41"/>
      <c r="TYE122" s="41"/>
      <c r="TYF122" s="41"/>
      <c r="TYG122" s="41"/>
      <c r="TYH122" s="41"/>
      <c r="TYI122" s="41"/>
      <c r="TYJ122" s="41"/>
      <c r="TYK122" s="41"/>
      <c r="TYL122" s="41"/>
      <c r="TYM122" s="41"/>
      <c r="TYN122" s="41"/>
      <c r="TYO122" s="41"/>
      <c r="TYP122" s="41"/>
      <c r="TYQ122" s="41"/>
      <c r="TYR122" s="41"/>
      <c r="TYS122" s="41"/>
      <c r="TYT122" s="41"/>
      <c r="TYU122" s="41"/>
      <c r="TYV122" s="41"/>
      <c r="TYW122" s="41"/>
      <c r="TYX122" s="41"/>
      <c r="TYY122" s="41"/>
      <c r="TYZ122" s="41"/>
      <c r="TZA122" s="41"/>
      <c r="TZB122" s="41"/>
      <c r="TZC122" s="41"/>
      <c r="TZD122" s="41"/>
      <c r="TZE122" s="41"/>
      <c r="TZF122" s="41"/>
      <c r="TZG122" s="41"/>
      <c r="TZH122" s="41"/>
      <c r="TZI122" s="41"/>
      <c r="TZJ122" s="41"/>
      <c r="TZK122" s="41"/>
      <c r="TZL122" s="41"/>
      <c r="TZM122" s="41"/>
      <c r="TZN122" s="41"/>
      <c r="TZO122" s="41"/>
      <c r="TZP122" s="41"/>
      <c r="TZQ122" s="41"/>
      <c r="TZR122" s="41"/>
      <c r="TZS122" s="41"/>
      <c r="TZT122" s="41"/>
      <c r="TZU122" s="41"/>
      <c r="TZV122" s="41"/>
      <c r="TZW122" s="41"/>
      <c r="TZX122" s="41"/>
      <c r="TZY122" s="41"/>
      <c r="TZZ122" s="41"/>
      <c r="UAA122" s="41"/>
      <c r="UAB122" s="41"/>
      <c r="UAC122" s="41"/>
      <c r="UAD122" s="41"/>
      <c r="UAE122" s="41"/>
      <c r="UAF122" s="41"/>
      <c r="UAG122" s="41"/>
      <c r="UAH122" s="41"/>
      <c r="UAI122" s="41"/>
      <c r="UAJ122" s="41"/>
      <c r="UAK122" s="41"/>
      <c r="UAL122" s="41"/>
      <c r="UAM122" s="41"/>
      <c r="UAN122" s="41"/>
      <c r="UAO122" s="41"/>
      <c r="UAP122" s="41"/>
      <c r="UAQ122" s="41"/>
      <c r="UAR122" s="41"/>
      <c r="UAS122" s="41"/>
      <c r="UAT122" s="41"/>
      <c r="UAU122" s="41"/>
      <c r="UAV122" s="41"/>
      <c r="UAW122" s="41"/>
      <c r="UAX122" s="41"/>
      <c r="UAY122" s="41"/>
      <c r="UAZ122" s="41"/>
      <c r="UBA122" s="41"/>
      <c r="UBB122" s="41"/>
      <c r="UBC122" s="41"/>
      <c r="UBD122" s="41"/>
      <c r="UBE122" s="41"/>
      <c r="UBF122" s="41"/>
      <c r="UBG122" s="41"/>
      <c r="UBH122" s="41"/>
      <c r="UBI122" s="41"/>
      <c r="UBJ122" s="41"/>
      <c r="UBK122" s="41"/>
      <c r="UBL122" s="41"/>
      <c r="UBM122" s="41"/>
      <c r="UBN122" s="41"/>
      <c r="UBO122" s="41"/>
      <c r="UBP122" s="41"/>
      <c r="UBQ122" s="41"/>
      <c r="UBR122" s="41"/>
      <c r="UBS122" s="41"/>
      <c r="UBT122" s="41"/>
      <c r="UBU122" s="41"/>
      <c r="UBV122" s="41"/>
      <c r="UBW122" s="41"/>
      <c r="UBX122" s="41"/>
      <c r="UBY122" s="41"/>
      <c r="UBZ122" s="41"/>
      <c r="UCA122" s="41"/>
      <c r="UCB122" s="41"/>
      <c r="UCC122" s="41"/>
      <c r="UCD122" s="41"/>
      <c r="UCE122" s="41"/>
      <c r="UCF122" s="41"/>
      <c r="UCG122" s="41"/>
      <c r="UCH122" s="41"/>
      <c r="UCI122" s="41"/>
      <c r="UCJ122" s="41"/>
      <c r="UCK122" s="41"/>
      <c r="UCL122" s="41"/>
      <c r="UCM122" s="41"/>
      <c r="UCN122" s="41"/>
      <c r="UCO122" s="41"/>
      <c r="UCP122" s="41"/>
      <c r="UCQ122" s="41"/>
      <c r="UCR122" s="41"/>
      <c r="UCS122" s="41"/>
      <c r="UCT122" s="41"/>
      <c r="UCU122" s="41"/>
      <c r="UCV122" s="41"/>
      <c r="UCW122" s="41"/>
      <c r="UCX122" s="41"/>
      <c r="UCY122" s="41"/>
      <c r="UCZ122" s="41"/>
      <c r="UDA122" s="41"/>
      <c r="UDB122" s="41"/>
      <c r="UDC122" s="41"/>
      <c r="UDD122" s="41"/>
      <c r="UDE122" s="41"/>
      <c r="UDF122" s="41"/>
      <c r="UDG122" s="41"/>
      <c r="UDH122" s="41"/>
      <c r="UDI122" s="41"/>
      <c r="UDJ122" s="41"/>
      <c r="UDK122" s="41"/>
      <c r="UDL122" s="41"/>
      <c r="UDM122" s="41"/>
      <c r="UDN122" s="41"/>
      <c r="UDO122" s="41"/>
      <c r="UDP122" s="41"/>
      <c r="UDQ122" s="41"/>
      <c r="UDR122" s="41"/>
      <c r="UDS122" s="41"/>
      <c r="UDT122" s="41"/>
      <c r="UDU122" s="41"/>
      <c r="UDV122" s="41"/>
      <c r="UDW122" s="41"/>
      <c r="UDX122" s="41"/>
      <c r="UDY122" s="41"/>
      <c r="UDZ122" s="41"/>
      <c r="UEA122" s="41"/>
      <c r="UEB122" s="41"/>
      <c r="UEC122" s="41"/>
      <c r="UED122" s="41"/>
      <c r="UEE122" s="41"/>
      <c r="UEF122" s="41"/>
      <c r="UEG122" s="41"/>
      <c r="UEH122" s="41"/>
      <c r="UEI122" s="41"/>
      <c r="UEJ122" s="41"/>
      <c r="UEK122" s="41"/>
      <c r="UEL122" s="41"/>
      <c r="UEM122" s="41"/>
      <c r="UEN122" s="41"/>
      <c r="UEO122" s="41"/>
      <c r="UEP122" s="41"/>
      <c r="UEQ122" s="41"/>
      <c r="UER122" s="41"/>
      <c r="UES122" s="41"/>
      <c r="UET122" s="41"/>
      <c r="UEU122" s="41"/>
      <c r="UEV122" s="41"/>
      <c r="UEW122" s="41"/>
      <c r="UEX122" s="41"/>
      <c r="UEY122" s="41"/>
      <c r="UEZ122" s="41"/>
      <c r="UFA122" s="41"/>
      <c r="UFB122" s="41"/>
      <c r="UFC122" s="41"/>
      <c r="UFD122" s="41"/>
      <c r="UFE122" s="41"/>
      <c r="UFF122" s="41"/>
      <c r="UFG122" s="41"/>
      <c r="UFH122" s="41"/>
      <c r="UFI122" s="41"/>
      <c r="UFJ122" s="41"/>
      <c r="UFK122" s="41"/>
      <c r="UFL122" s="41"/>
      <c r="UFM122" s="41"/>
      <c r="UFN122" s="41"/>
      <c r="UFO122" s="41"/>
      <c r="UFP122" s="41"/>
      <c r="UFQ122" s="41"/>
      <c r="UFR122" s="41"/>
      <c r="UFS122" s="41"/>
      <c r="UFT122" s="41"/>
      <c r="UFU122" s="41"/>
      <c r="UFV122" s="41"/>
      <c r="UFW122" s="41"/>
      <c r="UFX122" s="41"/>
      <c r="UFY122" s="41"/>
      <c r="UFZ122" s="41"/>
      <c r="UGA122" s="41"/>
      <c r="UGB122" s="41"/>
      <c r="UGC122" s="41"/>
      <c r="UGD122" s="41"/>
      <c r="UGE122" s="41"/>
      <c r="UGF122" s="41"/>
      <c r="UGG122" s="41"/>
      <c r="UGH122" s="41"/>
      <c r="UGI122" s="41"/>
      <c r="UGJ122" s="41"/>
      <c r="UGK122" s="41"/>
      <c r="UGL122" s="41"/>
      <c r="UGM122" s="41"/>
      <c r="UGN122" s="41"/>
      <c r="UGO122" s="41"/>
      <c r="UGP122" s="41"/>
      <c r="UGQ122" s="41"/>
      <c r="UGR122" s="41"/>
      <c r="UGS122" s="41"/>
      <c r="UGT122" s="41"/>
      <c r="UGU122" s="41"/>
      <c r="UGV122" s="41"/>
      <c r="UGW122" s="41"/>
      <c r="UGX122" s="41"/>
      <c r="UGY122" s="41"/>
      <c r="UGZ122" s="41"/>
      <c r="UHA122" s="41"/>
      <c r="UHB122" s="41"/>
      <c r="UHC122" s="41"/>
      <c r="UHD122" s="41"/>
      <c r="UHE122" s="41"/>
      <c r="UHF122" s="41"/>
      <c r="UHG122" s="41"/>
      <c r="UHH122" s="41"/>
      <c r="UHI122" s="41"/>
      <c r="UHJ122" s="41"/>
      <c r="UHK122" s="41"/>
      <c r="UHL122" s="41"/>
      <c r="UHM122" s="41"/>
      <c r="UHN122" s="41"/>
      <c r="UHO122" s="41"/>
      <c r="UHP122" s="41"/>
      <c r="UHQ122" s="41"/>
      <c r="UHR122" s="41"/>
      <c r="UHS122" s="41"/>
      <c r="UHT122" s="41"/>
      <c r="UHU122" s="41"/>
      <c r="UHV122" s="41"/>
      <c r="UHW122" s="41"/>
      <c r="UHX122" s="41"/>
      <c r="UHY122" s="41"/>
      <c r="UHZ122" s="41"/>
      <c r="UIA122" s="41"/>
      <c r="UIB122" s="41"/>
      <c r="UIC122" s="41"/>
      <c r="UID122" s="41"/>
      <c r="UIE122" s="41"/>
      <c r="UIF122" s="41"/>
      <c r="UIG122" s="41"/>
      <c r="UIH122" s="41"/>
      <c r="UII122" s="41"/>
      <c r="UIJ122" s="41"/>
      <c r="UIK122" s="41"/>
      <c r="UIL122" s="41"/>
      <c r="UIM122" s="41"/>
      <c r="UIN122" s="41"/>
      <c r="UIO122" s="41"/>
      <c r="UIP122" s="41"/>
      <c r="UIQ122" s="41"/>
      <c r="UIR122" s="41"/>
      <c r="UIS122" s="41"/>
      <c r="UIT122" s="41"/>
      <c r="UIU122" s="41"/>
      <c r="UIV122" s="41"/>
      <c r="UIW122" s="41"/>
      <c r="UIX122" s="41"/>
      <c r="UIY122" s="41"/>
      <c r="UIZ122" s="41"/>
      <c r="UJA122" s="41"/>
      <c r="UJB122" s="41"/>
      <c r="UJC122" s="41"/>
      <c r="UJD122" s="41"/>
      <c r="UJE122" s="41"/>
      <c r="UJF122" s="41"/>
      <c r="UJG122" s="41"/>
      <c r="UJH122" s="41"/>
      <c r="UJI122" s="41"/>
      <c r="UJJ122" s="41"/>
      <c r="UJK122" s="41"/>
      <c r="UJL122" s="41"/>
      <c r="UJM122" s="41"/>
      <c r="UJN122" s="41"/>
      <c r="UJO122" s="41"/>
      <c r="UJP122" s="41"/>
      <c r="UJQ122" s="41"/>
      <c r="UJR122" s="41"/>
      <c r="UJS122" s="41"/>
      <c r="UJT122" s="41"/>
      <c r="UJU122" s="41"/>
      <c r="UJV122" s="41"/>
      <c r="UJW122" s="41"/>
      <c r="UJX122" s="41"/>
      <c r="UJY122" s="41"/>
      <c r="UJZ122" s="41"/>
      <c r="UKA122" s="41"/>
      <c r="UKB122" s="41"/>
      <c r="UKC122" s="41"/>
      <c r="UKD122" s="41"/>
      <c r="UKE122" s="41"/>
      <c r="UKF122" s="41"/>
      <c r="UKG122" s="41"/>
      <c r="UKH122" s="41"/>
      <c r="UKI122" s="41"/>
      <c r="UKJ122" s="41"/>
      <c r="UKK122" s="41"/>
      <c r="UKL122" s="41"/>
      <c r="UKM122" s="41"/>
      <c r="UKN122" s="41"/>
      <c r="UKO122" s="41"/>
      <c r="UKP122" s="41"/>
      <c r="UKQ122" s="41"/>
      <c r="UKR122" s="41"/>
      <c r="UKS122" s="41"/>
      <c r="UKT122" s="41"/>
      <c r="UKU122" s="41"/>
      <c r="UKV122" s="41"/>
      <c r="UKW122" s="41"/>
      <c r="UKX122" s="41"/>
      <c r="UKY122" s="41"/>
      <c r="UKZ122" s="41"/>
      <c r="ULA122" s="41"/>
      <c r="ULB122" s="41"/>
      <c r="ULC122" s="41"/>
      <c r="ULD122" s="41"/>
      <c r="ULE122" s="41"/>
      <c r="ULF122" s="41"/>
      <c r="ULG122" s="41"/>
      <c r="ULH122" s="41"/>
      <c r="ULI122" s="41"/>
      <c r="ULJ122" s="41"/>
      <c r="ULK122" s="41"/>
      <c r="ULL122" s="41"/>
      <c r="ULM122" s="41"/>
      <c r="ULN122" s="41"/>
      <c r="ULO122" s="41"/>
      <c r="ULP122" s="41"/>
      <c r="ULQ122" s="41"/>
      <c r="ULR122" s="41"/>
      <c r="ULS122" s="41"/>
      <c r="ULT122" s="41"/>
      <c r="ULU122" s="41"/>
      <c r="ULV122" s="41"/>
      <c r="ULW122" s="41"/>
      <c r="ULX122" s="41"/>
      <c r="ULY122" s="41"/>
      <c r="ULZ122" s="41"/>
      <c r="UMA122" s="41"/>
      <c r="UMB122" s="41"/>
      <c r="UMC122" s="41"/>
      <c r="UMD122" s="41"/>
      <c r="UME122" s="41"/>
      <c r="UMF122" s="41"/>
      <c r="UMG122" s="41"/>
      <c r="UMH122" s="41"/>
      <c r="UMI122" s="41"/>
      <c r="UMJ122" s="41"/>
      <c r="UMK122" s="41"/>
      <c r="UML122" s="41"/>
      <c r="UMM122" s="41"/>
      <c r="UMN122" s="41"/>
      <c r="UMO122" s="41"/>
      <c r="UMP122" s="41"/>
      <c r="UMQ122" s="41"/>
      <c r="UMR122" s="41"/>
      <c r="UMS122" s="41"/>
      <c r="UMT122" s="41"/>
      <c r="UMU122" s="41"/>
      <c r="UMV122" s="41"/>
      <c r="UMW122" s="41"/>
      <c r="UMX122" s="41"/>
      <c r="UMY122" s="41"/>
      <c r="UMZ122" s="41"/>
      <c r="UNA122" s="41"/>
      <c r="UNB122" s="41"/>
      <c r="UNC122" s="41"/>
      <c r="UND122" s="41"/>
      <c r="UNE122" s="41"/>
      <c r="UNF122" s="41"/>
      <c r="UNG122" s="41"/>
      <c r="UNH122" s="41"/>
      <c r="UNI122" s="41"/>
      <c r="UNJ122" s="41"/>
      <c r="UNK122" s="41"/>
      <c r="UNL122" s="41"/>
      <c r="UNM122" s="41"/>
      <c r="UNN122" s="41"/>
      <c r="UNO122" s="41"/>
      <c r="UNP122" s="41"/>
      <c r="UNQ122" s="41"/>
      <c r="UNR122" s="41"/>
      <c r="UNS122" s="41"/>
      <c r="UNT122" s="41"/>
      <c r="UNU122" s="41"/>
      <c r="UNV122" s="41"/>
      <c r="UNW122" s="41"/>
      <c r="UNX122" s="41"/>
      <c r="UNY122" s="41"/>
      <c r="UNZ122" s="41"/>
      <c r="UOA122" s="41"/>
      <c r="UOB122" s="41"/>
      <c r="UOC122" s="41"/>
      <c r="UOD122" s="41"/>
      <c r="UOE122" s="41"/>
      <c r="UOF122" s="41"/>
      <c r="UOG122" s="41"/>
      <c r="UOH122" s="41"/>
      <c r="UOI122" s="41"/>
      <c r="UOJ122" s="41"/>
      <c r="UOK122" s="41"/>
      <c r="UOL122" s="41"/>
      <c r="UOM122" s="41"/>
      <c r="UON122" s="41"/>
      <c r="UOO122" s="41"/>
      <c r="UOP122" s="41"/>
      <c r="UOQ122" s="41"/>
      <c r="UOR122" s="41"/>
      <c r="UOS122" s="41"/>
      <c r="UOT122" s="41"/>
      <c r="UOU122" s="41"/>
      <c r="UOV122" s="41"/>
      <c r="UOW122" s="41"/>
      <c r="UOX122" s="41"/>
      <c r="UOY122" s="41"/>
      <c r="UOZ122" s="41"/>
      <c r="UPA122" s="41"/>
      <c r="UPB122" s="41"/>
      <c r="UPC122" s="41"/>
      <c r="UPD122" s="41"/>
      <c r="UPE122" s="41"/>
      <c r="UPF122" s="41"/>
      <c r="UPG122" s="41"/>
      <c r="UPH122" s="41"/>
      <c r="UPI122" s="41"/>
      <c r="UPJ122" s="41"/>
      <c r="UPK122" s="41"/>
      <c r="UPL122" s="41"/>
      <c r="UPM122" s="41"/>
      <c r="UPN122" s="41"/>
      <c r="UPO122" s="41"/>
      <c r="UPP122" s="41"/>
      <c r="UPQ122" s="41"/>
      <c r="UPR122" s="41"/>
      <c r="UPS122" s="41"/>
      <c r="UPT122" s="41"/>
      <c r="UPU122" s="41"/>
      <c r="UPV122" s="41"/>
      <c r="UPW122" s="41"/>
      <c r="UPX122" s="41"/>
      <c r="UPY122" s="41"/>
      <c r="UPZ122" s="41"/>
      <c r="UQA122" s="41"/>
      <c r="UQB122" s="41"/>
      <c r="UQC122" s="41"/>
      <c r="UQD122" s="41"/>
      <c r="UQE122" s="41"/>
      <c r="UQF122" s="41"/>
      <c r="UQG122" s="41"/>
      <c r="UQH122" s="41"/>
      <c r="UQI122" s="41"/>
      <c r="UQJ122" s="41"/>
      <c r="UQK122" s="41"/>
      <c r="UQL122" s="41"/>
      <c r="UQM122" s="41"/>
      <c r="UQN122" s="41"/>
      <c r="UQO122" s="41"/>
      <c r="UQP122" s="41"/>
      <c r="UQQ122" s="41"/>
      <c r="UQR122" s="41"/>
      <c r="UQS122" s="41"/>
      <c r="UQT122" s="41"/>
      <c r="UQU122" s="41"/>
      <c r="UQV122" s="41"/>
      <c r="UQW122" s="41"/>
      <c r="UQX122" s="41"/>
      <c r="UQY122" s="41"/>
      <c r="UQZ122" s="41"/>
      <c r="URA122" s="41"/>
      <c r="URB122" s="41"/>
      <c r="URC122" s="41"/>
      <c r="URD122" s="41"/>
      <c r="URE122" s="41"/>
      <c r="URF122" s="41"/>
      <c r="URG122" s="41"/>
      <c r="URH122" s="41"/>
      <c r="URI122" s="41"/>
      <c r="URJ122" s="41"/>
      <c r="URK122" s="41"/>
      <c r="URL122" s="41"/>
      <c r="URM122" s="41"/>
      <c r="URN122" s="41"/>
      <c r="URO122" s="41"/>
      <c r="URP122" s="41"/>
      <c r="URQ122" s="41"/>
      <c r="URR122" s="41"/>
      <c r="URS122" s="41"/>
      <c r="URT122" s="41"/>
      <c r="URU122" s="41"/>
      <c r="URV122" s="41"/>
      <c r="URW122" s="41"/>
      <c r="URX122" s="41"/>
      <c r="URY122" s="41"/>
      <c r="URZ122" s="41"/>
      <c r="USA122" s="41"/>
      <c r="USB122" s="41"/>
      <c r="USC122" s="41"/>
      <c r="USD122" s="41"/>
      <c r="USE122" s="41"/>
      <c r="USF122" s="41"/>
      <c r="USG122" s="41"/>
      <c r="USH122" s="41"/>
      <c r="USI122" s="41"/>
      <c r="USJ122" s="41"/>
      <c r="USK122" s="41"/>
      <c r="USL122" s="41"/>
      <c r="USM122" s="41"/>
      <c r="USN122" s="41"/>
      <c r="USO122" s="41"/>
      <c r="USP122" s="41"/>
      <c r="USQ122" s="41"/>
      <c r="USR122" s="41"/>
      <c r="USS122" s="41"/>
      <c r="UST122" s="41"/>
      <c r="USU122" s="41"/>
      <c r="USV122" s="41"/>
      <c r="USW122" s="41"/>
      <c r="USX122" s="41"/>
      <c r="USY122" s="41"/>
      <c r="USZ122" s="41"/>
      <c r="UTA122" s="41"/>
      <c r="UTB122" s="41"/>
      <c r="UTC122" s="41"/>
      <c r="UTD122" s="41"/>
      <c r="UTE122" s="41"/>
      <c r="UTF122" s="41"/>
      <c r="UTG122" s="41"/>
      <c r="UTH122" s="41"/>
      <c r="UTI122" s="41"/>
      <c r="UTJ122" s="41"/>
      <c r="UTK122" s="41"/>
      <c r="UTL122" s="41"/>
      <c r="UTM122" s="41"/>
      <c r="UTN122" s="41"/>
      <c r="UTO122" s="41"/>
      <c r="UTP122" s="41"/>
      <c r="UTQ122" s="41"/>
      <c r="UTR122" s="41"/>
      <c r="UTS122" s="41"/>
      <c r="UTT122" s="41"/>
      <c r="UTU122" s="41"/>
      <c r="UTV122" s="41"/>
      <c r="UTW122" s="41"/>
      <c r="UTX122" s="41"/>
      <c r="UTY122" s="41"/>
      <c r="UTZ122" s="41"/>
      <c r="UUA122" s="41"/>
      <c r="UUB122" s="41"/>
      <c r="UUC122" s="41"/>
      <c r="UUD122" s="41"/>
      <c r="UUE122" s="41"/>
      <c r="UUF122" s="41"/>
      <c r="UUG122" s="41"/>
      <c r="UUH122" s="41"/>
      <c r="UUI122" s="41"/>
      <c r="UUJ122" s="41"/>
      <c r="UUK122" s="41"/>
      <c r="UUL122" s="41"/>
      <c r="UUM122" s="41"/>
      <c r="UUN122" s="41"/>
      <c r="UUO122" s="41"/>
      <c r="UUP122" s="41"/>
      <c r="UUQ122" s="41"/>
      <c r="UUR122" s="41"/>
      <c r="UUS122" s="41"/>
      <c r="UUT122" s="41"/>
      <c r="UUU122" s="41"/>
      <c r="UUV122" s="41"/>
      <c r="UUW122" s="41"/>
      <c r="UUX122" s="41"/>
      <c r="UUY122" s="41"/>
      <c r="UUZ122" s="41"/>
      <c r="UVA122" s="41"/>
      <c r="UVB122" s="41"/>
      <c r="UVC122" s="41"/>
      <c r="UVD122" s="41"/>
      <c r="UVE122" s="41"/>
      <c r="UVF122" s="41"/>
      <c r="UVG122" s="41"/>
      <c r="UVH122" s="41"/>
      <c r="UVI122" s="41"/>
      <c r="UVJ122" s="41"/>
      <c r="UVK122" s="41"/>
      <c r="UVL122" s="41"/>
      <c r="UVM122" s="41"/>
      <c r="UVN122" s="41"/>
      <c r="UVO122" s="41"/>
      <c r="UVP122" s="41"/>
      <c r="UVQ122" s="41"/>
      <c r="UVR122" s="41"/>
      <c r="UVS122" s="41"/>
      <c r="UVT122" s="41"/>
      <c r="UVU122" s="41"/>
      <c r="UVV122" s="41"/>
      <c r="UVW122" s="41"/>
      <c r="UVX122" s="41"/>
      <c r="UVY122" s="41"/>
      <c r="UVZ122" s="41"/>
      <c r="UWA122" s="41"/>
      <c r="UWB122" s="41"/>
      <c r="UWC122" s="41"/>
      <c r="UWD122" s="41"/>
      <c r="UWE122" s="41"/>
      <c r="UWF122" s="41"/>
      <c r="UWG122" s="41"/>
      <c r="UWH122" s="41"/>
      <c r="UWI122" s="41"/>
      <c r="UWJ122" s="41"/>
      <c r="UWK122" s="41"/>
      <c r="UWL122" s="41"/>
      <c r="UWM122" s="41"/>
      <c r="UWN122" s="41"/>
      <c r="UWO122" s="41"/>
      <c r="UWP122" s="41"/>
      <c r="UWQ122" s="41"/>
      <c r="UWR122" s="41"/>
      <c r="UWS122" s="41"/>
      <c r="UWT122" s="41"/>
      <c r="UWU122" s="41"/>
      <c r="UWV122" s="41"/>
      <c r="UWW122" s="41"/>
      <c r="UWX122" s="41"/>
      <c r="UWY122" s="41"/>
      <c r="UWZ122" s="41"/>
      <c r="UXA122" s="41"/>
      <c r="UXB122" s="41"/>
      <c r="UXC122" s="41"/>
      <c r="UXD122" s="41"/>
      <c r="UXE122" s="41"/>
      <c r="UXF122" s="41"/>
      <c r="UXG122" s="41"/>
      <c r="UXH122" s="41"/>
      <c r="UXI122" s="41"/>
      <c r="UXJ122" s="41"/>
      <c r="UXK122" s="41"/>
      <c r="UXL122" s="41"/>
      <c r="UXM122" s="41"/>
      <c r="UXN122" s="41"/>
      <c r="UXO122" s="41"/>
      <c r="UXP122" s="41"/>
      <c r="UXQ122" s="41"/>
      <c r="UXR122" s="41"/>
      <c r="UXS122" s="41"/>
      <c r="UXT122" s="41"/>
      <c r="UXU122" s="41"/>
      <c r="UXV122" s="41"/>
      <c r="UXW122" s="41"/>
      <c r="UXX122" s="41"/>
      <c r="UXY122" s="41"/>
      <c r="UXZ122" s="41"/>
      <c r="UYA122" s="41"/>
      <c r="UYB122" s="41"/>
      <c r="UYC122" s="41"/>
      <c r="UYD122" s="41"/>
      <c r="UYE122" s="41"/>
      <c r="UYF122" s="41"/>
      <c r="UYG122" s="41"/>
      <c r="UYH122" s="41"/>
      <c r="UYI122" s="41"/>
      <c r="UYJ122" s="41"/>
      <c r="UYK122" s="41"/>
      <c r="UYL122" s="41"/>
      <c r="UYM122" s="41"/>
      <c r="UYN122" s="41"/>
      <c r="UYO122" s="41"/>
      <c r="UYP122" s="41"/>
      <c r="UYQ122" s="41"/>
      <c r="UYR122" s="41"/>
      <c r="UYS122" s="41"/>
      <c r="UYT122" s="41"/>
      <c r="UYU122" s="41"/>
      <c r="UYV122" s="41"/>
      <c r="UYW122" s="41"/>
      <c r="UYX122" s="41"/>
      <c r="UYY122" s="41"/>
      <c r="UYZ122" s="41"/>
      <c r="UZA122" s="41"/>
      <c r="UZB122" s="41"/>
      <c r="UZC122" s="41"/>
      <c r="UZD122" s="41"/>
      <c r="UZE122" s="41"/>
      <c r="UZF122" s="41"/>
      <c r="UZG122" s="41"/>
      <c r="UZH122" s="41"/>
      <c r="UZI122" s="41"/>
      <c r="UZJ122" s="41"/>
      <c r="UZK122" s="41"/>
      <c r="UZL122" s="41"/>
      <c r="UZM122" s="41"/>
      <c r="UZN122" s="41"/>
      <c r="UZO122" s="41"/>
      <c r="UZP122" s="41"/>
      <c r="UZQ122" s="41"/>
      <c r="UZR122" s="41"/>
      <c r="UZS122" s="41"/>
      <c r="UZT122" s="41"/>
      <c r="UZU122" s="41"/>
      <c r="UZV122" s="41"/>
      <c r="UZW122" s="41"/>
      <c r="UZX122" s="41"/>
      <c r="UZY122" s="41"/>
      <c r="UZZ122" s="41"/>
      <c r="VAA122" s="41"/>
      <c r="VAB122" s="41"/>
      <c r="VAC122" s="41"/>
      <c r="VAD122" s="41"/>
      <c r="VAE122" s="41"/>
      <c r="VAF122" s="41"/>
      <c r="VAG122" s="41"/>
      <c r="VAH122" s="41"/>
      <c r="VAI122" s="41"/>
      <c r="VAJ122" s="41"/>
      <c r="VAK122" s="41"/>
      <c r="VAL122" s="41"/>
      <c r="VAM122" s="41"/>
      <c r="VAN122" s="41"/>
      <c r="VAO122" s="41"/>
      <c r="VAP122" s="41"/>
      <c r="VAQ122" s="41"/>
      <c r="VAR122" s="41"/>
      <c r="VAS122" s="41"/>
      <c r="VAT122" s="41"/>
      <c r="VAU122" s="41"/>
      <c r="VAV122" s="41"/>
      <c r="VAW122" s="41"/>
      <c r="VAX122" s="41"/>
      <c r="VAY122" s="41"/>
      <c r="VAZ122" s="41"/>
      <c r="VBA122" s="41"/>
      <c r="VBB122" s="41"/>
      <c r="VBC122" s="41"/>
      <c r="VBD122" s="41"/>
      <c r="VBE122" s="41"/>
      <c r="VBF122" s="41"/>
      <c r="VBG122" s="41"/>
      <c r="VBH122" s="41"/>
      <c r="VBI122" s="41"/>
      <c r="VBJ122" s="41"/>
      <c r="VBK122" s="41"/>
      <c r="VBL122" s="41"/>
      <c r="VBM122" s="41"/>
      <c r="VBN122" s="41"/>
      <c r="VBO122" s="41"/>
      <c r="VBP122" s="41"/>
      <c r="VBQ122" s="41"/>
      <c r="VBR122" s="41"/>
      <c r="VBS122" s="41"/>
      <c r="VBT122" s="41"/>
      <c r="VBU122" s="41"/>
      <c r="VBV122" s="41"/>
      <c r="VBW122" s="41"/>
      <c r="VBX122" s="41"/>
      <c r="VBY122" s="41"/>
      <c r="VBZ122" s="41"/>
      <c r="VCA122" s="41"/>
      <c r="VCB122" s="41"/>
      <c r="VCC122" s="41"/>
      <c r="VCD122" s="41"/>
      <c r="VCE122" s="41"/>
      <c r="VCF122" s="41"/>
      <c r="VCG122" s="41"/>
      <c r="VCH122" s="41"/>
      <c r="VCI122" s="41"/>
      <c r="VCJ122" s="41"/>
      <c r="VCK122" s="41"/>
      <c r="VCL122" s="41"/>
      <c r="VCM122" s="41"/>
      <c r="VCN122" s="41"/>
      <c r="VCO122" s="41"/>
      <c r="VCP122" s="41"/>
      <c r="VCQ122" s="41"/>
      <c r="VCR122" s="41"/>
      <c r="VCS122" s="41"/>
      <c r="VCT122" s="41"/>
      <c r="VCU122" s="41"/>
      <c r="VCV122" s="41"/>
      <c r="VCW122" s="41"/>
      <c r="VCX122" s="41"/>
      <c r="VCY122" s="41"/>
      <c r="VCZ122" s="41"/>
      <c r="VDA122" s="41"/>
      <c r="VDB122" s="41"/>
      <c r="VDC122" s="41"/>
      <c r="VDD122" s="41"/>
      <c r="VDE122" s="41"/>
      <c r="VDF122" s="41"/>
      <c r="VDG122" s="41"/>
      <c r="VDH122" s="41"/>
      <c r="VDI122" s="41"/>
      <c r="VDJ122" s="41"/>
      <c r="VDK122" s="41"/>
      <c r="VDL122" s="41"/>
      <c r="VDM122" s="41"/>
      <c r="VDN122" s="41"/>
      <c r="VDO122" s="41"/>
      <c r="VDP122" s="41"/>
      <c r="VDQ122" s="41"/>
      <c r="VDR122" s="41"/>
      <c r="VDS122" s="41"/>
      <c r="VDT122" s="41"/>
      <c r="VDU122" s="41"/>
      <c r="VDV122" s="41"/>
      <c r="VDW122" s="41"/>
      <c r="VDX122" s="41"/>
      <c r="VDY122" s="41"/>
      <c r="VDZ122" s="41"/>
      <c r="VEA122" s="41"/>
      <c r="VEB122" s="41"/>
      <c r="VEC122" s="41"/>
      <c r="VED122" s="41"/>
      <c r="VEE122" s="41"/>
      <c r="VEF122" s="41"/>
      <c r="VEG122" s="41"/>
      <c r="VEH122" s="41"/>
      <c r="VEI122" s="41"/>
      <c r="VEJ122" s="41"/>
      <c r="VEK122" s="41"/>
      <c r="VEL122" s="41"/>
      <c r="VEM122" s="41"/>
      <c r="VEN122" s="41"/>
      <c r="VEO122" s="41"/>
      <c r="VEP122" s="41"/>
      <c r="VEQ122" s="41"/>
      <c r="VER122" s="41"/>
      <c r="VES122" s="41"/>
      <c r="VET122" s="41"/>
      <c r="VEU122" s="41"/>
      <c r="VEV122" s="41"/>
      <c r="VEW122" s="41"/>
      <c r="VEX122" s="41"/>
      <c r="VEY122" s="41"/>
      <c r="VEZ122" s="41"/>
      <c r="VFA122" s="41"/>
      <c r="VFB122" s="41"/>
      <c r="VFC122" s="41"/>
      <c r="VFD122" s="41"/>
      <c r="VFE122" s="41"/>
      <c r="VFF122" s="41"/>
      <c r="VFG122" s="41"/>
      <c r="VFH122" s="41"/>
      <c r="VFI122" s="41"/>
      <c r="VFJ122" s="41"/>
      <c r="VFK122" s="41"/>
      <c r="VFL122" s="41"/>
      <c r="VFM122" s="41"/>
      <c r="VFN122" s="41"/>
      <c r="VFO122" s="41"/>
      <c r="VFP122" s="41"/>
      <c r="VFQ122" s="41"/>
      <c r="VFR122" s="41"/>
      <c r="VFS122" s="41"/>
      <c r="VFT122" s="41"/>
      <c r="VFU122" s="41"/>
      <c r="VFV122" s="41"/>
      <c r="VFW122" s="41"/>
      <c r="VFX122" s="41"/>
      <c r="VFY122" s="41"/>
      <c r="VFZ122" s="41"/>
      <c r="VGA122" s="41"/>
      <c r="VGB122" s="41"/>
      <c r="VGC122" s="41"/>
      <c r="VGD122" s="41"/>
      <c r="VGE122" s="41"/>
      <c r="VGF122" s="41"/>
      <c r="VGG122" s="41"/>
      <c r="VGH122" s="41"/>
      <c r="VGI122" s="41"/>
      <c r="VGJ122" s="41"/>
      <c r="VGK122" s="41"/>
      <c r="VGL122" s="41"/>
      <c r="VGM122" s="41"/>
      <c r="VGN122" s="41"/>
      <c r="VGO122" s="41"/>
      <c r="VGP122" s="41"/>
      <c r="VGQ122" s="41"/>
      <c r="VGR122" s="41"/>
      <c r="VGS122" s="41"/>
      <c r="VGT122" s="41"/>
      <c r="VGU122" s="41"/>
      <c r="VGV122" s="41"/>
      <c r="VGW122" s="41"/>
      <c r="VGX122" s="41"/>
      <c r="VGY122" s="41"/>
      <c r="VGZ122" s="41"/>
      <c r="VHA122" s="41"/>
      <c r="VHB122" s="41"/>
      <c r="VHC122" s="41"/>
      <c r="VHD122" s="41"/>
      <c r="VHE122" s="41"/>
      <c r="VHF122" s="41"/>
      <c r="VHG122" s="41"/>
      <c r="VHH122" s="41"/>
      <c r="VHI122" s="41"/>
      <c r="VHJ122" s="41"/>
      <c r="VHK122" s="41"/>
      <c r="VHL122" s="41"/>
      <c r="VHM122" s="41"/>
      <c r="VHN122" s="41"/>
      <c r="VHO122" s="41"/>
      <c r="VHP122" s="41"/>
      <c r="VHQ122" s="41"/>
      <c r="VHR122" s="41"/>
      <c r="VHS122" s="41"/>
      <c r="VHT122" s="41"/>
      <c r="VHU122" s="41"/>
      <c r="VHV122" s="41"/>
      <c r="VHW122" s="41"/>
      <c r="VHX122" s="41"/>
      <c r="VHY122" s="41"/>
      <c r="VHZ122" s="41"/>
      <c r="VIA122" s="41"/>
      <c r="VIB122" s="41"/>
      <c r="VIC122" s="41"/>
      <c r="VID122" s="41"/>
      <c r="VIE122" s="41"/>
      <c r="VIF122" s="41"/>
      <c r="VIG122" s="41"/>
      <c r="VIH122" s="41"/>
      <c r="VII122" s="41"/>
      <c r="VIJ122" s="41"/>
      <c r="VIK122" s="41"/>
      <c r="VIL122" s="41"/>
      <c r="VIM122" s="41"/>
      <c r="VIN122" s="41"/>
      <c r="VIO122" s="41"/>
      <c r="VIP122" s="41"/>
      <c r="VIQ122" s="41"/>
      <c r="VIR122" s="41"/>
      <c r="VIS122" s="41"/>
      <c r="VIT122" s="41"/>
      <c r="VIU122" s="41"/>
      <c r="VIV122" s="41"/>
      <c r="VIW122" s="41"/>
      <c r="VIX122" s="41"/>
      <c r="VIY122" s="41"/>
      <c r="VIZ122" s="41"/>
      <c r="VJA122" s="41"/>
      <c r="VJB122" s="41"/>
      <c r="VJC122" s="41"/>
      <c r="VJD122" s="41"/>
      <c r="VJE122" s="41"/>
      <c r="VJF122" s="41"/>
      <c r="VJG122" s="41"/>
      <c r="VJH122" s="41"/>
      <c r="VJI122" s="41"/>
      <c r="VJJ122" s="41"/>
      <c r="VJK122" s="41"/>
      <c r="VJL122" s="41"/>
      <c r="VJM122" s="41"/>
      <c r="VJN122" s="41"/>
      <c r="VJO122" s="41"/>
      <c r="VJP122" s="41"/>
      <c r="VJQ122" s="41"/>
      <c r="VJR122" s="41"/>
      <c r="VJS122" s="41"/>
      <c r="VJT122" s="41"/>
      <c r="VJU122" s="41"/>
      <c r="VJV122" s="41"/>
      <c r="VJW122" s="41"/>
      <c r="VJX122" s="41"/>
      <c r="VJY122" s="41"/>
      <c r="VJZ122" s="41"/>
      <c r="VKA122" s="41"/>
      <c r="VKB122" s="41"/>
      <c r="VKC122" s="41"/>
      <c r="VKD122" s="41"/>
      <c r="VKE122" s="41"/>
      <c r="VKF122" s="41"/>
      <c r="VKG122" s="41"/>
      <c r="VKH122" s="41"/>
      <c r="VKI122" s="41"/>
      <c r="VKJ122" s="41"/>
      <c r="VKK122" s="41"/>
      <c r="VKL122" s="41"/>
      <c r="VKM122" s="41"/>
      <c r="VKN122" s="41"/>
      <c r="VKO122" s="41"/>
      <c r="VKP122" s="41"/>
      <c r="VKQ122" s="41"/>
      <c r="VKR122" s="41"/>
      <c r="VKS122" s="41"/>
      <c r="VKT122" s="41"/>
      <c r="VKU122" s="41"/>
      <c r="VKV122" s="41"/>
      <c r="VKW122" s="41"/>
      <c r="VKX122" s="41"/>
      <c r="VKY122" s="41"/>
      <c r="VKZ122" s="41"/>
      <c r="VLA122" s="41"/>
      <c r="VLB122" s="41"/>
      <c r="VLC122" s="41"/>
      <c r="VLD122" s="41"/>
      <c r="VLE122" s="41"/>
      <c r="VLF122" s="41"/>
      <c r="VLG122" s="41"/>
      <c r="VLH122" s="41"/>
      <c r="VLI122" s="41"/>
      <c r="VLJ122" s="41"/>
      <c r="VLK122" s="41"/>
      <c r="VLL122" s="41"/>
      <c r="VLM122" s="41"/>
      <c r="VLN122" s="41"/>
      <c r="VLO122" s="41"/>
      <c r="VLP122" s="41"/>
      <c r="VLQ122" s="41"/>
      <c r="VLR122" s="41"/>
      <c r="VLS122" s="41"/>
      <c r="VLT122" s="41"/>
      <c r="VLU122" s="41"/>
      <c r="VLV122" s="41"/>
      <c r="VLW122" s="41"/>
      <c r="VLX122" s="41"/>
      <c r="VLY122" s="41"/>
      <c r="VLZ122" s="41"/>
      <c r="VMA122" s="41"/>
      <c r="VMB122" s="41"/>
      <c r="VMC122" s="41"/>
      <c r="VMD122" s="41"/>
      <c r="VME122" s="41"/>
      <c r="VMF122" s="41"/>
      <c r="VMG122" s="41"/>
      <c r="VMH122" s="41"/>
      <c r="VMI122" s="41"/>
      <c r="VMJ122" s="41"/>
      <c r="VMK122" s="41"/>
      <c r="VML122" s="41"/>
      <c r="VMM122" s="41"/>
      <c r="VMN122" s="41"/>
      <c r="VMO122" s="41"/>
      <c r="VMP122" s="41"/>
      <c r="VMQ122" s="41"/>
      <c r="VMR122" s="41"/>
      <c r="VMS122" s="41"/>
      <c r="VMT122" s="41"/>
      <c r="VMU122" s="41"/>
      <c r="VMV122" s="41"/>
      <c r="VMW122" s="41"/>
      <c r="VMX122" s="41"/>
      <c r="VMY122" s="41"/>
      <c r="VMZ122" s="41"/>
      <c r="VNA122" s="41"/>
      <c r="VNB122" s="41"/>
      <c r="VNC122" s="41"/>
      <c r="VND122" s="41"/>
      <c r="VNE122" s="41"/>
      <c r="VNF122" s="41"/>
      <c r="VNG122" s="41"/>
      <c r="VNH122" s="41"/>
      <c r="VNI122" s="41"/>
      <c r="VNJ122" s="41"/>
      <c r="VNK122" s="41"/>
      <c r="VNL122" s="41"/>
      <c r="VNM122" s="41"/>
      <c r="VNN122" s="41"/>
      <c r="VNO122" s="41"/>
      <c r="VNP122" s="41"/>
      <c r="VNQ122" s="41"/>
      <c r="VNR122" s="41"/>
      <c r="VNS122" s="41"/>
      <c r="VNT122" s="41"/>
      <c r="VNU122" s="41"/>
      <c r="VNV122" s="41"/>
      <c r="VNW122" s="41"/>
      <c r="VNX122" s="41"/>
      <c r="VNY122" s="41"/>
      <c r="VNZ122" s="41"/>
      <c r="VOA122" s="41"/>
      <c r="VOB122" s="41"/>
      <c r="VOC122" s="41"/>
      <c r="VOD122" s="41"/>
      <c r="VOE122" s="41"/>
      <c r="VOF122" s="41"/>
      <c r="VOG122" s="41"/>
      <c r="VOH122" s="41"/>
      <c r="VOI122" s="41"/>
      <c r="VOJ122" s="41"/>
      <c r="VOK122" s="41"/>
      <c r="VOL122" s="41"/>
      <c r="VOM122" s="41"/>
      <c r="VON122" s="41"/>
      <c r="VOO122" s="41"/>
      <c r="VOP122" s="41"/>
      <c r="VOQ122" s="41"/>
      <c r="VOR122" s="41"/>
      <c r="VOS122" s="41"/>
      <c r="VOT122" s="41"/>
      <c r="VOU122" s="41"/>
      <c r="VOV122" s="41"/>
      <c r="VOW122" s="41"/>
      <c r="VOX122" s="41"/>
      <c r="VOY122" s="41"/>
      <c r="VOZ122" s="41"/>
      <c r="VPA122" s="41"/>
      <c r="VPB122" s="41"/>
      <c r="VPC122" s="41"/>
      <c r="VPD122" s="41"/>
      <c r="VPE122" s="41"/>
      <c r="VPF122" s="41"/>
      <c r="VPG122" s="41"/>
      <c r="VPH122" s="41"/>
      <c r="VPI122" s="41"/>
      <c r="VPJ122" s="41"/>
      <c r="VPK122" s="41"/>
      <c r="VPL122" s="41"/>
      <c r="VPM122" s="41"/>
      <c r="VPN122" s="41"/>
      <c r="VPO122" s="41"/>
      <c r="VPP122" s="41"/>
      <c r="VPQ122" s="41"/>
      <c r="VPR122" s="41"/>
      <c r="VPS122" s="41"/>
      <c r="VPT122" s="41"/>
      <c r="VPU122" s="41"/>
      <c r="VPV122" s="41"/>
      <c r="VPW122" s="41"/>
      <c r="VPX122" s="41"/>
      <c r="VPY122" s="41"/>
      <c r="VPZ122" s="41"/>
      <c r="VQA122" s="41"/>
      <c r="VQB122" s="41"/>
      <c r="VQC122" s="41"/>
      <c r="VQD122" s="41"/>
      <c r="VQE122" s="41"/>
      <c r="VQF122" s="41"/>
      <c r="VQG122" s="41"/>
      <c r="VQH122" s="41"/>
      <c r="VQI122" s="41"/>
      <c r="VQJ122" s="41"/>
      <c r="VQK122" s="41"/>
      <c r="VQL122" s="41"/>
      <c r="VQM122" s="41"/>
      <c r="VQN122" s="41"/>
      <c r="VQO122" s="41"/>
      <c r="VQP122" s="41"/>
      <c r="VQQ122" s="41"/>
      <c r="VQR122" s="41"/>
      <c r="VQS122" s="41"/>
      <c r="VQT122" s="41"/>
      <c r="VQU122" s="41"/>
      <c r="VQV122" s="41"/>
      <c r="VQW122" s="41"/>
      <c r="VQX122" s="41"/>
      <c r="VQY122" s="41"/>
      <c r="VQZ122" s="41"/>
      <c r="VRA122" s="41"/>
      <c r="VRB122" s="41"/>
      <c r="VRC122" s="41"/>
      <c r="VRD122" s="41"/>
      <c r="VRE122" s="41"/>
      <c r="VRF122" s="41"/>
      <c r="VRG122" s="41"/>
      <c r="VRH122" s="41"/>
      <c r="VRI122" s="41"/>
      <c r="VRJ122" s="41"/>
      <c r="VRK122" s="41"/>
      <c r="VRL122" s="41"/>
      <c r="VRM122" s="41"/>
      <c r="VRN122" s="41"/>
      <c r="VRO122" s="41"/>
      <c r="VRP122" s="41"/>
      <c r="VRQ122" s="41"/>
      <c r="VRR122" s="41"/>
      <c r="VRS122" s="41"/>
      <c r="VRT122" s="41"/>
      <c r="VRU122" s="41"/>
      <c r="VRV122" s="41"/>
      <c r="VRW122" s="41"/>
      <c r="VRX122" s="41"/>
      <c r="VRY122" s="41"/>
      <c r="VRZ122" s="41"/>
      <c r="VSA122" s="41"/>
      <c r="VSB122" s="41"/>
      <c r="VSC122" s="41"/>
      <c r="VSD122" s="41"/>
      <c r="VSE122" s="41"/>
      <c r="VSF122" s="41"/>
      <c r="VSG122" s="41"/>
      <c r="VSH122" s="41"/>
      <c r="VSI122" s="41"/>
      <c r="VSJ122" s="41"/>
      <c r="VSK122" s="41"/>
      <c r="VSL122" s="41"/>
      <c r="VSM122" s="41"/>
      <c r="VSN122" s="41"/>
      <c r="VSO122" s="41"/>
      <c r="VSP122" s="41"/>
      <c r="VSQ122" s="41"/>
      <c r="VSR122" s="41"/>
      <c r="VSS122" s="41"/>
      <c r="VST122" s="41"/>
      <c r="VSU122" s="41"/>
      <c r="VSV122" s="41"/>
      <c r="VSW122" s="41"/>
      <c r="VSX122" s="41"/>
      <c r="VSY122" s="41"/>
      <c r="VSZ122" s="41"/>
      <c r="VTA122" s="41"/>
      <c r="VTB122" s="41"/>
      <c r="VTC122" s="41"/>
      <c r="VTD122" s="41"/>
      <c r="VTE122" s="41"/>
      <c r="VTF122" s="41"/>
      <c r="VTG122" s="41"/>
      <c r="VTH122" s="41"/>
      <c r="VTI122" s="41"/>
      <c r="VTJ122" s="41"/>
      <c r="VTK122" s="41"/>
      <c r="VTL122" s="41"/>
      <c r="VTM122" s="41"/>
      <c r="VTN122" s="41"/>
      <c r="VTO122" s="41"/>
      <c r="VTP122" s="41"/>
      <c r="VTQ122" s="41"/>
      <c r="VTR122" s="41"/>
      <c r="VTS122" s="41"/>
      <c r="VTT122" s="41"/>
      <c r="VTU122" s="41"/>
      <c r="VTV122" s="41"/>
      <c r="VTW122" s="41"/>
      <c r="VTX122" s="41"/>
      <c r="VTY122" s="41"/>
      <c r="VTZ122" s="41"/>
      <c r="VUA122" s="41"/>
      <c r="VUB122" s="41"/>
      <c r="VUC122" s="41"/>
      <c r="VUD122" s="41"/>
      <c r="VUE122" s="41"/>
      <c r="VUF122" s="41"/>
      <c r="VUG122" s="41"/>
      <c r="VUH122" s="41"/>
      <c r="VUI122" s="41"/>
      <c r="VUJ122" s="41"/>
      <c r="VUK122" s="41"/>
      <c r="VUL122" s="41"/>
      <c r="VUM122" s="41"/>
      <c r="VUN122" s="41"/>
      <c r="VUO122" s="41"/>
      <c r="VUP122" s="41"/>
      <c r="VUQ122" s="41"/>
      <c r="VUR122" s="41"/>
      <c r="VUS122" s="41"/>
      <c r="VUT122" s="41"/>
      <c r="VUU122" s="41"/>
      <c r="VUV122" s="41"/>
      <c r="VUW122" s="41"/>
      <c r="VUX122" s="41"/>
      <c r="VUY122" s="41"/>
      <c r="VUZ122" s="41"/>
      <c r="VVA122" s="41"/>
      <c r="VVB122" s="41"/>
      <c r="VVC122" s="41"/>
      <c r="VVD122" s="41"/>
      <c r="VVE122" s="41"/>
      <c r="VVF122" s="41"/>
      <c r="VVG122" s="41"/>
      <c r="VVH122" s="41"/>
      <c r="VVI122" s="41"/>
      <c r="VVJ122" s="41"/>
      <c r="VVK122" s="41"/>
      <c r="VVL122" s="41"/>
      <c r="VVM122" s="41"/>
      <c r="VVN122" s="41"/>
      <c r="VVO122" s="41"/>
      <c r="VVP122" s="41"/>
      <c r="VVQ122" s="41"/>
      <c r="VVR122" s="41"/>
      <c r="VVS122" s="41"/>
      <c r="VVT122" s="41"/>
      <c r="VVU122" s="41"/>
      <c r="VVV122" s="41"/>
      <c r="VVW122" s="41"/>
      <c r="VVX122" s="41"/>
      <c r="VVY122" s="41"/>
      <c r="VVZ122" s="41"/>
      <c r="VWA122" s="41"/>
      <c r="VWB122" s="41"/>
      <c r="VWC122" s="41"/>
      <c r="VWD122" s="41"/>
      <c r="VWE122" s="41"/>
      <c r="VWF122" s="41"/>
      <c r="VWG122" s="41"/>
      <c r="VWH122" s="41"/>
      <c r="VWI122" s="41"/>
      <c r="VWJ122" s="41"/>
      <c r="VWK122" s="41"/>
      <c r="VWL122" s="41"/>
      <c r="VWM122" s="41"/>
      <c r="VWN122" s="41"/>
      <c r="VWO122" s="41"/>
      <c r="VWP122" s="41"/>
      <c r="VWQ122" s="41"/>
      <c r="VWR122" s="41"/>
      <c r="VWS122" s="41"/>
      <c r="VWT122" s="41"/>
      <c r="VWU122" s="41"/>
      <c r="VWV122" s="41"/>
      <c r="VWW122" s="41"/>
      <c r="VWX122" s="41"/>
      <c r="VWY122" s="41"/>
      <c r="VWZ122" s="41"/>
      <c r="VXA122" s="41"/>
      <c r="VXB122" s="41"/>
      <c r="VXC122" s="41"/>
      <c r="VXD122" s="41"/>
      <c r="VXE122" s="41"/>
      <c r="VXF122" s="41"/>
      <c r="VXG122" s="41"/>
      <c r="VXH122" s="41"/>
      <c r="VXI122" s="41"/>
      <c r="VXJ122" s="41"/>
      <c r="VXK122" s="41"/>
      <c r="VXL122" s="41"/>
      <c r="VXM122" s="41"/>
      <c r="VXN122" s="41"/>
      <c r="VXO122" s="41"/>
      <c r="VXP122" s="41"/>
      <c r="VXQ122" s="41"/>
      <c r="VXR122" s="41"/>
      <c r="VXS122" s="41"/>
      <c r="VXT122" s="41"/>
      <c r="VXU122" s="41"/>
      <c r="VXV122" s="41"/>
      <c r="VXW122" s="41"/>
      <c r="VXX122" s="41"/>
      <c r="VXY122" s="41"/>
      <c r="VXZ122" s="41"/>
      <c r="VYA122" s="41"/>
      <c r="VYB122" s="41"/>
      <c r="VYC122" s="41"/>
      <c r="VYD122" s="41"/>
      <c r="VYE122" s="41"/>
      <c r="VYF122" s="41"/>
      <c r="VYG122" s="41"/>
      <c r="VYH122" s="41"/>
      <c r="VYI122" s="41"/>
      <c r="VYJ122" s="41"/>
      <c r="VYK122" s="41"/>
      <c r="VYL122" s="41"/>
      <c r="VYM122" s="41"/>
      <c r="VYN122" s="41"/>
      <c r="VYO122" s="41"/>
      <c r="VYP122" s="41"/>
      <c r="VYQ122" s="41"/>
      <c r="VYR122" s="41"/>
      <c r="VYS122" s="41"/>
      <c r="VYT122" s="41"/>
      <c r="VYU122" s="41"/>
      <c r="VYV122" s="41"/>
      <c r="VYW122" s="41"/>
      <c r="VYX122" s="41"/>
      <c r="VYY122" s="41"/>
      <c r="VYZ122" s="41"/>
      <c r="VZA122" s="41"/>
      <c r="VZB122" s="41"/>
      <c r="VZC122" s="41"/>
      <c r="VZD122" s="41"/>
      <c r="VZE122" s="41"/>
      <c r="VZF122" s="41"/>
      <c r="VZG122" s="41"/>
      <c r="VZH122" s="41"/>
      <c r="VZI122" s="41"/>
      <c r="VZJ122" s="41"/>
      <c r="VZK122" s="41"/>
      <c r="VZL122" s="41"/>
      <c r="VZM122" s="41"/>
      <c r="VZN122" s="41"/>
      <c r="VZO122" s="41"/>
      <c r="VZP122" s="41"/>
      <c r="VZQ122" s="41"/>
      <c r="VZR122" s="41"/>
      <c r="VZS122" s="41"/>
      <c r="VZT122" s="41"/>
      <c r="VZU122" s="41"/>
      <c r="VZV122" s="41"/>
      <c r="VZW122" s="41"/>
      <c r="VZX122" s="41"/>
      <c r="VZY122" s="41"/>
      <c r="VZZ122" s="41"/>
      <c r="WAA122" s="41"/>
      <c r="WAB122" s="41"/>
      <c r="WAC122" s="41"/>
      <c r="WAD122" s="41"/>
      <c r="WAE122" s="41"/>
      <c r="WAF122" s="41"/>
      <c r="WAG122" s="41"/>
      <c r="WAH122" s="41"/>
      <c r="WAI122" s="41"/>
      <c r="WAJ122" s="41"/>
      <c r="WAK122" s="41"/>
      <c r="WAL122" s="41"/>
      <c r="WAM122" s="41"/>
      <c r="WAN122" s="41"/>
      <c r="WAO122" s="41"/>
      <c r="WAP122" s="41"/>
      <c r="WAQ122" s="41"/>
      <c r="WAR122" s="41"/>
      <c r="WAS122" s="41"/>
      <c r="WAT122" s="41"/>
      <c r="WAU122" s="41"/>
      <c r="WAV122" s="41"/>
      <c r="WAW122" s="41"/>
      <c r="WAX122" s="41"/>
      <c r="WAY122" s="41"/>
      <c r="WAZ122" s="41"/>
      <c r="WBA122" s="41"/>
      <c r="WBB122" s="41"/>
      <c r="WBC122" s="41"/>
      <c r="WBD122" s="41"/>
      <c r="WBE122" s="41"/>
      <c r="WBF122" s="41"/>
      <c r="WBG122" s="41"/>
      <c r="WBH122" s="41"/>
      <c r="WBI122" s="41"/>
      <c r="WBJ122" s="41"/>
      <c r="WBK122" s="41"/>
      <c r="WBL122" s="41"/>
      <c r="WBM122" s="41"/>
      <c r="WBN122" s="41"/>
      <c r="WBO122" s="41"/>
      <c r="WBP122" s="41"/>
      <c r="WBQ122" s="41"/>
      <c r="WBR122" s="41"/>
      <c r="WBS122" s="41"/>
      <c r="WBT122" s="41"/>
      <c r="WBU122" s="41"/>
      <c r="WBV122" s="41"/>
      <c r="WBW122" s="41"/>
      <c r="WBX122" s="41"/>
      <c r="WBY122" s="41"/>
      <c r="WBZ122" s="41"/>
      <c r="WCA122" s="41"/>
      <c r="WCB122" s="41"/>
      <c r="WCC122" s="41"/>
      <c r="WCD122" s="41"/>
      <c r="WCE122" s="41"/>
      <c r="WCF122" s="41"/>
      <c r="WCG122" s="41"/>
      <c r="WCH122" s="41"/>
      <c r="WCI122" s="41"/>
      <c r="WCJ122" s="41"/>
      <c r="WCK122" s="41"/>
      <c r="WCL122" s="41"/>
      <c r="WCM122" s="41"/>
      <c r="WCN122" s="41"/>
      <c r="WCO122" s="41"/>
      <c r="WCP122" s="41"/>
      <c r="WCQ122" s="41"/>
      <c r="WCR122" s="41"/>
      <c r="WCS122" s="41"/>
      <c r="WCT122" s="41"/>
      <c r="WCU122" s="41"/>
      <c r="WCV122" s="41"/>
      <c r="WCW122" s="41"/>
      <c r="WCX122" s="41"/>
      <c r="WCY122" s="41"/>
      <c r="WCZ122" s="41"/>
      <c r="WDA122" s="41"/>
      <c r="WDB122" s="41"/>
      <c r="WDC122" s="41"/>
      <c r="WDD122" s="41"/>
      <c r="WDE122" s="41"/>
      <c r="WDF122" s="41"/>
      <c r="WDG122" s="41"/>
      <c r="WDH122" s="41"/>
      <c r="WDI122" s="41"/>
      <c r="WDJ122" s="41"/>
      <c r="WDK122" s="41"/>
      <c r="WDL122" s="41"/>
      <c r="WDM122" s="41"/>
      <c r="WDN122" s="41"/>
      <c r="WDO122" s="41"/>
      <c r="WDP122" s="41"/>
      <c r="WDQ122" s="41"/>
      <c r="WDR122" s="41"/>
      <c r="WDS122" s="41"/>
      <c r="WDT122" s="41"/>
      <c r="WDU122" s="41"/>
      <c r="WDV122" s="41"/>
      <c r="WDW122" s="41"/>
      <c r="WDX122" s="41"/>
      <c r="WDY122" s="41"/>
      <c r="WDZ122" s="41"/>
      <c r="WEA122" s="41"/>
      <c r="WEB122" s="41"/>
      <c r="WEC122" s="41"/>
      <c r="WED122" s="41"/>
      <c r="WEE122" s="41"/>
      <c r="WEF122" s="41"/>
      <c r="WEG122" s="41"/>
      <c r="WEH122" s="41"/>
      <c r="WEI122" s="41"/>
      <c r="WEJ122" s="41"/>
      <c r="WEK122" s="41"/>
      <c r="WEL122" s="41"/>
      <c r="WEM122" s="41"/>
      <c r="WEN122" s="41"/>
      <c r="WEO122" s="41"/>
      <c r="WEP122" s="41"/>
      <c r="WEQ122" s="41"/>
      <c r="WER122" s="41"/>
      <c r="WES122" s="41"/>
      <c r="WET122" s="41"/>
      <c r="WEU122" s="41"/>
      <c r="WEV122" s="41"/>
      <c r="WEW122" s="41"/>
      <c r="WEX122" s="41"/>
      <c r="WEY122" s="41"/>
      <c r="WEZ122" s="41"/>
      <c r="WFA122" s="41"/>
      <c r="WFB122" s="41"/>
      <c r="WFC122" s="41"/>
      <c r="WFD122" s="41"/>
      <c r="WFE122" s="41"/>
      <c r="WFF122" s="41"/>
      <c r="WFG122" s="41"/>
      <c r="WFH122" s="41"/>
      <c r="WFI122" s="41"/>
      <c r="WFJ122" s="41"/>
      <c r="WFK122" s="41"/>
      <c r="WFL122" s="41"/>
      <c r="WFM122" s="41"/>
      <c r="WFN122" s="41"/>
      <c r="WFO122" s="41"/>
      <c r="WFP122" s="41"/>
      <c r="WFQ122" s="41"/>
      <c r="WFR122" s="41"/>
      <c r="WFS122" s="41"/>
      <c r="WFT122" s="41"/>
      <c r="WFU122" s="41"/>
      <c r="WFV122" s="41"/>
      <c r="WFW122" s="41"/>
      <c r="WFX122" s="41"/>
      <c r="WFY122" s="41"/>
      <c r="WFZ122" s="41"/>
      <c r="WGA122" s="41"/>
      <c r="WGB122" s="41"/>
      <c r="WGC122" s="41"/>
      <c r="WGD122" s="41"/>
      <c r="WGE122" s="41"/>
      <c r="WGF122" s="41"/>
      <c r="WGG122" s="41"/>
      <c r="WGH122" s="41"/>
      <c r="WGI122" s="41"/>
      <c r="WGJ122" s="41"/>
      <c r="WGK122" s="41"/>
      <c r="WGL122" s="41"/>
      <c r="WGM122" s="41"/>
      <c r="WGN122" s="41"/>
      <c r="WGO122" s="41"/>
      <c r="WGP122" s="41"/>
      <c r="WGQ122" s="41"/>
      <c r="WGR122" s="41"/>
      <c r="WGS122" s="41"/>
      <c r="WGT122" s="41"/>
      <c r="WGU122" s="41"/>
      <c r="WGV122" s="41"/>
      <c r="WGW122" s="41"/>
      <c r="WGX122" s="41"/>
      <c r="WGY122" s="41"/>
      <c r="WGZ122" s="41"/>
      <c r="WHA122" s="41"/>
      <c r="WHB122" s="41"/>
      <c r="WHC122" s="41"/>
      <c r="WHD122" s="41"/>
      <c r="WHE122" s="41"/>
      <c r="WHF122" s="41"/>
      <c r="WHG122" s="41"/>
      <c r="WHH122" s="41"/>
      <c r="WHI122" s="41"/>
      <c r="WHJ122" s="41"/>
      <c r="WHK122" s="41"/>
      <c r="WHL122" s="41"/>
      <c r="WHM122" s="41"/>
      <c r="WHN122" s="41"/>
      <c r="WHO122" s="41"/>
      <c r="WHP122" s="41"/>
      <c r="WHQ122" s="41"/>
      <c r="WHR122" s="41"/>
      <c r="WHS122" s="41"/>
      <c r="WHT122" s="41"/>
      <c r="WHU122" s="41"/>
      <c r="WHV122" s="41"/>
      <c r="WHW122" s="41"/>
      <c r="WHX122" s="41"/>
      <c r="WHY122" s="41"/>
      <c r="WHZ122" s="41"/>
      <c r="WIA122" s="41"/>
      <c r="WIB122" s="41"/>
      <c r="WIC122" s="41"/>
      <c r="WID122" s="41"/>
      <c r="WIE122" s="41"/>
      <c r="WIF122" s="41"/>
      <c r="WIG122" s="41"/>
      <c r="WIH122" s="41"/>
      <c r="WII122" s="41"/>
      <c r="WIJ122" s="41"/>
      <c r="WIK122" s="41"/>
      <c r="WIL122" s="41"/>
      <c r="WIM122" s="41"/>
      <c r="WIN122" s="41"/>
      <c r="WIO122" s="41"/>
      <c r="WIP122" s="41"/>
      <c r="WIQ122" s="41"/>
      <c r="WIR122" s="41"/>
      <c r="WIS122" s="41"/>
      <c r="WIT122" s="41"/>
      <c r="WIU122" s="41"/>
      <c r="WIV122" s="41"/>
      <c r="WIW122" s="41"/>
      <c r="WIX122" s="41"/>
      <c r="WIY122" s="41"/>
      <c r="WIZ122" s="41"/>
      <c r="WJA122" s="41"/>
      <c r="WJB122" s="41"/>
      <c r="WJC122" s="41"/>
      <c r="WJD122" s="41"/>
      <c r="WJE122" s="41"/>
      <c r="WJF122" s="41"/>
      <c r="WJG122" s="41"/>
      <c r="WJH122" s="41"/>
      <c r="WJI122" s="41"/>
      <c r="WJJ122" s="41"/>
      <c r="WJK122" s="41"/>
      <c r="WJL122" s="41"/>
      <c r="WJM122" s="41"/>
      <c r="WJN122" s="41"/>
      <c r="WJO122" s="41"/>
      <c r="WJP122" s="41"/>
      <c r="WJQ122" s="41"/>
      <c r="WJR122" s="41"/>
      <c r="WJS122" s="41"/>
      <c r="WJT122" s="41"/>
      <c r="WJU122" s="41"/>
      <c r="WJV122" s="41"/>
      <c r="WJW122" s="41"/>
      <c r="WJX122" s="41"/>
      <c r="WJY122" s="41"/>
      <c r="WJZ122" s="41"/>
      <c r="WKA122" s="41"/>
      <c r="WKB122" s="41"/>
      <c r="WKC122" s="41"/>
      <c r="WKD122" s="41"/>
      <c r="WKE122" s="41"/>
      <c r="WKF122" s="41"/>
      <c r="WKG122" s="41"/>
      <c r="WKH122" s="41"/>
      <c r="WKI122" s="41"/>
      <c r="WKJ122" s="41"/>
      <c r="WKK122" s="41"/>
      <c r="WKL122" s="41"/>
      <c r="WKM122" s="41"/>
      <c r="WKN122" s="41"/>
      <c r="WKO122" s="41"/>
      <c r="WKP122" s="41"/>
      <c r="WKQ122" s="41"/>
      <c r="WKR122" s="41"/>
      <c r="WKS122" s="41"/>
      <c r="WKT122" s="41"/>
      <c r="WKU122" s="41"/>
      <c r="WKV122" s="41"/>
      <c r="WKW122" s="41"/>
      <c r="WKX122" s="41"/>
      <c r="WKY122" s="41"/>
      <c r="WKZ122" s="41"/>
      <c r="WLA122" s="41"/>
      <c r="WLB122" s="41"/>
      <c r="WLC122" s="41"/>
      <c r="WLD122" s="41"/>
      <c r="WLE122" s="41"/>
      <c r="WLF122" s="41"/>
      <c r="WLG122" s="41"/>
      <c r="WLH122" s="41"/>
      <c r="WLI122" s="41"/>
      <c r="WLJ122" s="41"/>
      <c r="WLK122" s="41"/>
      <c r="WLL122" s="41"/>
      <c r="WLM122" s="41"/>
      <c r="WLN122" s="41"/>
      <c r="WLO122" s="41"/>
      <c r="WLP122" s="41"/>
      <c r="WLQ122" s="41"/>
      <c r="WLR122" s="41"/>
      <c r="WLS122" s="41"/>
      <c r="WLT122" s="41"/>
      <c r="WLU122" s="41"/>
      <c r="WLV122" s="41"/>
      <c r="WLW122" s="41"/>
      <c r="WLX122" s="41"/>
      <c r="WLY122" s="41"/>
      <c r="WLZ122" s="41"/>
      <c r="WMA122" s="41"/>
      <c r="WMB122" s="41"/>
      <c r="WMC122" s="41"/>
      <c r="WMD122" s="41"/>
      <c r="WME122" s="41"/>
      <c r="WMF122" s="41"/>
      <c r="WMG122" s="41"/>
      <c r="WMH122" s="41"/>
      <c r="WMI122" s="41"/>
      <c r="WMJ122" s="41"/>
      <c r="WMK122" s="41"/>
      <c r="WML122" s="41"/>
      <c r="WMM122" s="41"/>
      <c r="WMN122" s="41"/>
      <c r="WMO122" s="41"/>
      <c r="WMP122" s="41"/>
      <c r="WMQ122" s="41"/>
      <c r="WMR122" s="41"/>
      <c r="WMS122" s="41"/>
      <c r="WMT122" s="41"/>
      <c r="WMU122" s="41"/>
      <c r="WMV122" s="41"/>
      <c r="WMW122" s="41"/>
      <c r="WMX122" s="41"/>
      <c r="WMY122" s="41"/>
      <c r="WMZ122" s="41"/>
      <c r="WNA122" s="41"/>
      <c r="WNB122" s="41"/>
      <c r="WNC122" s="41"/>
      <c r="WND122" s="41"/>
      <c r="WNE122" s="41"/>
      <c r="WNF122" s="41"/>
      <c r="WNG122" s="41"/>
      <c r="WNH122" s="41"/>
      <c r="WNI122" s="41"/>
      <c r="WNJ122" s="41"/>
      <c r="WNK122" s="41"/>
      <c r="WNL122" s="41"/>
      <c r="WNM122" s="41"/>
      <c r="WNN122" s="41"/>
      <c r="WNO122" s="41"/>
      <c r="WNP122" s="41"/>
      <c r="WNQ122" s="41"/>
      <c r="WNR122" s="41"/>
      <c r="WNS122" s="41"/>
      <c r="WNT122" s="41"/>
      <c r="WNU122" s="41"/>
      <c r="WNV122" s="41"/>
      <c r="WNW122" s="41"/>
      <c r="WNX122" s="41"/>
      <c r="WNY122" s="41"/>
      <c r="WNZ122" s="41"/>
      <c r="WOA122" s="41"/>
      <c r="WOB122" s="41"/>
      <c r="WOC122" s="41"/>
      <c r="WOD122" s="41"/>
      <c r="WOE122" s="41"/>
      <c r="WOF122" s="41"/>
      <c r="WOG122" s="41"/>
      <c r="WOH122" s="41"/>
      <c r="WOI122" s="41"/>
      <c r="WOJ122" s="41"/>
      <c r="WOK122" s="41"/>
      <c r="WOL122" s="41"/>
      <c r="WOM122" s="41"/>
      <c r="WON122" s="41"/>
      <c r="WOO122" s="41"/>
      <c r="WOP122" s="41"/>
      <c r="WOQ122" s="41"/>
      <c r="WOR122" s="41"/>
      <c r="WOS122" s="41"/>
      <c r="WOT122" s="41"/>
      <c r="WOU122" s="41"/>
      <c r="WOV122" s="41"/>
      <c r="WOW122" s="41"/>
      <c r="WOX122" s="41"/>
      <c r="WOY122" s="41"/>
      <c r="WOZ122" s="41"/>
      <c r="WPA122" s="41"/>
      <c r="WPB122" s="41"/>
      <c r="WPC122" s="41"/>
      <c r="WPD122" s="41"/>
      <c r="WPE122" s="41"/>
      <c r="WPF122" s="41"/>
      <c r="WPG122" s="41"/>
      <c r="WPH122" s="41"/>
      <c r="WPI122" s="41"/>
      <c r="WPJ122" s="41"/>
      <c r="WPK122" s="41"/>
      <c r="WPL122" s="41"/>
      <c r="WPM122" s="41"/>
      <c r="WPN122" s="41"/>
      <c r="WPO122" s="41"/>
      <c r="WPP122" s="41"/>
      <c r="WPQ122" s="41"/>
      <c r="WPR122" s="41"/>
      <c r="WPS122" s="41"/>
      <c r="WPT122" s="41"/>
      <c r="WPU122" s="41"/>
      <c r="WPV122" s="41"/>
      <c r="WPW122" s="41"/>
      <c r="WPX122" s="41"/>
      <c r="WPY122" s="41"/>
      <c r="WPZ122" s="41"/>
      <c r="WQA122" s="41"/>
      <c r="WQB122" s="41"/>
      <c r="WQC122" s="41"/>
      <c r="WQD122" s="41"/>
      <c r="WQE122" s="41"/>
      <c r="WQF122" s="41"/>
      <c r="WQG122" s="41"/>
      <c r="WQH122" s="41"/>
      <c r="WQI122" s="41"/>
      <c r="WQJ122" s="41"/>
      <c r="WQK122" s="41"/>
      <c r="WQL122" s="41"/>
      <c r="WQM122" s="41"/>
      <c r="WQN122" s="41"/>
      <c r="WQO122" s="41"/>
      <c r="WQP122" s="41"/>
      <c r="WQQ122" s="41"/>
      <c r="WQR122" s="41"/>
      <c r="WQS122" s="41"/>
      <c r="WQT122" s="41"/>
      <c r="WQU122" s="41"/>
      <c r="WQV122" s="41"/>
      <c r="WQW122" s="41"/>
      <c r="WQX122" s="41"/>
      <c r="WQY122" s="41"/>
      <c r="WQZ122" s="41"/>
      <c r="WRA122" s="41"/>
      <c r="WRB122" s="41"/>
      <c r="WRC122" s="41"/>
      <c r="WRD122" s="41"/>
      <c r="WRE122" s="41"/>
      <c r="WRF122" s="41"/>
      <c r="WRG122" s="41"/>
      <c r="WRH122" s="41"/>
      <c r="WRI122" s="41"/>
      <c r="WRJ122" s="41"/>
      <c r="WRK122" s="41"/>
      <c r="WRL122" s="41"/>
      <c r="WRM122" s="41"/>
      <c r="WRN122" s="41"/>
      <c r="WRO122" s="41"/>
      <c r="WRP122" s="41"/>
      <c r="WRQ122" s="41"/>
      <c r="WRR122" s="41"/>
      <c r="WRS122" s="41"/>
      <c r="WRT122" s="41"/>
      <c r="WRU122" s="41"/>
      <c r="WRV122" s="41"/>
      <c r="WRW122" s="41"/>
      <c r="WRX122" s="41"/>
      <c r="WRY122" s="41"/>
      <c r="WRZ122" s="41"/>
      <c r="WSA122" s="41"/>
      <c r="WSB122" s="41"/>
      <c r="WSC122" s="41"/>
      <c r="WSD122" s="41"/>
      <c r="WSE122" s="41"/>
      <c r="WSF122" s="41"/>
      <c r="WSG122" s="41"/>
      <c r="WSH122" s="41"/>
      <c r="WSI122" s="41"/>
      <c r="WSJ122" s="41"/>
      <c r="WSK122" s="41"/>
      <c r="WSL122" s="41"/>
      <c r="WSM122" s="41"/>
      <c r="WSN122" s="41"/>
      <c r="WSO122" s="41"/>
      <c r="WSP122" s="41"/>
      <c r="WSQ122" s="41"/>
      <c r="WSR122" s="41"/>
      <c r="WSS122" s="41"/>
      <c r="WST122" s="41"/>
      <c r="WSU122" s="41"/>
      <c r="WSV122" s="41"/>
      <c r="WSW122" s="41"/>
      <c r="WSX122" s="41"/>
      <c r="WSY122" s="41"/>
      <c r="WSZ122" s="41"/>
      <c r="WTA122" s="41"/>
      <c r="WTB122" s="41"/>
      <c r="WTC122" s="41"/>
      <c r="WTD122" s="41"/>
      <c r="WTE122" s="41"/>
      <c r="WTF122" s="41"/>
      <c r="WTG122" s="41"/>
      <c r="WTH122" s="41"/>
      <c r="WTI122" s="41"/>
      <c r="WTJ122" s="41"/>
      <c r="WTK122" s="41"/>
      <c r="WTL122" s="41"/>
      <c r="WTM122" s="41"/>
      <c r="WTN122" s="41"/>
      <c r="WTO122" s="41"/>
      <c r="WTP122" s="41"/>
      <c r="WTQ122" s="41"/>
      <c r="WTR122" s="41"/>
      <c r="WTS122" s="41"/>
      <c r="WTT122" s="41"/>
      <c r="WTU122" s="41"/>
      <c r="WTV122" s="41"/>
      <c r="WTW122" s="41"/>
      <c r="WTX122" s="41"/>
      <c r="WTY122" s="41"/>
      <c r="WTZ122" s="41"/>
      <c r="WUA122" s="41"/>
      <c r="WUB122" s="41"/>
      <c r="WUC122" s="41"/>
      <c r="WUD122" s="41"/>
      <c r="WUE122" s="41"/>
      <c r="WUF122" s="41"/>
      <c r="WUG122" s="41"/>
      <c r="WUH122" s="41"/>
      <c r="WUI122" s="41"/>
      <c r="WUJ122" s="41"/>
      <c r="WUK122" s="41"/>
      <c r="WUL122" s="41"/>
      <c r="WUM122" s="41"/>
      <c r="WUN122" s="41"/>
      <c r="WUO122" s="41"/>
      <c r="WUP122" s="41"/>
      <c r="WUQ122" s="41"/>
      <c r="WUR122" s="41"/>
      <c r="WUS122" s="41"/>
      <c r="WUT122" s="41"/>
      <c r="WUU122" s="41"/>
      <c r="WUV122" s="41"/>
      <c r="WUW122" s="41"/>
      <c r="WUX122" s="41"/>
      <c r="WUY122" s="41"/>
      <c r="WUZ122" s="41"/>
      <c r="WVA122" s="41"/>
      <c r="WVB122" s="41"/>
      <c r="WVC122" s="41"/>
      <c r="WVD122" s="41"/>
      <c r="WVE122" s="41"/>
      <c r="WVF122" s="41"/>
      <c r="WVG122" s="41"/>
      <c r="WVH122" s="41"/>
      <c r="WVI122" s="41"/>
      <c r="WVJ122" s="41"/>
      <c r="WVK122" s="41"/>
      <c r="WVL122" s="41"/>
      <c r="WVM122" s="41"/>
      <c r="WVN122" s="41"/>
      <c r="WVO122" s="41"/>
      <c r="WVP122" s="41"/>
      <c r="WVQ122" s="41"/>
      <c r="WVR122" s="41"/>
      <c r="WVS122" s="41"/>
      <c r="WVT122" s="41"/>
      <c r="WVU122" s="41"/>
      <c r="WVV122" s="41"/>
      <c r="WVW122" s="41"/>
      <c r="WVX122" s="41"/>
      <c r="WVY122" s="41"/>
      <c r="WVZ122" s="41"/>
      <c r="WWA122" s="41"/>
      <c r="WWB122" s="41"/>
      <c r="WWC122" s="41"/>
      <c r="WWD122" s="41"/>
      <c r="WWE122" s="41"/>
      <c r="WWF122" s="41"/>
      <c r="WWG122" s="41"/>
      <c r="WWH122" s="41"/>
      <c r="WWI122" s="41"/>
      <c r="WWJ122" s="41"/>
      <c r="WWK122" s="41"/>
      <c r="WWL122" s="41"/>
      <c r="WWM122" s="41"/>
      <c r="WWN122" s="41"/>
      <c r="WWO122" s="41"/>
      <c r="WWP122" s="41"/>
      <c r="WWQ122" s="41"/>
      <c r="WWR122" s="41"/>
      <c r="WWS122" s="41"/>
      <c r="WWT122" s="41"/>
      <c r="WWU122" s="41"/>
      <c r="WWV122" s="41"/>
      <c r="WWW122" s="41"/>
      <c r="WWX122" s="41"/>
      <c r="WWY122" s="41"/>
      <c r="WWZ122" s="41"/>
      <c r="WXA122" s="41"/>
      <c r="WXB122" s="41"/>
      <c r="WXC122" s="41"/>
      <c r="WXD122" s="41"/>
      <c r="WXE122" s="41"/>
      <c r="WXF122" s="41"/>
      <c r="WXG122" s="41"/>
      <c r="WXH122" s="41"/>
      <c r="WXI122" s="41"/>
      <c r="WXJ122" s="41"/>
      <c r="WXK122" s="41"/>
      <c r="WXL122" s="41"/>
      <c r="WXM122" s="41"/>
      <c r="WXN122" s="41"/>
      <c r="WXO122" s="41"/>
      <c r="WXP122" s="41"/>
      <c r="WXQ122" s="41"/>
      <c r="WXR122" s="41"/>
      <c r="WXS122" s="41"/>
      <c r="WXT122" s="41"/>
      <c r="WXU122" s="41"/>
      <c r="WXV122" s="41"/>
      <c r="WXW122" s="41"/>
      <c r="WXX122" s="41"/>
      <c r="WXY122" s="41"/>
      <c r="WXZ122" s="41"/>
      <c r="WYA122" s="41"/>
      <c r="WYB122" s="41"/>
      <c r="WYC122" s="41"/>
      <c r="WYD122" s="41"/>
      <c r="WYE122" s="41"/>
      <c r="WYF122" s="41"/>
      <c r="WYG122" s="41"/>
      <c r="WYH122" s="41"/>
      <c r="WYI122" s="41"/>
      <c r="WYJ122" s="41"/>
      <c r="WYK122" s="41"/>
      <c r="WYL122" s="41"/>
      <c r="WYM122" s="41"/>
      <c r="WYN122" s="41"/>
      <c r="WYO122" s="41"/>
      <c r="WYP122" s="41"/>
      <c r="WYQ122" s="41"/>
      <c r="WYR122" s="41"/>
      <c r="WYS122" s="41"/>
      <c r="WYT122" s="41"/>
      <c r="WYU122" s="41"/>
      <c r="WYV122" s="41"/>
      <c r="WYW122" s="41"/>
      <c r="WYX122" s="41"/>
      <c r="WYY122" s="41"/>
      <c r="WYZ122" s="41"/>
      <c r="WZA122" s="41"/>
      <c r="WZB122" s="41"/>
      <c r="WZC122" s="41"/>
      <c r="WZD122" s="41"/>
      <c r="WZE122" s="41"/>
      <c r="WZF122" s="41"/>
      <c r="WZG122" s="41"/>
      <c r="WZH122" s="41"/>
      <c r="WZI122" s="41"/>
      <c r="WZJ122" s="41"/>
      <c r="WZK122" s="41"/>
      <c r="WZL122" s="41"/>
      <c r="WZM122" s="41"/>
      <c r="WZN122" s="41"/>
      <c r="WZO122" s="41"/>
      <c r="WZP122" s="41"/>
      <c r="WZQ122" s="41"/>
      <c r="WZR122" s="41"/>
      <c r="WZS122" s="41"/>
      <c r="WZT122" s="41"/>
      <c r="WZU122" s="41"/>
      <c r="WZV122" s="41"/>
      <c r="WZW122" s="41"/>
      <c r="WZX122" s="41"/>
      <c r="WZY122" s="41"/>
      <c r="WZZ122" s="41"/>
      <c r="XAA122" s="41"/>
      <c r="XAB122" s="41"/>
      <c r="XAC122" s="41"/>
      <c r="XAD122" s="41"/>
      <c r="XAE122" s="41"/>
      <c r="XAF122" s="41"/>
      <c r="XAG122" s="41"/>
      <c r="XAH122" s="41"/>
      <c r="XAI122" s="41"/>
      <c r="XAJ122" s="41"/>
      <c r="XAK122" s="41"/>
      <c r="XAL122" s="41"/>
      <c r="XAM122" s="41"/>
      <c r="XAN122" s="41"/>
      <c r="XAO122" s="41"/>
      <c r="XAP122" s="41"/>
      <c r="XAQ122" s="41"/>
      <c r="XAR122" s="41"/>
      <c r="XAS122" s="41"/>
      <c r="XAT122" s="41"/>
      <c r="XAU122" s="41"/>
      <c r="XAV122" s="41"/>
      <c r="XAW122" s="41"/>
      <c r="XAX122" s="41"/>
      <c r="XAY122" s="41"/>
      <c r="XAZ122" s="41"/>
      <c r="XBA122" s="41"/>
      <c r="XBB122" s="41"/>
      <c r="XBC122" s="41"/>
      <c r="XBD122" s="41"/>
      <c r="XBE122" s="41"/>
      <c r="XBF122" s="41"/>
      <c r="XBG122" s="41"/>
      <c r="XBH122" s="41"/>
      <c r="XBI122" s="41"/>
      <c r="XBJ122" s="41"/>
      <c r="XBK122" s="41"/>
      <c r="XBL122" s="41"/>
      <c r="XBM122" s="41"/>
      <c r="XBN122" s="41"/>
      <c r="XBO122" s="41"/>
      <c r="XBP122" s="41"/>
      <c r="XBQ122" s="41"/>
      <c r="XBR122" s="41"/>
      <c r="XBS122" s="41"/>
      <c r="XBT122" s="41"/>
      <c r="XBU122" s="41"/>
      <c r="XBV122" s="41"/>
      <c r="XBW122" s="41"/>
      <c r="XBX122" s="41"/>
      <c r="XBY122" s="41"/>
      <c r="XBZ122" s="41"/>
      <c r="XCA122" s="41"/>
      <c r="XCB122" s="41"/>
      <c r="XCC122" s="41"/>
      <c r="XCD122" s="41"/>
      <c r="XCE122" s="41"/>
      <c r="XCF122" s="41"/>
      <c r="XCG122" s="41"/>
      <c r="XCH122" s="41"/>
      <c r="XCI122" s="41"/>
      <c r="XCJ122" s="41"/>
      <c r="XCK122" s="41"/>
      <c r="XCL122" s="41"/>
      <c r="XCM122" s="41"/>
      <c r="XCN122" s="41"/>
      <c r="XCO122" s="41"/>
      <c r="XCP122" s="41"/>
      <c r="XCQ122" s="41"/>
      <c r="XCR122" s="41"/>
      <c r="XCS122" s="41"/>
      <c r="XCT122" s="41"/>
      <c r="XCU122" s="41"/>
      <c r="XCV122" s="41"/>
      <c r="XCW122" s="41"/>
      <c r="XCX122" s="41"/>
      <c r="XCY122" s="41"/>
      <c r="XCZ122" s="41"/>
      <c r="XDA122" s="41"/>
      <c r="XDB122" s="41"/>
      <c r="XDC122" s="41"/>
      <c r="XDD122" s="41"/>
      <c r="XDE122" s="41"/>
      <c r="XDF122" s="41"/>
      <c r="XDG122" s="41"/>
      <c r="XDH122" s="41"/>
      <c r="XDI122" s="41"/>
      <c r="XDJ122" s="41"/>
      <c r="XDK122" s="41"/>
      <c r="XDL122" s="41"/>
      <c r="XDM122" s="41"/>
      <c r="XDN122" s="41"/>
      <c r="XDO122" s="41"/>
      <c r="XDP122" s="41"/>
      <c r="XDQ122" s="41"/>
      <c r="XDR122" s="41"/>
      <c r="XDS122" s="41"/>
      <c r="XDT122" s="41"/>
      <c r="XDU122" s="41"/>
      <c r="XDV122" s="41"/>
      <c r="XDW122" s="41"/>
      <c r="XDX122" s="41"/>
      <c r="XDY122" s="41"/>
      <c r="XDZ122" s="41"/>
      <c r="XEA122" s="41"/>
      <c r="XEB122" s="41"/>
      <c r="XEC122" s="41"/>
      <c r="XED122" s="41"/>
      <c r="XEE122" s="41"/>
      <c r="XEF122" s="41"/>
      <c r="XEG122" s="41"/>
      <c r="XEH122" s="41"/>
      <c r="XEI122" s="41"/>
      <c r="XEJ122" s="41"/>
      <c r="XEK122" s="41"/>
      <c r="XEL122" s="41"/>
      <c r="XEM122" s="41"/>
      <c r="XEN122" s="41"/>
      <c r="XEO122" s="41"/>
      <c r="XEP122" s="41"/>
      <c r="XEQ122" s="41"/>
      <c r="XER122" s="41"/>
      <c r="XES122" s="41"/>
      <c r="XET122" s="41"/>
      <c r="XEU122" s="41"/>
      <c r="XEV122" s="41"/>
      <c r="XEW122" s="41"/>
      <c r="XEX122" s="41"/>
      <c r="XEY122" s="41"/>
      <c r="XEZ122" s="41"/>
      <c r="XFA122" s="41"/>
      <c r="XFB122" s="41"/>
      <c r="XFC122" s="41"/>
    </row>
    <row r="123" spans="1:16383" ht="29" hidden="1" x14ac:dyDescent="0.35">
      <c r="A123" s="20" t="s">
        <v>315</v>
      </c>
      <c r="B123" s="20" t="s">
        <v>300</v>
      </c>
      <c r="C123" s="20" t="s">
        <v>314</v>
      </c>
      <c r="D123" s="20" t="s">
        <v>302</v>
      </c>
    </row>
    <row r="124" spans="1:16383" ht="29" hidden="1" x14ac:dyDescent="0.35">
      <c r="A124" s="20" t="s">
        <v>317</v>
      </c>
      <c r="B124" s="20" t="s">
        <v>300</v>
      </c>
      <c r="C124" s="20" t="s">
        <v>316</v>
      </c>
      <c r="D124" s="20" t="s">
        <v>302</v>
      </c>
    </row>
    <row r="125" spans="1:16383" ht="29" hidden="1" x14ac:dyDescent="0.35">
      <c r="A125" s="20" t="s">
        <v>32</v>
      </c>
      <c r="B125" s="20" t="s">
        <v>300</v>
      </c>
      <c r="C125" s="20" t="s">
        <v>318</v>
      </c>
      <c r="D125" s="20" t="s">
        <v>302</v>
      </c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  <c r="AFJ125" s="41"/>
      <c r="AFK125" s="41"/>
      <c r="AFL125" s="41"/>
      <c r="AFM125" s="41"/>
      <c r="AFN125" s="41"/>
      <c r="AFO125" s="41"/>
      <c r="AFP125" s="41"/>
      <c r="AFQ125" s="41"/>
      <c r="AFR125" s="41"/>
      <c r="AFS125" s="41"/>
      <c r="AFT125" s="41"/>
      <c r="AFU125" s="41"/>
      <c r="AFV125" s="41"/>
      <c r="AFW125" s="41"/>
      <c r="AFX125" s="41"/>
      <c r="AFY125" s="41"/>
      <c r="AFZ125" s="41"/>
      <c r="AGA125" s="41"/>
      <c r="AGB125" s="41"/>
      <c r="AGC125" s="41"/>
      <c r="AGD125" s="41"/>
      <c r="AGE125" s="41"/>
      <c r="AGF125" s="41"/>
      <c r="AGG125" s="41"/>
      <c r="AGH125" s="41"/>
      <c r="AGI125" s="41"/>
      <c r="AGJ125" s="41"/>
      <c r="AGK125" s="41"/>
      <c r="AGL125" s="41"/>
      <c r="AGM125" s="41"/>
      <c r="AGN125" s="41"/>
      <c r="AGO125" s="41"/>
      <c r="AGP125" s="41"/>
      <c r="AGQ125" s="41"/>
      <c r="AGR125" s="41"/>
      <c r="AGS125" s="41"/>
      <c r="AGT125" s="41"/>
      <c r="AGU125" s="41"/>
      <c r="AGV125" s="41"/>
      <c r="AGW125" s="41"/>
      <c r="AGX125" s="41"/>
      <c r="AGY125" s="41"/>
      <c r="AGZ125" s="41"/>
      <c r="AHA125" s="41"/>
      <c r="AHB125" s="41"/>
      <c r="AHC125" s="41"/>
      <c r="AHD125" s="41"/>
      <c r="AHE125" s="41"/>
      <c r="AHF125" s="41"/>
      <c r="AHG125" s="41"/>
      <c r="AHH125" s="41"/>
      <c r="AHI125" s="41"/>
      <c r="AHJ125" s="41"/>
      <c r="AHK125" s="41"/>
      <c r="AHL125" s="41"/>
      <c r="AHM125" s="41"/>
      <c r="AHN125" s="41"/>
      <c r="AHO125" s="41"/>
      <c r="AHP125" s="41"/>
      <c r="AHQ125" s="41"/>
      <c r="AHR125" s="41"/>
      <c r="AHS125" s="41"/>
      <c r="AHT125" s="41"/>
      <c r="AHU125" s="41"/>
      <c r="AHV125" s="41"/>
      <c r="AHW125" s="41"/>
      <c r="AHX125" s="41"/>
      <c r="AHY125" s="41"/>
      <c r="AHZ125" s="41"/>
      <c r="AIA125" s="41"/>
      <c r="AIB125" s="41"/>
      <c r="AIC125" s="41"/>
      <c r="AID125" s="41"/>
      <c r="AIE125" s="41"/>
      <c r="AIF125" s="41"/>
      <c r="AIG125" s="41"/>
      <c r="AIH125" s="41"/>
      <c r="AII125" s="41"/>
      <c r="AIJ125" s="41"/>
      <c r="AIK125" s="41"/>
      <c r="AIL125" s="41"/>
      <c r="AIM125" s="41"/>
      <c r="AIN125" s="41"/>
      <c r="AIO125" s="41"/>
      <c r="AIP125" s="41"/>
      <c r="AIQ125" s="41"/>
      <c r="AIR125" s="41"/>
      <c r="AIS125" s="41"/>
      <c r="AIT125" s="41"/>
      <c r="AIU125" s="41"/>
      <c r="AIV125" s="41"/>
      <c r="AIW125" s="41"/>
      <c r="AIX125" s="41"/>
      <c r="AIY125" s="41"/>
      <c r="AIZ125" s="41"/>
      <c r="AJA125" s="41"/>
      <c r="AJB125" s="41"/>
      <c r="AJC125" s="41"/>
      <c r="AJD125" s="41"/>
      <c r="AJE125" s="41"/>
      <c r="AJF125" s="41"/>
      <c r="AJG125" s="41"/>
      <c r="AJH125" s="41"/>
      <c r="AJI125" s="41"/>
      <c r="AJJ125" s="41"/>
      <c r="AJK125" s="41"/>
      <c r="AJL125" s="41"/>
      <c r="AJM125" s="41"/>
      <c r="AJN125" s="41"/>
      <c r="AJO125" s="41"/>
      <c r="AJP125" s="41"/>
      <c r="AJQ125" s="41"/>
      <c r="AJR125" s="41"/>
      <c r="AJS125" s="41"/>
      <c r="AJT125" s="41"/>
      <c r="AJU125" s="41"/>
      <c r="AJV125" s="41"/>
      <c r="AJW125" s="41"/>
      <c r="AJX125" s="41"/>
      <c r="AJY125" s="41"/>
      <c r="AJZ125" s="41"/>
      <c r="AKA125" s="41"/>
      <c r="AKB125" s="41"/>
      <c r="AKC125" s="41"/>
      <c r="AKD125" s="41"/>
      <c r="AKE125" s="41"/>
      <c r="AKF125" s="41"/>
      <c r="AKG125" s="41"/>
      <c r="AKH125" s="41"/>
      <c r="AKI125" s="41"/>
      <c r="AKJ125" s="41"/>
      <c r="AKK125" s="41"/>
      <c r="AKL125" s="41"/>
      <c r="AKM125" s="41"/>
      <c r="AKN125" s="41"/>
      <c r="AKO125" s="41"/>
      <c r="AKP125" s="41"/>
      <c r="AKQ125" s="41"/>
      <c r="AKR125" s="41"/>
      <c r="AKS125" s="41"/>
      <c r="AKT125" s="41"/>
      <c r="AKU125" s="41"/>
      <c r="AKV125" s="41"/>
      <c r="AKW125" s="41"/>
      <c r="AKX125" s="41"/>
      <c r="AKY125" s="41"/>
      <c r="AKZ125" s="41"/>
      <c r="ALA125" s="41"/>
      <c r="ALB125" s="41"/>
      <c r="ALC125" s="41"/>
      <c r="ALD125" s="41"/>
      <c r="ALE125" s="41"/>
      <c r="ALF125" s="41"/>
      <c r="ALG125" s="41"/>
      <c r="ALH125" s="41"/>
      <c r="ALI125" s="41"/>
      <c r="ALJ125" s="41"/>
      <c r="ALK125" s="41"/>
      <c r="ALL125" s="41"/>
      <c r="ALM125" s="41"/>
      <c r="ALN125" s="41"/>
      <c r="ALO125" s="41"/>
      <c r="ALP125" s="41"/>
      <c r="ALQ125" s="41"/>
      <c r="ALR125" s="41"/>
      <c r="ALS125" s="41"/>
      <c r="ALT125" s="41"/>
      <c r="ALU125" s="41"/>
      <c r="ALV125" s="41"/>
      <c r="ALW125" s="41"/>
      <c r="ALX125" s="41"/>
      <c r="ALY125" s="41"/>
      <c r="ALZ125" s="41"/>
      <c r="AMA125" s="41"/>
      <c r="AMB125" s="41"/>
      <c r="AMC125" s="41"/>
      <c r="AMD125" s="41"/>
      <c r="AME125" s="41"/>
      <c r="AMF125" s="41"/>
      <c r="AMG125" s="41"/>
      <c r="AMH125" s="41"/>
      <c r="AMI125" s="41"/>
      <c r="AMJ125" s="41"/>
      <c r="AMK125" s="41"/>
      <c r="AML125" s="41"/>
      <c r="AMM125" s="41"/>
      <c r="AMN125" s="41"/>
      <c r="AMO125" s="41"/>
      <c r="AMP125" s="41"/>
      <c r="AMQ125" s="41"/>
      <c r="AMR125" s="41"/>
      <c r="AMS125" s="41"/>
      <c r="AMT125" s="41"/>
      <c r="AMU125" s="41"/>
      <c r="AMV125" s="41"/>
      <c r="AMW125" s="41"/>
      <c r="AMX125" s="41"/>
      <c r="AMY125" s="41"/>
      <c r="AMZ125" s="41"/>
      <c r="ANA125" s="41"/>
      <c r="ANB125" s="41"/>
      <c r="ANC125" s="41"/>
      <c r="AND125" s="41"/>
      <c r="ANE125" s="41"/>
      <c r="ANF125" s="41"/>
      <c r="ANG125" s="41"/>
      <c r="ANH125" s="41"/>
      <c r="ANI125" s="41"/>
      <c r="ANJ125" s="41"/>
      <c r="ANK125" s="41"/>
      <c r="ANL125" s="41"/>
      <c r="ANM125" s="41"/>
      <c r="ANN125" s="41"/>
      <c r="ANO125" s="41"/>
      <c r="ANP125" s="41"/>
      <c r="ANQ125" s="41"/>
      <c r="ANR125" s="41"/>
      <c r="ANS125" s="41"/>
      <c r="ANT125" s="41"/>
      <c r="ANU125" s="41"/>
      <c r="ANV125" s="41"/>
      <c r="ANW125" s="41"/>
      <c r="ANX125" s="41"/>
      <c r="ANY125" s="41"/>
      <c r="ANZ125" s="41"/>
      <c r="AOA125" s="41"/>
      <c r="AOB125" s="41"/>
      <c r="AOC125" s="41"/>
      <c r="AOD125" s="41"/>
      <c r="AOE125" s="41"/>
      <c r="AOF125" s="41"/>
      <c r="AOG125" s="41"/>
      <c r="AOH125" s="41"/>
      <c r="AOI125" s="41"/>
      <c r="AOJ125" s="41"/>
      <c r="AOK125" s="41"/>
      <c r="AOL125" s="41"/>
      <c r="AOM125" s="41"/>
      <c r="AON125" s="41"/>
      <c r="AOO125" s="41"/>
      <c r="AOP125" s="41"/>
      <c r="AOQ125" s="41"/>
      <c r="AOR125" s="41"/>
      <c r="AOS125" s="41"/>
      <c r="AOT125" s="41"/>
      <c r="AOU125" s="41"/>
      <c r="AOV125" s="41"/>
      <c r="AOW125" s="41"/>
      <c r="AOX125" s="41"/>
      <c r="AOY125" s="41"/>
      <c r="AOZ125" s="41"/>
      <c r="APA125" s="41"/>
      <c r="APB125" s="41"/>
      <c r="APC125" s="41"/>
      <c r="APD125" s="41"/>
      <c r="APE125" s="41"/>
      <c r="APF125" s="41"/>
      <c r="APG125" s="41"/>
      <c r="APH125" s="41"/>
      <c r="API125" s="41"/>
      <c r="APJ125" s="41"/>
      <c r="APK125" s="41"/>
      <c r="APL125" s="41"/>
      <c r="APM125" s="41"/>
      <c r="APN125" s="41"/>
      <c r="APO125" s="41"/>
      <c r="APP125" s="41"/>
      <c r="APQ125" s="41"/>
      <c r="APR125" s="41"/>
      <c r="APS125" s="41"/>
      <c r="APT125" s="41"/>
      <c r="APU125" s="41"/>
      <c r="APV125" s="41"/>
      <c r="APW125" s="41"/>
      <c r="APX125" s="41"/>
      <c r="APY125" s="41"/>
      <c r="APZ125" s="41"/>
      <c r="AQA125" s="41"/>
      <c r="AQB125" s="41"/>
      <c r="AQC125" s="41"/>
      <c r="AQD125" s="41"/>
      <c r="AQE125" s="41"/>
      <c r="AQF125" s="41"/>
      <c r="AQG125" s="41"/>
      <c r="AQH125" s="41"/>
      <c r="AQI125" s="41"/>
      <c r="AQJ125" s="41"/>
      <c r="AQK125" s="41"/>
      <c r="AQL125" s="41"/>
      <c r="AQM125" s="41"/>
      <c r="AQN125" s="41"/>
      <c r="AQO125" s="41"/>
      <c r="AQP125" s="41"/>
      <c r="AQQ125" s="41"/>
      <c r="AQR125" s="41"/>
      <c r="AQS125" s="41"/>
      <c r="AQT125" s="41"/>
      <c r="AQU125" s="41"/>
      <c r="AQV125" s="41"/>
      <c r="AQW125" s="41"/>
      <c r="AQX125" s="41"/>
      <c r="AQY125" s="41"/>
      <c r="AQZ125" s="41"/>
      <c r="ARA125" s="41"/>
      <c r="ARB125" s="41"/>
      <c r="ARC125" s="41"/>
      <c r="ARD125" s="41"/>
      <c r="ARE125" s="41"/>
      <c r="ARF125" s="41"/>
      <c r="ARG125" s="41"/>
      <c r="ARH125" s="41"/>
      <c r="ARI125" s="41"/>
      <c r="ARJ125" s="41"/>
      <c r="ARK125" s="41"/>
      <c r="ARL125" s="41"/>
      <c r="ARM125" s="41"/>
      <c r="ARN125" s="41"/>
      <c r="ARO125" s="41"/>
      <c r="ARP125" s="41"/>
      <c r="ARQ125" s="41"/>
      <c r="ARR125" s="41"/>
      <c r="ARS125" s="41"/>
      <c r="ART125" s="41"/>
      <c r="ARU125" s="41"/>
      <c r="ARV125" s="41"/>
      <c r="ARW125" s="41"/>
      <c r="ARX125" s="41"/>
      <c r="ARY125" s="41"/>
      <c r="ARZ125" s="41"/>
      <c r="ASA125" s="41"/>
      <c r="ASB125" s="41"/>
      <c r="ASC125" s="41"/>
      <c r="ASD125" s="41"/>
      <c r="ASE125" s="41"/>
      <c r="ASF125" s="41"/>
      <c r="ASG125" s="41"/>
      <c r="ASH125" s="41"/>
      <c r="ASI125" s="41"/>
      <c r="ASJ125" s="41"/>
      <c r="ASK125" s="41"/>
      <c r="ASL125" s="41"/>
      <c r="ASM125" s="41"/>
      <c r="ASN125" s="41"/>
      <c r="ASO125" s="41"/>
      <c r="ASP125" s="41"/>
      <c r="ASQ125" s="41"/>
      <c r="ASR125" s="41"/>
      <c r="ASS125" s="41"/>
      <c r="AST125" s="41"/>
      <c r="ASU125" s="41"/>
      <c r="ASV125" s="41"/>
      <c r="ASW125" s="41"/>
      <c r="ASX125" s="41"/>
      <c r="ASY125" s="41"/>
      <c r="ASZ125" s="41"/>
      <c r="ATA125" s="41"/>
      <c r="ATB125" s="41"/>
      <c r="ATC125" s="41"/>
      <c r="ATD125" s="41"/>
      <c r="ATE125" s="41"/>
      <c r="ATF125" s="41"/>
      <c r="ATG125" s="41"/>
      <c r="ATH125" s="41"/>
      <c r="ATI125" s="41"/>
      <c r="ATJ125" s="41"/>
      <c r="ATK125" s="41"/>
      <c r="ATL125" s="41"/>
      <c r="ATM125" s="41"/>
      <c r="ATN125" s="41"/>
      <c r="ATO125" s="41"/>
      <c r="ATP125" s="41"/>
      <c r="ATQ125" s="41"/>
      <c r="ATR125" s="41"/>
      <c r="ATS125" s="41"/>
      <c r="ATT125" s="41"/>
      <c r="ATU125" s="41"/>
      <c r="ATV125" s="41"/>
      <c r="ATW125" s="41"/>
      <c r="ATX125" s="41"/>
      <c r="ATY125" s="41"/>
      <c r="ATZ125" s="41"/>
      <c r="AUA125" s="41"/>
      <c r="AUB125" s="41"/>
      <c r="AUC125" s="41"/>
      <c r="AUD125" s="41"/>
      <c r="AUE125" s="41"/>
      <c r="AUF125" s="41"/>
      <c r="AUG125" s="41"/>
      <c r="AUH125" s="41"/>
      <c r="AUI125" s="41"/>
      <c r="AUJ125" s="41"/>
      <c r="AUK125" s="41"/>
      <c r="AUL125" s="41"/>
      <c r="AUM125" s="41"/>
      <c r="AUN125" s="41"/>
      <c r="AUO125" s="41"/>
      <c r="AUP125" s="41"/>
      <c r="AUQ125" s="41"/>
      <c r="AUR125" s="41"/>
      <c r="AUS125" s="41"/>
      <c r="AUT125" s="41"/>
      <c r="AUU125" s="41"/>
      <c r="AUV125" s="41"/>
      <c r="AUW125" s="41"/>
      <c r="AUX125" s="41"/>
      <c r="AUY125" s="41"/>
      <c r="AUZ125" s="41"/>
      <c r="AVA125" s="41"/>
      <c r="AVB125" s="41"/>
      <c r="AVC125" s="41"/>
      <c r="AVD125" s="41"/>
      <c r="AVE125" s="41"/>
      <c r="AVF125" s="41"/>
      <c r="AVG125" s="41"/>
      <c r="AVH125" s="41"/>
      <c r="AVI125" s="41"/>
      <c r="AVJ125" s="41"/>
      <c r="AVK125" s="41"/>
      <c r="AVL125" s="41"/>
      <c r="AVM125" s="41"/>
      <c r="AVN125" s="41"/>
      <c r="AVO125" s="41"/>
      <c r="AVP125" s="41"/>
      <c r="AVQ125" s="41"/>
      <c r="AVR125" s="41"/>
      <c r="AVS125" s="41"/>
      <c r="AVT125" s="41"/>
      <c r="AVU125" s="41"/>
      <c r="AVV125" s="41"/>
      <c r="AVW125" s="41"/>
      <c r="AVX125" s="41"/>
      <c r="AVY125" s="41"/>
      <c r="AVZ125" s="41"/>
      <c r="AWA125" s="41"/>
      <c r="AWB125" s="41"/>
      <c r="AWC125" s="41"/>
      <c r="AWD125" s="41"/>
      <c r="AWE125" s="41"/>
      <c r="AWF125" s="41"/>
      <c r="AWG125" s="41"/>
      <c r="AWH125" s="41"/>
      <c r="AWI125" s="41"/>
      <c r="AWJ125" s="41"/>
      <c r="AWK125" s="41"/>
      <c r="AWL125" s="41"/>
      <c r="AWM125" s="41"/>
      <c r="AWN125" s="41"/>
      <c r="AWO125" s="41"/>
      <c r="AWP125" s="41"/>
      <c r="AWQ125" s="41"/>
      <c r="AWR125" s="41"/>
      <c r="AWS125" s="41"/>
      <c r="AWT125" s="41"/>
      <c r="AWU125" s="41"/>
      <c r="AWV125" s="41"/>
      <c r="AWW125" s="41"/>
      <c r="AWX125" s="41"/>
      <c r="AWY125" s="41"/>
      <c r="AWZ125" s="41"/>
      <c r="AXA125" s="41"/>
      <c r="AXB125" s="41"/>
      <c r="AXC125" s="41"/>
      <c r="AXD125" s="41"/>
      <c r="AXE125" s="41"/>
      <c r="AXF125" s="41"/>
      <c r="AXG125" s="41"/>
      <c r="AXH125" s="41"/>
      <c r="AXI125" s="41"/>
      <c r="AXJ125" s="41"/>
      <c r="AXK125" s="41"/>
      <c r="AXL125" s="41"/>
      <c r="AXM125" s="41"/>
      <c r="AXN125" s="41"/>
      <c r="AXO125" s="41"/>
      <c r="AXP125" s="41"/>
      <c r="AXQ125" s="41"/>
      <c r="AXR125" s="41"/>
      <c r="AXS125" s="41"/>
      <c r="AXT125" s="41"/>
      <c r="AXU125" s="41"/>
      <c r="AXV125" s="41"/>
      <c r="AXW125" s="41"/>
      <c r="AXX125" s="41"/>
      <c r="AXY125" s="41"/>
      <c r="AXZ125" s="41"/>
      <c r="AYA125" s="41"/>
      <c r="AYB125" s="41"/>
      <c r="AYC125" s="41"/>
      <c r="AYD125" s="41"/>
      <c r="AYE125" s="41"/>
      <c r="AYF125" s="41"/>
      <c r="AYG125" s="41"/>
      <c r="AYH125" s="41"/>
      <c r="AYI125" s="41"/>
      <c r="AYJ125" s="41"/>
      <c r="AYK125" s="41"/>
      <c r="AYL125" s="41"/>
      <c r="AYM125" s="41"/>
      <c r="AYN125" s="41"/>
      <c r="AYO125" s="41"/>
      <c r="AYP125" s="41"/>
      <c r="AYQ125" s="41"/>
      <c r="AYR125" s="41"/>
      <c r="AYS125" s="41"/>
      <c r="AYT125" s="41"/>
      <c r="AYU125" s="41"/>
      <c r="AYV125" s="41"/>
      <c r="AYW125" s="41"/>
      <c r="AYX125" s="41"/>
      <c r="AYY125" s="41"/>
      <c r="AYZ125" s="41"/>
      <c r="AZA125" s="41"/>
      <c r="AZB125" s="41"/>
      <c r="AZC125" s="41"/>
      <c r="AZD125" s="41"/>
      <c r="AZE125" s="41"/>
      <c r="AZF125" s="41"/>
      <c r="AZG125" s="41"/>
      <c r="AZH125" s="41"/>
      <c r="AZI125" s="41"/>
      <c r="AZJ125" s="41"/>
      <c r="AZK125" s="41"/>
      <c r="AZL125" s="41"/>
      <c r="AZM125" s="41"/>
      <c r="AZN125" s="41"/>
      <c r="AZO125" s="41"/>
      <c r="AZP125" s="41"/>
      <c r="AZQ125" s="41"/>
      <c r="AZR125" s="41"/>
      <c r="AZS125" s="41"/>
      <c r="AZT125" s="41"/>
      <c r="AZU125" s="41"/>
      <c r="AZV125" s="41"/>
      <c r="AZW125" s="41"/>
      <c r="AZX125" s="41"/>
      <c r="AZY125" s="41"/>
      <c r="AZZ125" s="41"/>
      <c r="BAA125" s="41"/>
      <c r="BAB125" s="41"/>
      <c r="BAC125" s="41"/>
      <c r="BAD125" s="41"/>
      <c r="BAE125" s="41"/>
      <c r="BAF125" s="41"/>
      <c r="BAG125" s="41"/>
      <c r="BAH125" s="41"/>
      <c r="BAI125" s="41"/>
      <c r="BAJ125" s="41"/>
      <c r="BAK125" s="41"/>
      <c r="BAL125" s="41"/>
      <c r="BAM125" s="41"/>
      <c r="BAN125" s="41"/>
      <c r="BAO125" s="41"/>
      <c r="BAP125" s="41"/>
      <c r="BAQ125" s="41"/>
      <c r="BAR125" s="41"/>
      <c r="BAS125" s="41"/>
      <c r="BAT125" s="41"/>
      <c r="BAU125" s="41"/>
      <c r="BAV125" s="41"/>
      <c r="BAW125" s="41"/>
      <c r="BAX125" s="41"/>
      <c r="BAY125" s="41"/>
      <c r="BAZ125" s="41"/>
      <c r="BBA125" s="41"/>
      <c r="BBB125" s="41"/>
      <c r="BBC125" s="41"/>
      <c r="BBD125" s="41"/>
      <c r="BBE125" s="41"/>
      <c r="BBF125" s="41"/>
      <c r="BBG125" s="41"/>
      <c r="BBH125" s="41"/>
      <c r="BBI125" s="41"/>
      <c r="BBJ125" s="41"/>
      <c r="BBK125" s="41"/>
      <c r="BBL125" s="41"/>
      <c r="BBM125" s="41"/>
      <c r="BBN125" s="41"/>
      <c r="BBO125" s="41"/>
      <c r="BBP125" s="41"/>
      <c r="BBQ125" s="41"/>
      <c r="BBR125" s="41"/>
      <c r="BBS125" s="41"/>
      <c r="BBT125" s="41"/>
      <c r="BBU125" s="41"/>
      <c r="BBV125" s="41"/>
      <c r="BBW125" s="41"/>
      <c r="BBX125" s="41"/>
      <c r="BBY125" s="41"/>
      <c r="BBZ125" s="41"/>
      <c r="BCA125" s="41"/>
      <c r="BCB125" s="41"/>
      <c r="BCC125" s="41"/>
      <c r="BCD125" s="41"/>
      <c r="BCE125" s="41"/>
      <c r="BCF125" s="41"/>
      <c r="BCG125" s="41"/>
      <c r="BCH125" s="41"/>
      <c r="BCI125" s="41"/>
      <c r="BCJ125" s="41"/>
      <c r="BCK125" s="41"/>
      <c r="BCL125" s="41"/>
      <c r="BCM125" s="41"/>
      <c r="BCN125" s="41"/>
      <c r="BCO125" s="41"/>
      <c r="BCP125" s="41"/>
      <c r="BCQ125" s="41"/>
      <c r="BCR125" s="41"/>
      <c r="BCS125" s="41"/>
      <c r="BCT125" s="41"/>
      <c r="BCU125" s="41"/>
      <c r="BCV125" s="41"/>
      <c r="BCW125" s="41"/>
      <c r="BCX125" s="41"/>
      <c r="BCY125" s="41"/>
      <c r="BCZ125" s="41"/>
      <c r="BDA125" s="41"/>
      <c r="BDB125" s="41"/>
      <c r="BDC125" s="41"/>
      <c r="BDD125" s="41"/>
      <c r="BDE125" s="41"/>
      <c r="BDF125" s="41"/>
      <c r="BDG125" s="41"/>
      <c r="BDH125" s="41"/>
      <c r="BDI125" s="41"/>
      <c r="BDJ125" s="41"/>
      <c r="BDK125" s="41"/>
      <c r="BDL125" s="41"/>
      <c r="BDM125" s="41"/>
      <c r="BDN125" s="41"/>
      <c r="BDO125" s="41"/>
      <c r="BDP125" s="41"/>
      <c r="BDQ125" s="41"/>
      <c r="BDR125" s="41"/>
      <c r="BDS125" s="41"/>
      <c r="BDT125" s="41"/>
      <c r="BDU125" s="41"/>
      <c r="BDV125" s="41"/>
      <c r="BDW125" s="41"/>
      <c r="BDX125" s="41"/>
      <c r="BDY125" s="41"/>
      <c r="BDZ125" s="41"/>
      <c r="BEA125" s="41"/>
      <c r="BEB125" s="41"/>
      <c r="BEC125" s="41"/>
      <c r="BED125" s="41"/>
      <c r="BEE125" s="41"/>
      <c r="BEF125" s="41"/>
      <c r="BEG125" s="41"/>
      <c r="BEH125" s="41"/>
      <c r="BEI125" s="41"/>
      <c r="BEJ125" s="41"/>
      <c r="BEK125" s="41"/>
      <c r="BEL125" s="41"/>
      <c r="BEM125" s="41"/>
      <c r="BEN125" s="41"/>
      <c r="BEO125" s="41"/>
      <c r="BEP125" s="41"/>
      <c r="BEQ125" s="41"/>
      <c r="BER125" s="41"/>
      <c r="BES125" s="41"/>
      <c r="BET125" s="41"/>
      <c r="BEU125" s="41"/>
      <c r="BEV125" s="41"/>
      <c r="BEW125" s="41"/>
      <c r="BEX125" s="41"/>
      <c r="BEY125" s="41"/>
      <c r="BEZ125" s="41"/>
      <c r="BFA125" s="41"/>
      <c r="BFB125" s="41"/>
      <c r="BFC125" s="41"/>
      <c r="BFD125" s="41"/>
      <c r="BFE125" s="41"/>
      <c r="BFF125" s="41"/>
      <c r="BFG125" s="41"/>
      <c r="BFH125" s="41"/>
      <c r="BFI125" s="41"/>
      <c r="BFJ125" s="41"/>
      <c r="BFK125" s="41"/>
      <c r="BFL125" s="41"/>
      <c r="BFM125" s="41"/>
      <c r="BFN125" s="41"/>
      <c r="BFO125" s="41"/>
      <c r="BFP125" s="41"/>
      <c r="BFQ125" s="41"/>
      <c r="BFR125" s="41"/>
      <c r="BFS125" s="41"/>
      <c r="BFT125" s="41"/>
      <c r="BFU125" s="41"/>
      <c r="BFV125" s="41"/>
      <c r="BFW125" s="41"/>
      <c r="BFX125" s="41"/>
      <c r="BFY125" s="41"/>
      <c r="BFZ125" s="41"/>
      <c r="BGA125" s="41"/>
      <c r="BGB125" s="41"/>
      <c r="BGC125" s="41"/>
      <c r="BGD125" s="41"/>
      <c r="BGE125" s="41"/>
      <c r="BGF125" s="41"/>
      <c r="BGG125" s="41"/>
      <c r="BGH125" s="41"/>
      <c r="BGI125" s="41"/>
      <c r="BGJ125" s="41"/>
      <c r="BGK125" s="41"/>
      <c r="BGL125" s="41"/>
      <c r="BGM125" s="41"/>
      <c r="BGN125" s="41"/>
      <c r="BGO125" s="41"/>
      <c r="BGP125" s="41"/>
      <c r="BGQ125" s="41"/>
      <c r="BGR125" s="41"/>
      <c r="BGS125" s="41"/>
      <c r="BGT125" s="41"/>
      <c r="BGU125" s="41"/>
      <c r="BGV125" s="41"/>
      <c r="BGW125" s="41"/>
      <c r="BGX125" s="41"/>
      <c r="BGY125" s="41"/>
      <c r="BGZ125" s="41"/>
      <c r="BHA125" s="41"/>
      <c r="BHB125" s="41"/>
      <c r="BHC125" s="41"/>
      <c r="BHD125" s="41"/>
      <c r="BHE125" s="41"/>
      <c r="BHF125" s="41"/>
      <c r="BHG125" s="41"/>
      <c r="BHH125" s="41"/>
      <c r="BHI125" s="41"/>
      <c r="BHJ125" s="41"/>
      <c r="BHK125" s="41"/>
      <c r="BHL125" s="41"/>
      <c r="BHM125" s="41"/>
      <c r="BHN125" s="41"/>
      <c r="BHO125" s="41"/>
      <c r="BHP125" s="41"/>
      <c r="BHQ125" s="41"/>
      <c r="BHR125" s="41"/>
      <c r="BHS125" s="41"/>
      <c r="BHT125" s="41"/>
      <c r="BHU125" s="41"/>
      <c r="BHV125" s="41"/>
      <c r="BHW125" s="41"/>
      <c r="BHX125" s="41"/>
      <c r="BHY125" s="41"/>
      <c r="BHZ125" s="41"/>
      <c r="BIA125" s="41"/>
      <c r="BIB125" s="41"/>
      <c r="BIC125" s="41"/>
      <c r="BID125" s="41"/>
      <c r="BIE125" s="41"/>
      <c r="BIF125" s="41"/>
      <c r="BIG125" s="41"/>
      <c r="BIH125" s="41"/>
      <c r="BII125" s="41"/>
      <c r="BIJ125" s="41"/>
      <c r="BIK125" s="41"/>
      <c r="BIL125" s="41"/>
      <c r="BIM125" s="41"/>
      <c r="BIN125" s="41"/>
      <c r="BIO125" s="41"/>
      <c r="BIP125" s="41"/>
      <c r="BIQ125" s="41"/>
      <c r="BIR125" s="41"/>
      <c r="BIS125" s="41"/>
      <c r="BIT125" s="41"/>
      <c r="BIU125" s="41"/>
      <c r="BIV125" s="41"/>
      <c r="BIW125" s="41"/>
      <c r="BIX125" s="41"/>
      <c r="BIY125" s="41"/>
      <c r="BIZ125" s="41"/>
      <c r="BJA125" s="41"/>
      <c r="BJB125" s="41"/>
      <c r="BJC125" s="41"/>
      <c r="BJD125" s="41"/>
      <c r="BJE125" s="41"/>
      <c r="BJF125" s="41"/>
      <c r="BJG125" s="41"/>
      <c r="BJH125" s="41"/>
      <c r="BJI125" s="41"/>
      <c r="BJJ125" s="41"/>
      <c r="BJK125" s="41"/>
      <c r="BJL125" s="41"/>
      <c r="BJM125" s="41"/>
      <c r="BJN125" s="41"/>
      <c r="BJO125" s="41"/>
      <c r="BJP125" s="41"/>
      <c r="BJQ125" s="41"/>
      <c r="BJR125" s="41"/>
      <c r="BJS125" s="41"/>
      <c r="BJT125" s="41"/>
      <c r="BJU125" s="41"/>
      <c r="BJV125" s="41"/>
      <c r="BJW125" s="41"/>
      <c r="BJX125" s="41"/>
      <c r="BJY125" s="41"/>
      <c r="BJZ125" s="41"/>
      <c r="BKA125" s="41"/>
      <c r="BKB125" s="41"/>
      <c r="BKC125" s="41"/>
      <c r="BKD125" s="41"/>
      <c r="BKE125" s="41"/>
      <c r="BKF125" s="41"/>
      <c r="BKG125" s="41"/>
      <c r="BKH125" s="41"/>
      <c r="BKI125" s="41"/>
      <c r="BKJ125" s="41"/>
      <c r="BKK125" s="41"/>
      <c r="BKL125" s="41"/>
      <c r="BKM125" s="41"/>
      <c r="BKN125" s="41"/>
      <c r="BKO125" s="41"/>
      <c r="BKP125" s="41"/>
      <c r="BKQ125" s="41"/>
      <c r="BKR125" s="41"/>
      <c r="BKS125" s="41"/>
      <c r="BKT125" s="41"/>
      <c r="BKU125" s="41"/>
      <c r="BKV125" s="41"/>
      <c r="BKW125" s="41"/>
      <c r="BKX125" s="41"/>
      <c r="BKY125" s="41"/>
      <c r="BKZ125" s="41"/>
      <c r="BLA125" s="41"/>
      <c r="BLB125" s="41"/>
      <c r="BLC125" s="41"/>
      <c r="BLD125" s="41"/>
      <c r="BLE125" s="41"/>
      <c r="BLF125" s="41"/>
      <c r="BLG125" s="41"/>
      <c r="BLH125" s="41"/>
      <c r="BLI125" s="41"/>
      <c r="BLJ125" s="41"/>
      <c r="BLK125" s="41"/>
      <c r="BLL125" s="41"/>
      <c r="BLM125" s="41"/>
      <c r="BLN125" s="41"/>
      <c r="BLO125" s="41"/>
      <c r="BLP125" s="41"/>
      <c r="BLQ125" s="41"/>
      <c r="BLR125" s="41"/>
      <c r="BLS125" s="41"/>
      <c r="BLT125" s="41"/>
      <c r="BLU125" s="41"/>
      <c r="BLV125" s="41"/>
      <c r="BLW125" s="41"/>
      <c r="BLX125" s="41"/>
      <c r="BLY125" s="41"/>
      <c r="BLZ125" s="41"/>
      <c r="BMA125" s="41"/>
      <c r="BMB125" s="41"/>
      <c r="BMC125" s="41"/>
      <c r="BMD125" s="41"/>
      <c r="BME125" s="41"/>
      <c r="BMF125" s="41"/>
      <c r="BMG125" s="41"/>
      <c r="BMH125" s="41"/>
      <c r="BMI125" s="41"/>
      <c r="BMJ125" s="41"/>
      <c r="BMK125" s="41"/>
      <c r="BML125" s="41"/>
      <c r="BMM125" s="41"/>
      <c r="BMN125" s="41"/>
      <c r="BMO125" s="41"/>
      <c r="BMP125" s="41"/>
      <c r="BMQ125" s="41"/>
      <c r="BMR125" s="41"/>
      <c r="BMS125" s="41"/>
      <c r="BMT125" s="41"/>
      <c r="BMU125" s="41"/>
      <c r="BMV125" s="41"/>
      <c r="BMW125" s="41"/>
      <c r="BMX125" s="41"/>
      <c r="BMY125" s="41"/>
      <c r="BMZ125" s="41"/>
      <c r="BNA125" s="41"/>
      <c r="BNB125" s="41"/>
      <c r="BNC125" s="41"/>
      <c r="BND125" s="41"/>
      <c r="BNE125" s="41"/>
      <c r="BNF125" s="41"/>
      <c r="BNG125" s="41"/>
      <c r="BNH125" s="41"/>
      <c r="BNI125" s="41"/>
      <c r="BNJ125" s="41"/>
      <c r="BNK125" s="41"/>
      <c r="BNL125" s="41"/>
      <c r="BNM125" s="41"/>
      <c r="BNN125" s="41"/>
      <c r="BNO125" s="41"/>
      <c r="BNP125" s="41"/>
      <c r="BNQ125" s="41"/>
      <c r="BNR125" s="41"/>
      <c r="BNS125" s="41"/>
      <c r="BNT125" s="41"/>
      <c r="BNU125" s="41"/>
      <c r="BNV125" s="41"/>
      <c r="BNW125" s="41"/>
      <c r="BNX125" s="41"/>
      <c r="BNY125" s="41"/>
      <c r="BNZ125" s="41"/>
      <c r="BOA125" s="41"/>
      <c r="BOB125" s="41"/>
      <c r="BOC125" s="41"/>
      <c r="BOD125" s="41"/>
      <c r="BOE125" s="41"/>
      <c r="BOF125" s="41"/>
      <c r="BOG125" s="41"/>
      <c r="BOH125" s="41"/>
      <c r="BOI125" s="41"/>
      <c r="BOJ125" s="41"/>
      <c r="BOK125" s="41"/>
      <c r="BOL125" s="41"/>
      <c r="BOM125" s="41"/>
      <c r="BON125" s="41"/>
      <c r="BOO125" s="41"/>
      <c r="BOP125" s="41"/>
      <c r="BOQ125" s="41"/>
      <c r="BOR125" s="41"/>
      <c r="BOS125" s="41"/>
      <c r="BOT125" s="41"/>
      <c r="BOU125" s="41"/>
      <c r="BOV125" s="41"/>
      <c r="BOW125" s="41"/>
      <c r="BOX125" s="41"/>
      <c r="BOY125" s="41"/>
      <c r="BOZ125" s="41"/>
      <c r="BPA125" s="41"/>
      <c r="BPB125" s="41"/>
      <c r="BPC125" s="41"/>
      <c r="BPD125" s="41"/>
      <c r="BPE125" s="41"/>
      <c r="BPF125" s="41"/>
      <c r="BPG125" s="41"/>
      <c r="BPH125" s="41"/>
      <c r="BPI125" s="41"/>
      <c r="BPJ125" s="41"/>
      <c r="BPK125" s="41"/>
      <c r="BPL125" s="41"/>
      <c r="BPM125" s="41"/>
      <c r="BPN125" s="41"/>
      <c r="BPO125" s="41"/>
      <c r="BPP125" s="41"/>
      <c r="BPQ125" s="41"/>
      <c r="BPR125" s="41"/>
      <c r="BPS125" s="41"/>
      <c r="BPT125" s="41"/>
      <c r="BPU125" s="41"/>
      <c r="BPV125" s="41"/>
      <c r="BPW125" s="41"/>
      <c r="BPX125" s="41"/>
      <c r="BPY125" s="41"/>
      <c r="BPZ125" s="41"/>
      <c r="BQA125" s="41"/>
      <c r="BQB125" s="41"/>
      <c r="BQC125" s="41"/>
      <c r="BQD125" s="41"/>
      <c r="BQE125" s="41"/>
      <c r="BQF125" s="41"/>
      <c r="BQG125" s="41"/>
      <c r="BQH125" s="41"/>
      <c r="BQI125" s="41"/>
      <c r="BQJ125" s="41"/>
      <c r="BQK125" s="41"/>
      <c r="BQL125" s="41"/>
      <c r="BQM125" s="41"/>
      <c r="BQN125" s="41"/>
      <c r="BQO125" s="41"/>
      <c r="BQP125" s="41"/>
      <c r="BQQ125" s="41"/>
      <c r="BQR125" s="41"/>
      <c r="BQS125" s="41"/>
      <c r="BQT125" s="41"/>
      <c r="BQU125" s="41"/>
      <c r="BQV125" s="41"/>
      <c r="BQW125" s="41"/>
      <c r="BQX125" s="41"/>
      <c r="BQY125" s="41"/>
      <c r="BQZ125" s="41"/>
      <c r="BRA125" s="41"/>
      <c r="BRB125" s="41"/>
      <c r="BRC125" s="41"/>
      <c r="BRD125" s="41"/>
      <c r="BRE125" s="41"/>
      <c r="BRF125" s="41"/>
      <c r="BRG125" s="41"/>
      <c r="BRH125" s="41"/>
      <c r="BRI125" s="41"/>
      <c r="BRJ125" s="41"/>
      <c r="BRK125" s="41"/>
      <c r="BRL125" s="41"/>
      <c r="BRM125" s="41"/>
      <c r="BRN125" s="41"/>
      <c r="BRO125" s="41"/>
      <c r="BRP125" s="41"/>
      <c r="BRQ125" s="41"/>
      <c r="BRR125" s="41"/>
      <c r="BRS125" s="41"/>
      <c r="BRT125" s="41"/>
      <c r="BRU125" s="41"/>
      <c r="BRV125" s="41"/>
      <c r="BRW125" s="41"/>
      <c r="BRX125" s="41"/>
      <c r="BRY125" s="41"/>
      <c r="BRZ125" s="41"/>
      <c r="BSA125" s="41"/>
      <c r="BSB125" s="41"/>
      <c r="BSC125" s="41"/>
      <c r="BSD125" s="41"/>
      <c r="BSE125" s="41"/>
      <c r="BSF125" s="41"/>
      <c r="BSG125" s="41"/>
      <c r="BSH125" s="41"/>
      <c r="BSI125" s="41"/>
      <c r="BSJ125" s="41"/>
      <c r="BSK125" s="41"/>
      <c r="BSL125" s="41"/>
      <c r="BSM125" s="41"/>
      <c r="BSN125" s="41"/>
      <c r="BSO125" s="41"/>
      <c r="BSP125" s="41"/>
      <c r="BSQ125" s="41"/>
      <c r="BSR125" s="41"/>
      <c r="BSS125" s="41"/>
      <c r="BST125" s="41"/>
      <c r="BSU125" s="41"/>
      <c r="BSV125" s="41"/>
      <c r="BSW125" s="41"/>
      <c r="BSX125" s="41"/>
      <c r="BSY125" s="41"/>
      <c r="BSZ125" s="41"/>
      <c r="BTA125" s="41"/>
      <c r="BTB125" s="41"/>
      <c r="BTC125" s="41"/>
      <c r="BTD125" s="41"/>
      <c r="BTE125" s="41"/>
      <c r="BTF125" s="41"/>
      <c r="BTG125" s="41"/>
      <c r="BTH125" s="41"/>
      <c r="BTI125" s="41"/>
      <c r="BTJ125" s="41"/>
      <c r="BTK125" s="41"/>
      <c r="BTL125" s="41"/>
      <c r="BTM125" s="41"/>
      <c r="BTN125" s="41"/>
      <c r="BTO125" s="41"/>
      <c r="BTP125" s="41"/>
      <c r="BTQ125" s="41"/>
      <c r="BTR125" s="41"/>
      <c r="BTS125" s="41"/>
      <c r="BTT125" s="41"/>
      <c r="BTU125" s="41"/>
      <c r="BTV125" s="41"/>
      <c r="BTW125" s="41"/>
      <c r="BTX125" s="41"/>
      <c r="BTY125" s="41"/>
      <c r="BTZ125" s="41"/>
      <c r="BUA125" s="41"/>
      <c r="BUB125" s="41"/>
      <c r="BUC125" s="41"/>
      <c r="BUD125" s="41"/>
      <c r="BUE125" s="41"/>
      <c r="BUF125" s="41"/>
      <c r="BUG125" s="41"/>
      <c r="BUH125" s="41"/>
      <c r="BUI125" s="41"/>
      <c r="BUJ125" s="41"/>
      <c r="BUK125" s="41"/>
      <c r="BUL125" s="41"/>
      <c r="BUM125" s="41"/>
      <c r="BUN125" s="41"/>
      <c r="BUO125" s="41"/>
      <c r="BUP125" s="41"/>
      <c r="BUQ125" s="41"/>
      <c r="BUR125" s="41"/>
      <c r="BUS125" s="41"/>
      <c r="BUT125" s="41"/>
      <c r="BUU125" s="41"/>
      <c r="BUV125" s="41"/>
      <c r="BUW125" s="41"/>
      <c r="BUX125" s="41"/>
      <c r="BUY125" s="41"/>
      <c r="BUZ125" s="41"/>
      <c r="BVA125" s="41"/>
      <c r="BVB125" s="41"/>
      <c r="BVC125" s="41"/>
      <c r="BVD125" s="41"/>
      <c r="BVE125" s="41"/>
      <c r="BVF125" s="41"/>
      <c r="BVG125" s="41"/>
      <c r="BVH125" s="41"/>
      <c r="BVI125" s="41"/>
      <c r="BVJ125" s="41"/>
      <c r="BVK125" s="41"/>
      <c r="BVL125" s="41"/>
      <c r="BVM125" s="41"/>
      <c r="BVN125" s="41"/>
      <c r="BVO125" s="41"/>
      <c r="BVP125" s="41"/>
      <c r="BVQ125" s="41"/>
      <c r="BVR125" s="41"/>
      <c r="BVS125" s="41"/>
      <c r="BVT125" s="41"/>
      <c r="BVU125" s="41"/>
      <c r="BVV125" s="41"/>
      <c r="BVW125" s="41"/>
      <c r="BVX125" s="41"/>
      <c r="BVY125" s="41"/>
      <c r="BVZ125" s="41"/>
      <c r="BWA125" s="41"/>
      <c r="BWB125" s="41"/>
      <c r="BWC125" s="41"/>
      <c r="BWD125" s="41"/>
      <c r="BWE125" s="41"/>
      <c r="BWF125" s="41"/>
      <c r="BWG125" s="41"/>
      <c r="BWH125" s="41"/>
      <c r="BWI125" s="41"/>
      <c r="BWJ125" s="41"/>
      <c r="BWK125" s="41"/>
      <c r="BWL125" s="41"/>
      <c r="BWM125" s="41"/>
      <c r="BWN125" s="41"/>
      <c r="BWO125" s="41"/>
      <c r="BWP125" s="41"/>
      <c r="BWQ125" s="41"/>
      <c r="BWR125" s="41"/>
      <c r="BWS125" s="41"/>
      <c r="BWT125" s="41"/>
      <c r="BWU125" s="41"/>
      <c r="BWV125" s="41"/>
      <c r="BWW125" s="41"/>
      <c r="BWX125" s="41"/>
      <c r="BWY125" s="41"/>
      <c r="BWZ125" s="41"/>
      <c r="BXA125" s="41"/>
      <c r="BXB125" s="41"/>
      <c r="BXC125" s="41"/>
      <c r="BXD125" s="41"/>
      <c r="BXE125" s="41"/>
      <c r="BXF125" s="41"/>
      <c r="BXG125" s="41"/>
      <c r="BXH125" s="41"/>
      <c r="BXI125" s="41"/>
      <c r="BXJ125" s="41"/>
      <c r="BXK125" s="41"/>
      <c r="BXL125" s="41"/>
      <c r="BXM125" s="41"/>
      <c r="BXN125" s="41"/>
      <c r="BXO125" s="41"/>
      <c r="BXP125" s="41"/>
      <c r="BXQ125" s="41"/>
      <c r="BXR125" s="41"/>
      <c r="BXS125" s="41"/>
      <c r="BXT125" s="41"/>
      <c r="BXU125" s="41"/>
      <c r="BXV125" s="41"/>
      <c r="BXW125" s="41"/>
      <c r="BXX125" s="41"/>
      <c r="BXY125" s="41"/>
      <c r="BXZ125" s="41"/>
      <c r="BYA125" s="41"/>
      <c r="BYB125" s="41"/>
      <c r="BYC125" s="41"/>
      <c r="BYD125" s="41"/>
      <c r="BYE125" s="41"/>
      <c r="BYF125" s="41"/>
      <c r="BYG125" s="41"/>
      <c r="BYH125" s="41"/>
      <c r="BYI125" s="41"/>
      <c r="BYJ125" s="41"/>
      <c r="BYK125" s="41"/>
      <c r="BYL125" s="41"/>
      <c r="BYM125" s="41"/>
      <c r="BYN125" s="41"/>
      <c r="BYO125" s="41"/>
      <c r="BYP125" s="41"/>
      <c r="BYQ125" s="41"/>
      <c r="BYR125" s="41"/>
      <c r="BYS125" s="41"/>
      <c r="BYT125" s="41"/>
      <c r="BYU125" s="41"/>
      <c r="BYV125" s="41"/>
      <c r="BYW125" s="41"/>
      <c r="BYX125" s="41"/>
      <c r="BYY125" s="41"/>
      <c r="BYZ125" s="41"/>
      <c r="BZA125" s="41"/>
      <c r="BZB125" s="41"/>
      <c r="BZC125" s="41"/>
      <c r="BZD125" s="41"/>
      <c r="BZE125" s="41"/>
      <c r="BZF125" s="41"/>
      <c r="BZG125" s="41"/>
      <c r="BZH125" s="41"/>
      <c r="BZI125" s="41"/>
      <c r="BZJ125" s="41"/>
      <c r="BZK125" s="41"/>
      <c r="BZL125" s="41"/>
      <c r="BZM125" s="41"/>
      <c r="BZN125" s="41"/>
      <c r="BZO125" s="41"/>
      <c r="BZP125" s="41"/>
      <c r="BZQ125" s="41"/>
      <c r="BZR125" s="41"/>
      <c r="BZS125" s="41"/>
      <c r="BZT125" s="41"/>
      <c r="BZU125" s="41"/>
      <c r="BZV125" s="41"/>
      <c r="BZW125" s="41"/>
      <c r="BZX125" s="41"/>
      <c r="BZY125" s="41"/>
      <c r="BZZ125" s="41"/>
      <c r="CAA125" s="41"/>
      <c r="CAB125" s="41"/>
      <c r="CAC125" s="41"/>
      <c r="CAD125" s="41"/>
      <c r="CAE125" s="41"/>
      <c r="CAF125" s="41"/>
      <c r="CAG125" s="41"/>
      <c r="CAH125" s="41"/>
      <c r="CAI125" s="41"/>
      <c r="CAJ125" s="41"/>
      <c r="CAK125" s="41"/>
      <c r="CAL125" s="41"/>
      <c r="CAM125" s="41"/>
      <c r="CAN125" s="41"/>
      <c r="CAO125" s="41"/>
      <c r="CAP125" s="41"/>
      <c r="CAQ125" s="41"/>
      <c r="CAR125" s="41"/>
      <c r="CAS125" s="41"/>
      <c r="CAT125" s="41"/>
      <c r="CAU125" s="41"/>
      <c r="CAV125" s="41"/>
      <c r="CAW125" s="41"/>
      <c r="CAX125" s="41"/>
      <c r="CAY125" s="41"/>
      <c r="CAZ125" s="41"/>
      <c r="CBA125" s="41"/>
      <c r="CBB125" s="41"/>
      <c r="CBC125" s="41"/>
      <c r="CBD125" s="41"/>
      <c r="CBE125" s="41"/>
      <c r="CBF125" s="41"/>
      <c r="CBG125" s="41"/>
      <c r="CBH125" s="41"/>
      <c r="CBI125" s="41"/>
      <c r="CBJ125" s="41"/>
      <c r="CBK125" s="41"/>
      <c r="CBL125" s="41"/>
      <c r="CBM125" s="41"/>
      <c r="CBN125" s="41"/>
      <c r="CBO125" s="41"/>
      <c r="CBP125" s="41"/>
      <c r="CBQ125" s="41"/>
      <c r="CBR125" s="41"/>
      <c r="CBS125" s="41"/>
      <c r="CBT125" s="41"/>
      <c r="CBU125" s="41"/>
      <c r="CBV125" s="41"/>
      <c r="CBW125" s="41"/>
      <c r="CBX125" s="41"/>
      <c r="CBY125" s="41"/>
      <c r="CBZ125" s="41"/>
      <c r="CCA125" s="41"/>
      <c r="CCB125" s="41"/>
      <c r="CCC125" s="41"/>
      <c r="CCD125" s="41"/>
      <c r="CCE125" s="41"/>
      <c r="CCF125" s="41"/>
      <c r="CCG125" s="41"/>
      <c r="CCH125" s="41"/>
      <c r="CCI125" s="41"/>
      <c r="CCJ125" s="41"/>
      <c r="CCK125" s="41"/>
      <c r="CCL125" s="41"/>
      <c r="CCM125" s="41"/>
      <c r="CCN125" s="41"/>
      <c r="CCO125" s="41"/>
      <c r="CCP125" s="41"/>
      <c r="CCQ125" s="41"/>
      <c r="CCR125" s="41"/>
      <c r="CCS125" s="41"/>
      <c r="CCT125" s="41"/>
      <c r="CCU125" s="41"/>
      <c r="CCV125" s="41"/>
      <c r="CCW125" s="41"/>
      <c r="CCX125" s="41"/>
      <c r="CCY125" s="41"/>
      <c r="CCZ125" s="41"/>
      <c r="CDA125" s="41"/>
      <c r="CDB125" s="41"/>
      <c r="CDC125" s="41"/>
      <c r="CDD125" s="41"/>
      <c r="CDE125" s="41"/>
      <c r="CDF125" s="41"/>
      <c r="CDG125" s="41"/>
      <c r="CDH125" s="41"/>
      <c r="CDI125" s="41"/>
      <c r="CDJ125" s="41"/>
      <c r="CDK125" s="41"/>
      <c r="CDL125" s="41"/>
      <c r="CDM125" s="41"/>
      <c r="CDN125" s="41"/>
      <c r="CDO125" s="41"/>
      <c r="CDP125" s="41"/>
      <c r="CDQ125" s="41"/>
      <c r="CDR125" s="41"/>
      <c r="CDS125" s="41"/>
      <c r="CDT125" s="41"/>
      <c r="CDU125" s="41"/>
      <c r="CDV125" s="41"/>
      <c r="CDW125" s="41"/>
      <c r="CDX125" s="41"/>
      <c r="CDY125" s="41"/>
      <c r="CDZ125" s="41"/>
      <c r="CEA125" s="41"/>
      <c r="CEB125" s="41"/>
      <c r="CEC125" s="41"/>
      <c r="CED125" s="41"/>
      <c r="CEE125" s="41"/>
      <c r="CEF125" s="41"/>
      <c r="CEG125" s="41"/>
      <c r="CEH125" s="41"/>
      <c r="CEI125" s="41"/>
      <c r="CEJ125" s="41"/>
      <c r="CEK125" s="41"/>
      <c r="CEL125" s="41"/>
      <c r="CEM125" s="41"/>
      <c r="CEN125" s="41"/>
      <c r="CEO125" s="41"/>
      <c r="CEP125" s="41"/>
      <c r="CEQ125" s="41"/>
      <c r="CER125" s="41"/>
      <c r="CES125" s="41"/>
      <c r="CET125" s="41"/>
      <c r="CEU125" s="41"/>
      <c r="CEV125" s="41"/>
      <c r="CEW125" s="41"/>
      <c r="CEX125" s="41"/>
      <c r="CEY125" s="41"/>
      <c r="CEZ125" s="41"/>
      <c r="CFA125" s="41"/>
      <c r="CFB125" s="41"/>
      <c r="CFC125" s="41"/>
      <c r="CFD125" s="41"/>
      <c r="CFE125" s="41"/>
      <c r="CFF125" s="41"/>
      <c r="CFG125" s="41"/>
      <c r="CFH125" s="41"/>
      <c r="CFI125" s="41"/>
      <c r="CFJ125" s="41"/>
      <c r="CFK125" s="41"/>
      <c r="CFL125" s="41"/>
      <c r="CFM125" s="41"/>
      <c r="CFN125" s="41"/>
      <c r="CFO125" s="41"/>
      <c r="CFP125" s="41"/>
      <c r="CFQ125" s="41"/>
      <c r="CFR125" s="41"/>
      <c r="CFS125" s="41"/>
      <c r="CFT125" s="41"/>
      <c r="CFU125" s="41"/>
      <c r="CFV125" s="41"/>
      <c r="CFW125" s="41"/>
      <c r="CFX125" s="41"/>
      <c r="CFY125" s="41"/>
      <c r="CFZ125" s="41"/>
      <c r="CGA125" s="41"/>
      <c r="CGB125" s="41"/>
      <c r="CGC125" s="41"/>
      <c r="CGD125" s="41"/>
      <c r="CGE125" s="41"/>
      <c r="CGF125" s="41"/>
      <c r="CGG125" s="41"/>
      <c r="CGH125" s="41"/>
      <c r="CGI125" s="41"/>
      <c r="CGJ125" s="41"/>
      <c r="CGK125" s="41"/>
      <c r="CGL125" s="41"/>
      <c r="CGM125" s="41"/>
      <c r="CGN125" s="41"/>
      <c r="CGO125" s="41"/>
      <c r="CGP125" s="41"/>
      <c r="CGQ125" s="41"/>
      <c r="CGR125" s="41"/>
      <c r="CGS125" s="41"/>
      <c r="CGT125" s="41"/>
      <c r="CGU125" s="41"/>
      <c r="CGV125" s="41"/>
      <c r="CGW125" s="41"/>
      <c r="CGX125" s="41"/>
      <c r="CGY125" s="41"/>
      <c r="CGZ125" s="41"/>
      <c r="CHA125" s="41"/>
      <c r="CHB125" s="41"/>
      <c r="CHC125" s="41"/>
      <c r="CHD125" s="41"/>
      <c r="CHE125" s="41"/>
      <c r="CHF125" s="41"/>
      <c r="CHG125" s="41"/>
      <c r="CHH125" s="41"/>
      <c r="CHI125" s="41"/>
      <c r="CHJ125" s="41"/>
      <c r="CHK125" s="41"/>
      <c r="CHL125" s="41"/>
      <c r="CHM125" s="41"/>
      <c r="CHN125" s="41"/>
      <c r="CHO125" s="41"/>
      <c r="CHP125" s="41"/>
      <c r="CHQ125" s="41"/>
      <c r="CHR125" s="41"/>
      <c r="CHS125" s="41"/>
      <c r="CHT125" s="41"/>
      <c r="CHU125" s="41"/>
      <c r="CHV125" s="41"/>
      <c r="CHW125" s="41"/>
      <c r="CHX125" s="41"/>
      <c r="CHY125" s="41"/>
      <c r="CHZ125" s="41"/>
      <c r="CIA125" s="41"/>
      <c r="CIB125" s="41"/>
      <c r="CIC125" s="41"/>
      <c r="CID125" s="41"/>
      <c r="CIE125" s="41"/>
      <c r="CIF125" s="41"/>
      <c r="CIG125" s="41"/>
      <c r="CIH125" s="41"/>
      <c r="CII125" s="41"/>
      <c r="CIJ125" s="41"/>
      <c r="CIK125" s="41"/>
      <c r="CIL125" s="41"/>
      <c r="CIM125" s="41"/>
      <c r="CIN125" s="41"/>
      <c r="CIO125" s="41"/>
      <c r="CIP125" s="41"/>
      <c r="CIQ125" s="41"/>
      <c r="CIR125" s="41"/>
      <c r="CIS125" s="41"/>
      <c r="CIT125" s="41"/>
      <c r="CIU125" s="41"/>
      <c r="CIV125" s="41"/>
      <c r="CIW125" s="41"/>
      <c r="CIX125" s="41"/>
      <c r="CIY125" s="41"/>
      <c r="CIZ125" s="41"/>
      <c r="CJA125" s="41"/>
      <c r="CJB125" s="41"/>
      <c r="CJC125" s="41"/>
      <c r="CJD125" s="41"/>
      <c r="CJE125" s="41"/>
      <c r="CJF125" s="41"/>
      <c r="CJG125" s="41"/>
      <c r="CJH125" s="41"/>
      <c r="CJI125" s="41"/>
      <c r="CJJ125" s="41"/>
      <c r="CJK125" s="41"/>
      <c r="CJL125" s="41"/>
      <c r="CJM125" s="41"/>
      <c r="CJN125" s="41"/>
      <c r="CJO125" s="41"/>
      <c r="CJP125" s="41"/>
      <c r="CJQ125" s="41"/>
      <c r="CJR125" s="41"/>
      <c r="CJS125" s="41"/>
      <c r="CJT125" s="41"/>
      <c r="CJU125" s="41"/>
      <c r="CJV125" s="41"/>
      <c r="CJW125" s="41"/>
      <c r="CJX125" s="41"/>
      <c r="CJY125" s="41"/>
      <c r="CJZ125" s="41"/>
      <c r="CKA125" s="41"/>
      <c r="CKB125" s="41"/>
      <c r="CKC125" s="41"/>
      <c r="CKD125" s="41"/>
      <c r="CKE125" s="41"/>
      <c r="CKF125" s="41"/>
      <c r="CKG125" s="41"/>
      <c r="CKH125" s="41"/>
      <c r="CKI125" s="41"/>
      <c r="CKJ125" s="41"/>
      <c r="CKK125" s="41"/>
      <c r="CKL125" s="41"/>
      <c r="CKM125" s="41"/>
      <c r="CKN125" s="41"/>
      <c r="CKO125" s="41"/>
      <c r="CKP125" s="41"/>
      <c r="CKQ125" s="41"/>
      <c r="CKR125" s="41"/>
      <c r="CKS125" s="41"/>
      <c r="CKT125" s="41"/>
      <c r="CKU125" s="41"/>
      <c r="CKV125" s="41"/>
      <c r="CKW125" s="41"/>
      <c r="CKX125" s="41"/>
      <c r="CKY125" s="41"/>
      <c r="CKZ125" s="41"/>
      <c r="CLA125" s="41"/>
      <c r="CLB125" s="41"/>
      <c r="CLC125" s="41"/>
      <c r="CLD125" s="41"/>
      <c r="CLE125" s="41"/>
      <c r="CLF125" s="41"/>
      <c r="CLG125" s="41"/>
      <c r="CLH125" s="41"/>
      <c r="CLI125" s="41"/>
      <c r="CLJ125" s="41"/>
      <c r="CLK125" s="41"/>
      <c r="CLL125" s="41"/>
      <c r="CLM125" s="41"/>
      <c r="CLN125" s="41"/>
      <c r="CLO125" s="41"/>
      <c r="CLP125" s="41"/>
      <c r="CLQ125" s="41"/>
      <c r="CLR125" s="41"/>
      <c r="CLS125" s="41"/>
      <c r="CLT125" s="41"/>
      <c r="CLU125" s="41"/>
      <c r="CLV125" s="41"/>
      <c r="CLW125" s="41"/>
      <c r="CLX125" s="41"/>
      <c r="CLY125" s="41"/>
      <c r="CLZ125" s="41"/>
      <c r="CMA125" s="41"/>
      <c r="CMB125" s="41"/>
      <c r="CMC125" s="41"/>
      <c r="CMD125" s="41"/>
      <c r="CME125" s="41"/>
      <c r="CMF125" s="41"/>
      <c r="CMG125" s="41"/>
      <c r="CMH125" s="41"/>
      <c r="CMI125" s="41"/>
      <c r="CMJ125" s="41"/>
      <c r="CMK125" s="41"/>
      <c r="CML125" s="41"/>
      <c r="CMM125" s="41"/>
      <c r="CMN125" s="41"/>
      <c r="CMO125" s="41"/>
      <c r="CMP125" s="41"/>
      <c r="CMQ125" s="41"/>
      <c r="CMR125" s="41"/>
      <c r="CMS125" s="41"/>
      <c r="CMT125" s="41"/>
      <c r="CMU125" s="41"/>
      <c r="CMV125" s="41"/>
      <c r="CMW125" s="41"/>
      <c r="CMX125" s="41"/>
      <c r="CMY125" s="41"/>
      <c r="CMZ125" s="41"/>
      <c r="CNA125" s="41"/>
      <c r="CNB125" s="41"/>
      <c r="CNC125" s="41"/>
      <c r="CND125" s="41"/>
      <c r="CNE125" s="41"/>
      <c r="CNF125" s="41"/>
      <c r="CNG125" s="41"/>
      <c r="CNH125" s="41"/>
      <c r="CNI125" s="41"/>
      <c r="CNJ125" s="41"/>
      <c r="CNK125" s="41"/>
      <c r="CNL125" s="41"/>
      <c r="CNM125" s="41"/>
      <c r="CNN125" s="41"/>
      <c r="CNO125" s="41"/>
      <c r="CNP125" s="41"/>
      <c r="CNQ125" s="41"/>
      <c r="CNR125" s="41"/>
      <c r="CNS125" s="41"/>
      <c r="CNT125" s="41"/>
      <c r="CNU125" s="41"/>
      <c r="CNV125" s="41"/>
      <c r="CNW125" s="41"/>
      <c r="CNX125" s="41"/>
      <c r="CNY125" s="41"/>
      <c r="CNZ125" s="41"/>
      <c r="COA125" s="41"/>
      <c r="COB125" s="41"/>
      <c r="COC125" s="41"/>
      <c r="COD125" s="41"/>
      <c r="COE125" s="41"/>
      <c r="COF125" s="41"/>
      <c r="COG125" s="41"/>
      <c r="COH125" s="41"/>
      <c r="COI125" s="41"/>
      <c r="COJ125" s="41"/>
      <c r="COK125" s="41"/>
      <c r="COL125" s="41"/>
      <c r="COM125" s="41"/>
      <c r="CON125" s="41"/>
      <c r="COO125" s="41"/>
      <c r="COP125" s="41"/>
      <c r="COQ125" s="41"/>
      <c r="COR125" s="41"/>
      <c r="COS125" s="41"/>
      <c r="COT125" s="41"/>
      <c r="COU125" s="41"/>
      <c r="COV125" s="41"/>
      <c r="COW125" s="41"/>
      <c r="COX125" s="41"/>
      <c r="COY125" s="41"/>
      <c r="COZ125" s="41"/>
      <c r="CPA125" s="41"/>
      <c r="CPB125" s="41"/>
      <c r="CPC125" s="41"/>
      <c r="CPD125" s="41"/>
      <c r="CPE125" s="41"/>
      <c r="CPF125" s="41"/>
      <c r="CPG125" s="41"/>
      <c r="CPH125" s="41"/>
      <c r="CPI125" s="41"/>
      <c r="CPJ125" s="41"/>
      <c r="CPK125" s="41"/>
      <c r="CPL125" s="41"/>
      <c r="CPM125" s="41"/>
      <c r="CPN125" s="41"/>
      <c r="CPO125" s="41"/>
      <c r="CPP125" s="41"/>
      <c r="CPQ125" s="41"/>
      <c r="CPR125" s="41"/>
      <c r="CPS125" s="41"/>
      <c r="CPT125" s="41"/>
      <c r="CPU125" s="41"/>
      <c r="CPV125" s="41"/>
      <c r="CPW125" s="41"/>
      <c r="CPX125" s="41"/>
      <c r="CPY125" s="41"/>
      <c r="CPZ125" s="41"/>
      <c r="CQA125" s="41"/>
      <c r="CQB125" s="41"/>
      <c r="CQC125" s="41"/>
      <c r="CQD125" s="41"/>
      <c r="CQE125" s="41"/>
      <c r="CQF125" s="41"/>
      <c r="CQG125" s="41"/>
      <c r="CQH125" s="41"/>
      <c r="CQI125" s="41"/>
      <c r="CQJ125" s="41"/>
      <c r="CQK125" s="41"/>
      <c r="CQL125" s="41"/>
      <c r="CQM125" s="41"/>
      <c r="CQN125" s="41"/>
      <c r="CQO125" s="41"/>
      <c r="CQP125" s="41"/>
      <c r="CQQ125" s="41"/>
      <c r="CQR125" s="41"/>
      <c r="CQS125" s="41"/>
      <c r="CQT125" s="41"/>
      <c r="CQU125" s="41"/>
      <c r="CQV125" s="41"/>
      <c r="CQW125" s="41"/>
      <c r="CQX125" s="41"/>
      <c r="CQY125" s="41"/>
      <c r="CQZ125" s="41"/>
      <c r="CRA125" s="41"/>
      <c r="CRB125" s="41"/>
      <c r="CRC125" s="41"/>
      <c r="CRD125" s="41"/>
      <c r="CRE125" s="41"/>
      <c r="CRF125" s="41"/>
      <c r="CRG125" s="41"/>
      <c r="CRH125" s="41"/>
      <c r="CRI125" s="41"/>
      <c r="CRJ125" s="41"/>
      <c r="CRK125" s="41"/>
      <c r="CRL125" s="41"/>
      <c r="CRM125" s="41"/>
      <c r="CRN125" s="41"/>
      <c r="CRO125" s="41"/>
      <c r="CRP125" s="41"/>
      <c r="CRQ125" s="41"/>
      <c r="CRR125" s="41"/>
      <c r="CRS125" s="41"/>
      <c r="CRT125" s="41"/>
      <c r="CRU125" s="41"/>
      <c r="CRV125" s="41"/>
      <c r="CRW125" s="41"/>
      <c r="CRX125" s="41"/>
      <c r="CRY125" s="41"/>
      <c r="CRZ125" s="41"/>
      <c r="CSA125" s="41"/>
      <c r="CSB125" s="41"/>
      <c r="CSC125" s="41"/>
      <c r="CSD125" s="41"/>
      <c r="CSE125" s="41"/>
      <c r="CSF125" s="41"/>
      <c r="CSG125" s="41"/>
      <c r="CSH125" s="41"/>
      <c r="CSI125" s="41"/>
      <c r="CSJ125" s="41"/>
      <c r="CSK125" s="41"/>
      <c r="CSL125" s="41"/>
      <c r="CSM125" s="41"/>
      <c r="CSN125" s="41"/>
      <c r="CSO125" s="41"/>
      <c r="CSP125" s="41"/>
      <c r="CSQ125" s="41"/>
      <c r="CSR125" s="41"/>
      <c r="CSS125" s="41"/>
      <c r="CST125" s="41"/>
      <c r="CSU125" s="41"/>
      <c r="CSV125" s="41"/>
      <c r="CSW125" s="41"/>
      <c r="CSX125" s="41"/>
      <c r="CSY125" s="41"/>
      <c r="CSZ125" s="41"/>
      <c r="CTA125" s="41"/>
      <c r="CTB125" s="41"/>
      <c r="CTC125" s="41"/>
      <c r="CTD125" s="41"/>
      <c r="CTE125" s="41"/>
      <c r="CTF125" s="41"/>
      <c r="CTG125" s="41"/>
      <c r="CTH125" s="41"/>
      <c r="CTI125" s="41"/>
      <c r="CTJ125" s="41"/>
      <c r="CTK125" s="41"/>
      <c r="CTL125" s="41"/>
      <c r="CTM125" s="41"/>
      <c r="CTN125" s="41"/>
      <c r="CTO125" s="41"/>
      <c r="CTP125" s="41"/>
      <c r="CTQ125" s="41"/>
      <c r="CTR125" s="41"/>
      <c r="CTS125" s="41"/>
      <c r="CTT125" s="41"/>
      <c r="CTU125" s="41"/>
      <c r="CTV125" s="41"/>
      <c r="CTW125" s="41"/>
      <c r="CTX125" s="41"/>
      <c r="CTY125" s="41"/>
      <c r="CTZ125" s="41"/>
      <c r="CUA125" s="41"/>
      <c r="CUB125" s="41"/>
      <c r="CUC125" s="41"/>
      <c r="CUD125" s="41"/>
      <c r="CUE125" s="41"/>
      <c r="CUF125" s="41"/>
      <c r="CUG125" s="41"/>
      <c r="CUH125" s="41"/>
      <c r="CUI125" s="41"/>
      <c r="CUJ125" s="41"/>
      <c r="CUK125" s="41"/>
      <c r="CUL125" s="41"/>
      <c r="CUM125" s="41"/>
      <c r="CUN125" s="41"/>
      <c r="CUO125" s="41"/>
      <c r="CUP125" s="41"/>
      <c r="CUQ125" s="41"/>
      <c r="CUR125" s="41"/>
      <c r="CUS125" s="41"/>
      <c r="CUT125" s="41"/>
      <c r="CUU125" s="41"/>
      <c r="CUV125" s="41"/>
      <c r="CUW125" s="41"/>
      <c r="CUX125" s="41"/>
      <c r="CUY125" s="41"/>
      <c r="CUZ125" s="41"/>
      <c r="CVA125" s="41"/>
      <c r="CVB125" s="41"/>
      <c r="CVC125" s="41"/>
      <c r="CVD125" s="41"/>
      <c r="CVE125" s="41"/>
      <c r="CVF125" s="41"/>
      <c r="CVG125" s="41"/>
      <c r="CVH125" s="41"/>
      <c r="CVI125" s="41"/>
      <c r="CVJ125" s="41"/>
      <c r="CVK125" s="41"/>
      <c r="CVL125" s="41"/>
      <c r="CVM125" s="41"/>
      <c r="CVN125" s="41"/>
      <c r="CVO125" s="41"/>
      <c r="CVP125" s="41"/>
      <c r="CVQ125" s="41"/>
      <c r="CVR125" s="41"/>
      <c r="CVS125" s="41"/>
      <c r="CVT125" s="41"/>
      <c r="CVU125" s="41"/>
      <c r="CVV125" s="41"/>
      <c r="CVW125" s="41"/>
      <c r="CVX125" s="41"/>
      <c r="CVY125" s="41"/>
      <c r="CVZ125" s="41"/>
      <c r="CWA125" s="41"/>
      <c r="CWB125" s="41"/>
      <c r="CWC125" s="41"/>
      <c r="CWD125" s="41"/>
      <c r="CWE125" s="41"/>
      <c r="CWF125" s="41"/>
      <c r="CWG125" s="41"/>
      <c r="CWH125" s="41"/>
      <c r="CWI125" s="41"/>
      <c r="CWJ125" s="41"/>
      <c r="CWK125" s="41"/>
      <c r="CWL125" s="41"/>
      <c r="CWM125" s="41"/>
      <c r="CWN125" s="41"/>
      <c r="CWO125" s="41"/>
      <c r="CWP125" s="41"/>
      <c r="CWQ125" s="41"/>
      <c r="CWR125" s="41"/>
      <c r="CWS125" s="41"/>
      <c r="CWT125" s="41"/>
      <c r="CWU125" s="41"/>
      <c r="CWV125" s="41"/>
      <c r="CWW125" s="41"/>
      <c r="CWX125" s="41"/>
      <c r="CWY125" s="41"/>
      <c r="CWZ125" s="41"/>
      <c r="CXA125" s="41"/>
      <c r="CXB125" s="41"/>
      <c r="CXC125" s="41"/>
      <c r="CXD125" s="41"/>
      <c r="CXE125" s="41"/>
      <c r="CXF125" s="41"/>
      <c r="CXG125" s="41"/>
      <c r="CXH125" s="41"/>
      <c r="CXI125" s="41"/>
      <c r="CXJ125" s="41"/>
      <c r="CXK125" s="41"/>
      <c r="CXL125" s="41"/>
      <c r="CXM125" s="41"/>
      <c r="CXN125" s="41"/>
      <c r="CXO125" s="41"/>
      <c r="CXP125" s="41"/>
      <c r="CXQ125" s="41"/>
      <c r="CXR125" s="41"/>
      <c r="CXS125" s="41"/>
      <c r="CXT125" s="41"/>
      <c r="CXU125" s="41"/>
      <c r="CXV125" s="41"/>
      <c r="CXW125" s="41"/>
      <c r="CXX125" s="41"/>
      <c r="CXY125" s="41"/>
      <c r="CXZ125" s="41"/>
      <c r="CYA125" s="41"/>
      <c r="CYB125" s="41"/>
      <c r="CYC125" s="41"/>
      <c r="CYD125" s="41"/>
      <c r="CYE125" s="41"/>
      <c r="CYF125" s="41"/>
      <c r="CYG125" s="41"/>
      <c r="CYH125" s="41"/>
      <c r="CYI125" s="41"/>
      <c r="CYJ125" s="41"/>
      <c r="CYK125" s="41"/>
      <c r="CYL125" s="41"/>
      <c r="CYM125" s="41"/>
      <c r="CYN125" s="41"/>
      <c r="CYO125" s="41"/>
      <c r="CYP125" s="41"/>
      <c r="CYQ125" s="41"/>
      <c r="CYR125" s="41"/>
      <c r="CYS125" s="41"/>
      <c r="CYT125" s="41"/>
      <c r="CYU125" s="41"/>
      <c r="CYV125" s="41"/>
      <c r="CYW125" s="41"/>
      <c r="CYX125" s="41"/>
      <c r="CYY125" s="41"/>
      <c r="CYZ125" s="41"/>
      <c r="CZA125" s="41"/>
      <c r="CZB125" s="41"/>
      <c r="CZC125" s="41"/>
      <c r="CZD125" s="41"/>
      <c r="CZE125" s="41"/>
      <c r="CZF125" s="41"/>
      <c r="CZG125" s="41"/>
      <c r="CZH125" s="41"/>
      <c r="CZI125" s="41"/>
      <c r="CZJ125" s="41"/>
      <c r="CZK125" s="41"/>
      <c r="CZL125" s="41"/>
      <c r="CZM125" s="41"/>
      <c r="CZN125" s="41"/>
      <c r="CZO125" s="41"/>
      <c r="CZP125" s="41"/>
      <c r="CZQ125" s="41"/>
      <c r="CZR125" s="41"/>
      <c r="CZS125" s="41"/>
      <c r="CZT125" s="41"/>
      <c r="CZU125" s="41"/>
      <c r="CZV125" s="41"/>
      <c r="CZW125" s="41"/>
      <c r="CZX125" s="41"/>
      <c r="CZY125" s="41"/>
      <c r="CZZ125" s="41"/>
      <c r="DAA125" s="41"/>
      <c r="DAB125" s="41"/>
      <c r="DAC125" s="41"/>
      <c r="DAD125" s="41"/>
      <c r="DAE125" s="41"/>
      <c r="DAF125" s="41"/>
      <c r="DAG125" s="41"/>
      <c r="DAH125" s="41"/>
      <c r="DAI125" s="41"/>
      <c r="DAJ125" s="41"/>
      <c r="DAK125" s="41"/>
      <c r="DAL125" s="41"/>
      <c r="DAM125" s="41"/>
      <c r="DAN125" s="41"/>
      <c r="DAO125" s="41"/>
      <c r="DAP125" s="41"/>
      <c r="DAQ125" s="41"/>
      <c r="DAR125" s="41"/>
      <c r="DAS125" s="41"/>
      <c r="DAT125" s="41"/>
      <c r="DAU125" s="41"/>
      <c r="DAV125" s="41"/>
      <c r="DAW125" s="41"/>
      <c r="DAX125" s="41"/>
      <c r="DAY125" s="41"/>
      <c r="DAZ125" s="41"/>
      <c r="DBA125" s="41"/>
      <c r="DBB125" s="41"/>
      <c r="DBC125" s="41"/>
      <c r="DBD125" s="41"/>
      <c r="DBE125" s="41"/>
      <c r="DBF125" s="41"/>
      <c r="DBG125" s="41"/>
      <c r="DBH125" s="41"/>
      <c r="DBI125" s="41"/>
      <c r="DBJ125" s="41"/>
      <c r="DBK125" s="41"/>
      <c r="DBL125" s="41"/>
      <c r="DBM125" s="41"/>
      <c r="DBN125" s="41"/>
      <c r="DBO125" s="41"/>
      <c r="DBP125" s="41"/>
      <c r="DBQ125" s="41"/>
      <c r="DBR125" s="41"/>
      <c r="DBS125" s="41"/>
      <c r="DBT125" s="41"/>
      <c r="DBU125" s="41"/>
      <c r="DBV125" s="41"/>
      <c r="DBW125" s="41"/>
      <c r="DBX125" s="41"/>
      <c r="DBY125" s="41"/>
      <c r="DBZ125" s="41"/>
      <c r="DCA125" s="41"/>
      <c r="DCB125" s="41"/>
      <c r="DCC125" s="41"/>
      <c r="DCD125" s="41"/>
      <c r="DCE125" s="41"/>
      <c r="DCF125" s="41"/>
      <c r="DCG125" s="41"/>
      <c r="DCH125" s="41"/>
      <c r="DCI125" s="41"/>
      <c r="DCJ125" s="41"/>
      <c r="DCK125" s="41"/>
      <c r="DCL125" s="41"/>
      <c r="DCM125" s="41"/>
      <c r="DCN125" s="41"/>
      <c r="DCO125" s="41"/>
      <c r="DCP125" s="41"/>
      <c r="DCQ125" s="41"/>
      <c r="DCR125" s="41"/>
      <c r="DCS125" s="41"/>
      <c r="DCT125" s="41"/>
      <c r="DCU125" s="41"/>
      <c r="DCV125" s="41"/>
      <c r="DCW125" s="41"/>
      <c r="DCX125" s="41"/>
      <c r="DCY125" s="41"/>
      <c r="DCZ125" s="41"/>
      <c r="DDA125" s="41"/>
      <c r="DDB125" s="41"/>
      <c r="DDC125" s="41"/>
      <c r="DDD125" s="41"/>
      <c r="DDE125" s="41"/>
      <c r="DDF125" s="41"/>
      <c r="DDG125" s="41"/>
      <c r="DDH125" s="41"/>
      <c r="DDI125" s="41"/>
      <c r="DDJ125" s="41"/>
      <c r="DDK125" s="41"/>
      <c r="DDL125" s="41"/>
      <c r="DDM125" s="41"/>
      <c r="DDN125" s="41"/>
      <c r="DDO125" s="41"/>
      <c r="DDP125" s="41"/>
      <c r="DDQ125" s="41"/>
      <c r="DDR125" s="41"/>
      <c r="DDS125" s="41"/>
      <c r="DDT125" s="41"/>
      <c r="DDU125" s="41"/>
      <c r="DDV125" s="41"/>
      <c r="DDW125" s="41"/>
      <c r="DDX125" s="41"/>
      <c r="DDY125" s="41"/>
      <c r="DDZ125" s="41"/>
      <c r="DEA125" s="41"/>
      <c r="DEB125" s="41"/>
      <c r="DEC125" s="41"/>
      <c r="DED125" s="41"/>
      <c r="DEE125" s="41"/>
      <c r="DEF125" s="41"/>
      <c r="DEG125" s="41"/>
      <c r="DEH125" s="41"/>
      <c r="DEI125" s="41"/>
      <c r="DEJ125" s="41"/>
      <c r="DEK125" s="41"/>
      <c r="DEL125" s="41"/>
      <c r="DEM125" s="41"/>
      <c r="DEN125" s="41"/>
      <c r="DEO125" s="41"/>
      <c r="DEP125" s="41"/>
      <c r="DEQ125" s="41"/>
      <c r="DER125" s="41"/>
      <c r="DES125" s="41"/>
      <c r="DET125" s="41"/>
      <c r="DEU125" s="41"/>
      <c r="DEV125" s="41"/>
      <c r="DEW125" s="41"/>
      <c r="DEX125" s="41"/>
      <c r="DEY125" s="41"/>
      <c r="DEZ125" s="41"/>
      <c r="DFA125" s="41"/>
      <c r="DFB125" s="41"/>
      <c r="DFC125" s="41"/>
      <c r="DFD125" s="41"/>
      <c r="DFE125" s="41"/>
      <c r="DFF125" s="41"/>
      <c r="DFG125" s="41"/>
      <c r="DFH125" s="41"/>
      <c r="DFI125" s="41"/>
      <c r="DFJ125" s="41"/>
      <c r="DFK125" s="41"/>
      <c r="DFL125" s="41"/>
      <c r="DFM125" s="41"/>
      <c r="DFN125" s="41"/>
      <c r="DFO125" s="41"/>
      <c r="DFP125" s="41"/>
      <c r="DFQ125" s="41"/>
      <c r="DFR125" s="41"/>
      <c r="DFS125" s="41"/>
      <c r="DFT125" s="41"/>
      <c r="DFU125" s="41"/>
      <c r="DFV125" s="41"/>
      <c r="DFW125" s="41"/>
      <c r="DFX125" s="41"/>
      <c r="DFY125" s="41"/>
      <c r="DFZ125" s="41"/>
      <c r="DGA125" s="41"/>
      <c r="DGB125" s="41"/>
      <c r="DGC125" s="41"/>
      <c r="DGD125" s="41"/>
      <c r="DGE125" s="41"/>
      <c r="DGF125" s="41"/>
      <c r="DGG125" s="41"/>
      <c r="DGH125" s="41"/>
      <c r="DGI125" s="41"/>
      <c r="DGJ125" s="41"/>
      <c r="DGK125" s="41"/>
      <c r="DGL125" s="41"/>
      <c r="DGM125" s="41"/>
      <c r="DGN125" s="41"/>
      <c r="DGO125" s="41"/>
      <c r="DGP125" s="41"/>
      <c r="DGQ125" s="41"/>
      <c r="DGR125" s="41"/>
      <c r="DGS125" s="41"/>
      <c r="DGT125" s="41"/>
      <c r="DGU125" s="41"/>
      <c r="DGV125" s="41"/>
      <c r="DGW125" s="41"/>
      <c r="DGX125" s="41"/>
      <c r="DGY125" s="41"/>
      <c r="DGZ125" s="41"/>
      <c r="DHA125" s="41"/>
      <c r="DHB125" s="41"/>
      <c r="DHC125" s="41"/>
      <c r="DHD125" s="41"/>
      <c r="DHE125" s="41"/>
      <c r="DHF125" s="41"/>
      <c r="DHG125" s="41"/>
      <c r="DHH125" s="41"/>
      <c r="DHI125" s="41"/>
      <c r="DHJ125" s="41"/>
      <c r="DHK125" s="41"/>
      <c r="DHL125" s="41"/>
      <c r="DHM125" s="41"/>
      <c r="DHN125" s="41"/>
      <c r="DHO125" s="41"/>
      <c r="DHP125" s="41"/>
      <c r="DHQ125" s="41"/>
      <c r="DHR125" s="41"/>
      <c r="DHS125" s="41"/>
      <c r="DHT125" s="41"/>
      <c r="DHU125" s="41"/>
      <c r="DHV125" s="41"/>
      <c r="DHW125" s="41"/>
      <c r="DHX125" s="41"/>
      <c r="DHY125" s="41"/>
      <c r="DHZ125" s="41"/>
      <c r="DIA125" s="41"/>
      <c r="DIB125" s="41"/>
      <c r="DIC125" s="41"/>
      <c r="DID125" s="41"/>
      <c r="DIE125" s="41"/>
      <c r="DIF125" s="41"/>
      <c r="DIG125" s="41"/>
      <c r="DIH125" s="41"/>
      <c r="DII125" s="41"/>
      <c r="DIJ125" s="41"/>
      <c r="DIK125" s="41"/>
      <c r="DIL125" s="41"/>
      <c r="DIM125" s="41"/>
      <c r="DIN125" s="41"/>
      <c r="DIO125" s="41"/>
      <c r="DIP125" s="41"/>
      <c r="DIQ125" s="41"/>
      <c r="DIR125" s="41"/>
      <c r="DIS125" s="41"/>
      <c r="DIT125" s="41"/>
      <c r="DIU125" s="41"/>
      <c r="DIV125" s="41"/>
      <c r="DIW125" s="41"/>
      <c r="DIX125" s="41"/>
      <c r="DIY125" s="41"/>
      <c r="DIZ125" s="41"/>
      <c r="DJA125" s="41"/>
      <c r="DJB125" s="41"/>
      <c r="DJC125" s="41"/>
      <c r="DJD125" s="41"/>
      <c r="DJE125" s="41"/>
      <c r="DJF125" s="41"/>
      <c r="DJG125" s="41"/>
      <c r="DJH125" s="41"/>
      <c r="DJI125" s="41"/>
      <c r="DJJ125" s="41"/>
      <c r="DJK125" s="41"/>
      <c r="DJL125" s="41"/>
      <c r="DJM125" s="41"/>
      <c r="DJN125" s="41"/>
      <c r="DJO125" s="41"/>
      <c r="DJP125" s="41"/>
      <c r="DJQ125" s="41"/>
      <c r="DJR125" s="41"/>
      <c r="DJS125" s="41"/>
      <c r="DJT125" s="41"/>
      <c r="DJU125" s="41"/>
      <c r="DJV125" s="41"/>
      <c r="DJW125" s="41"/>
      <c r="DJX125" s="41"/>
      <c r="DJY125" s="41"/>
      <c r="DJZ125" s="41"/>
      <c r="DKA125" s="41"/>
      <c r="DKB125" s="41"/>
      <c r="DKC125" s="41"/>
      <c r="DKD125" s="41"/>
      <c r="DKE125" s="41"/>
      <c r="DKF125" s="41"/>
      <c r="DKG125" s="41"/>
      <c r="DKH125" s="41"/>
      <c r="DKI125" s="41"/>
      <c r="DKJ125" s="41"/>
      <c r="DKK125" s="41"/>
      <c r="DKL125" s="41"/>
      <c r="DKM125" s="41"/>
      <c r="DKN125" s="41"/>
      <c r="DKO125" s="41"/>
      <c r="DKP125" s="41"/>
      <c r="DKQ125" s="41"/>
      <c r="DKR125" s="41"/>
      <c r="DKS125" s="41"/>
      <c r="DKT125" s="41"/>
      <c r="DKU125" s="41"/>
      <c r="DKV125" s="41"/>
      <c r="DKW125" s="41"/>
      <c r="DKX125" s="41"/>
      <c r="DKY125" s="41"/>
      <c r="DKZ125" s="41"/>
      <c r="DLA125" s="41"/>
      <c r="DLB125" s="41"/>
      <c r="DLC125" s="41"/>
      <c r="DLD125" s="41"/>
      <c r="DLE125" s="41"/>
      <c r="DLF125" s="41"/>
      <c r="DLG125" s="41"/>
      <c r="DLH125" s="41"/>
      <c r="DLI125" s="41"/>
      <c r="DLJ125" s="41"/>
      <c r="DLK125" s="41"/>
      <c r="DLL125" s="41"/>
      <c r="DLM125" s="41"/>
      <c r="DLN125" s="41"/>
      <c r="DLO125" s="41"/>
      <c r="DLP125" s="41"/>
      <c r="DLQ125" s="41"/>
      <c r="DLR125" s="41"/>
      <c r="DLS125" s="41"/>
      <c r="DLT125" s="41"/>
      <c r="DLU125" s="41"/>
      <c r="DLV125" s="41"/>
      <c r="DLW125" s="41"/>
      <c r="DLX125" s="41"/>
      <c r="DLY125" s="41"/>
      <c r="DLZ125" s="41"/>
      <c r="DMA125" s="41"/>
      <c r="DMB125" s="41"/>
      <c r="DMC125" s="41"/>
      <c r="DMD125" s="41"/>
      <c r="DME125" s="41"/>
      <c r="DMF125" s="41"/>
      <c r="DMG125" s="41"/>
      <c r="DMH125" s="41"/>
      <c r="DMI125" s="41"/>
      <c r="DMJ125" s="41"/>
      <c r="DMK125" s="41"/>
      <c r="DML125" s="41"/>
      <c r="DMM125" s="41"/>
      <c r="DMN125" s="41"/>
      <c r="DMO125" s="41"/>
      <c r="DMP125" s="41"/>
      <c r="DMQ125" s="41"/>
      <c r="DMR125" s="41"/>
      <c r="DMS125" s="41"/>
      <c r="DMT125" s="41"/>
      <c r="DMU125" s="41"/>
      <c r="DMV125" s="41"/>
      <c r="DMW125" s="41"/>
      <c r="DMX125" s="41"/>
      <c r="DMY125" s="41"/>
      <c r="DMZ125" s="41"/>
      <c r="DNA125" s="41"/>
      <c r="DNB125" s="41"/>
      <c r="DNC125" s="41"/>
      <c r="DND125" s="41"/>
      <c r="DNE125" s="41"/>
      <c r="DNF125" s="41"/>
      <c r="DNG125" s="41"/>
      <c r="DNH125" s="41"/>
      <c r="DNI125" s="41"/>
      <c r="DNJ125" s="41"/>
      <c r="DNK125" s="41"/>
      <c r="DNL125" s="41"/>
      <c r="DNM125" s="41"/>
      <c r="DNN125" s="41"/>
      <c r="DNO125" s="41"/>
      <c r="DNP125" s="41"/>
      <c r="DNQ125" s="41"/>
      <c r="DNR125" s="41"/>
      <c r="DNS125" s="41"/>
      <c r="DNT125" s="41"/>
      <c r="DNU125" s="41"/>
      <c r="DNV125" s="41"/>
      <c r="DNW125" s="41"/>
      <c r="DNX125" s="41"/>
      <c r="DNY125" s="41"/>
      <c r="DNZ125" s="41"/>
      <c r="DOA125" s="41"/>
      <c r="DOB125" s="41"/>
      <c r="DOC125" s="41"/>
      <c r="DOD125" s="41"/>
      <c r="DOE125" s="41"/>
      <c r="DOF125" s="41"/>
      <c r="DOG125" s="41"/>
      <c r="DOH125" s="41"/>
      <c r="DOI125" s="41"/>
      <c r="DOJ125" s="41"/>
      <c r="DOK125" s="41"/>
      <c r="DOL125" s="41"/>
      <c r="DOM125" s="41"/>
      <c r="DON125" s="41"/>
      <c r="DOO125" s="41"/>
      <c r="DOP125" s="41"/>
      <c r="DOQ125" s="41"/>
      <c r="DOR125" s="41"/>
      <c r="DOS125" s="41"/>
      <c r="DOT125" s="41"/>
      <c r="DOU125" s="41"/>
      <c r="DOV125" s="41"/>
      <c r="DOW125" s="41"/>
      <c r="DOX125" s="41"/>
      <c r="DOY125" s="41"/>
      <c r="DOZ125" s="41"/>
      <c r="DPA125" s="41"/>
      <c r="DPB125" s="41"/>
      <c r="DPC125" s="41"/>
      <c r="DPD125" s="41"/>
      <c r="DPE125" s="41"/>
      <c r="DPF125" s="41"/>
      <c r="DPG125" s="41"/>
      <c r="DPH125" s="41"/>
      <c r="DPI125" s="41"/>
      <c r="DPJ125" s="41"/>
      <c r="DPK125" s="41"/>
      <c r="DPL125" s="41"/>
      <c r="DPM125" s="41"/>
      <c r="DPN125" s="41"/>
      <c r="DPO125" s="41"/>
      <c r="DPP125" s="41"/>
      <c r="DPQ125" s="41"/>
      <c r="DPR125" s="41"/>
      <c r="DPS125" s="41"/>
      <c r="DPT125" s="41"/>
      <c r="DPU125" s="41"/>
      <c r="DPV125" s="41"/>
      <c r="DPW125" s="41"/>
      <c r="DPX125" s="41"/>
      <c r="DPY125" s="41"/>
      <c r="DPZ125" s="41"/>
      <c r="DQA125" s="41"/>
      <c r="DQB125" s="41"/>
      <c r="DQC125" s="41"/>
      <c r="DQD125" s="41"/>
      <c r="DQE125" s="41"/>
      <c r="DQF125" s="41"/>
      <c r="DQG125" s="41"/>
      <c r="DQH125" s="41"/>
      <c r="DQI125" s="41"/>
      <c r="DQJ125" s="41"/>
      <c r="DQK125" s="41"/>
      <c r="DQL125" s="41"/>
      <c r="DQM125" s="41"/>
      <c r="DQN125" s="41"/>
      <c r="DQO125" s="41"/>
      <c r="DQP125" s="41"/>
      <c r="DQQ125" s="41"/>
      <c r="DQR125" s="41"/>
      <c r="DQS125" s="41"/>
      <c r="DQT125" s="41"/>
      <c r="DQU125" s="41"/>
      <c r="DQV125" s="41"/>
      <c r="DQW125" s="41"/>
      <c r="DQX125" s="41"/>
      <c r="DQY125" s="41"/>
      <c r="DQZ125" s="41"/>
      <c r="DRA125" s="41"/>
      <c r="DRB125" s="41"/>
      <c r="DRC125" s="41"/>
      <c r="DRD125" s="41"/>
      <c r="DRE125" s="41"/>
      <c r="DRF125" s="41"/>
      <c r="DRG125" s="41"/>
      <c r="DRH125" s="41"/>
      <c r="DRI125" s="41"/>
      <c r="DRJ125" s="41"/>
      <c r="DRK125" s="41"/>
      <c r="DRL125" s="41"/>
      <c r="DRM125" s="41"/>
      <c r="DRN125" s="41"/>
      <c r="DRO125" s="41"/>
      <c r="DRP125" s="41"/>
      <c r="DRQ125" s="41"/>
      <c r="DRR125" s="41"/>
      <c r="DRS125" s="41"/>
      <c r="DRT125" s="41"/>
      <c r="DRU125" s="41"/>
      <c r="DRV125" s="41"/>
      <c r="DRW125" s="41"/>
      <c r="DRX125" s="41"/>
      <c r="DRY125" s="41"/>
      <c r="DRZ125" s="41"/>
      <c r="DSA125" s="41"/>
      <c r="DSB125" s="41"/>
      <c r="DSC125" s="41"/>
      <c r="DSD125" s="41"/>
      <c r="DSE125" s="41"/>
      <c r="DSF125" s="41"/>
      <c r="DSG125" s="41"/>
      <c r="DSH125" s="41"/>
      <c r="DSI125" s="41"/>
      <c r="DSJ125" s="41"/>
      <c r="DSK125" s="41"/>
      <c r="DSL125" s="41"/>
      <c r="DSM125" s="41"/>
      <c r="DSN125" s="41"/>
      <c r="DSO125" s="41"/>
      <c r="DSP125" s="41"/>
      <c r="DSQ125" s="41"/>
      <c r="DSR125" s="41"/>
      <c r="DSS125" s="41"/>
      <c r="DST125" s="41"/>
      <c r="DSU125" s="41"/>
      <c r="DSV125" s="41"/>
      <c r="DSW125" s="41"/>
      <c r="DSX125" s="41"/>
      <c r="DSY125" s="41"/>
      <c r="DSZ125" s="41"/>
      <c r="DTA125" s="41"/>
      <c r="DTB125" s="41"/>
      <c r="DTC125" s="41"/>
      <c r="DTD125" s="41"/>
      <c r="DTE125" s="41"/>
      <c r="DTF125" s="41"/>
      <c r="DTG125" s="41"/>
      <c r="DTH125" s="41"/>
      <c r="DTI125" s="41"/>
      <c r="DTJ125" s="41"/>
      <c r="DTK125" s="41"/>
      <c r="DTL125" s="41"/>
      <c r="DTM125" s="41"/>
      <c r="DTN125" s="41"/>
      <c r="DTO125" s="41"/>
      <c r="DTP125" s="41"/>
      <c r="DTQ125" s="41"/>
      <c r="DTR125" s="41"/>
      <c r="DTS125" s="41"/>
      <c r="DTT125" s="41"/>
      <c r="DTU125" s="41"/>
      <c r="DTV125" s="41"/>
      <c r="DTW125" s="41"/>
      <c r="DTX125" s="41"/>
      <c r="DTY125" s="41"/>
      <c r="DTZ125" s="41"/>
      <c r="DUA125" s="41"/>
      <c r="DUB125" s="41"/>
      <c r="DUC125" s="41"/>
      <c r="DUD125" s="41"/>
      <c r="DUE125" s="41"/>
      <c r="DUF125" s="41"/>
      <c r="DUG125" s="41"/>
      <c r="DUH125" s="41"/>
      <c r="DUI125" s="41"/>
      <c r="DUJ125" s="41"/>
      <c r="DUK125" s="41"/>
      <c r="DUL125" s="41"/>
      <c r="DUM125" s="41"/>
      <c r="DUN125" s="41"/>
      <c r="DUO125" s="41"/>
      <c r="DUP125" s="41"/>
      <c r="DUQ125" s="41"/>
      <c r="DUR125" s="41"/>
      <c r="DUS125" s="41"/>
      <c r="DUT125" s="41"/>
      <c r="DUU125" s="41"/>
      <c r="DUV125" s="41"/>
      <c r="DUW125" s="41"/>
      <c r="DUX125" s="41"/>
      <c r="DUY125" s="41"/>
      <c r="DUZ125" s="41"/>
      <c r="DVA125" s="41"/>
      <c r="DVB125" s="41"/>
      <c r="DVC125" s="41"/>
      <c r="DVD125" s="41"/>
      <c r="DVE125" s="41"/>
      <c r="DVF125" s="41"/>
      <c r="DVG125" s="41"/>
      <c r="DVH125" s="41"/>
      <c r="DVI125" s="41"/>
      <c r="DVJ125" s="41"/>
      <c r="DVK125" s="41"/>
      <c r="DVL125" s="41"/>
      <c r="DVM125" s="41"/>
      <c r="DVN125" s="41"/>
      <c r="DVO125" s="41"/>
      <c r="DVP125" s="41"/>
      <c r="DVQ125" s="41"/>
      <c r="DVR125" s="41"/>
      <c r="DVS125" s="41"/>
      <c r="DVT125" s="41"/>
      <c r="DVU125" s="41"/>
      <c r="DVV125" s="41"/>
      <c r="DVW125" s="41"/>
      <c r="DVX125" s="41"/>
      <c r="DVY125" s="41"/>
      <c r="DVZ125" s="41"/>
      <c r="DWA125" s="41"/>
      <c r="DWB125" s="41"/>
      <c r="DWC125" s="41"/>
      <c r="DWD125" s="41"/>
      <c r="DWE125" s="41"/>
      <c r="DWF125" s="41"/>
      <c r="DWG125" s="41"/>
      <c r="DWH125" s="41"/>
      <c r="DWI125" s="41"/>
      <c r="DWJ125" s="41"/>
      <c r="DWK125" s="41"/>
      <c r="DWL125" s="41"/>
      <c r="DWM125" s="41"/>
      <c r="DWN125" s="41"/>
      <c r="DWO125" s="41"/>
      <c r="DWP125" s="41"/>
      <c r="DWQ125" s="41"/>
      <c r="DWR125" s="41"/>
      <c r="DWS125" s="41"/>
      <c r="DWT125" s="41"/>
      <c r="DWU125" s="41"/>
      <c r="DWV125" s="41"/>
      <c r="DWW125" s="41"/>
      <c r="DWX125" s="41"/>
      <c r="DWY125" s="41"/>
      <c r="DWZ125" s="41"/>
      <c r="DXA125" s="41"/>
      <c r="DXB125" s="41"/>
      <c r="DXC125" s="41"/>
      <c r="DXD125" s="41"/>
      <c r="DXE125" s="41"/>
      <c r="DXF125" s="41"/>
      <c r="DXG125" s="41"/>
      <c r="DXH125" s="41"/>
      <c r="DXI125" s="41"/>
      <c r="DXJ125" s="41"/>
      <c r="DXK125" s="41"/>
      <c r="DXL125" s="41"/>
      <c r="DXM125" s="41"/>
      <c r="DXN125" s="41"/>
      <c r="DXO125" s="41"/>
      <c r="DXP125" s="41"/>
      <c r="DXQ125" s="41"/>
      <c r="DXR125" s="41"/>
      <c r="DXS125" s="41"/>
      <c r="DXT125" s="41"/>
      <c r="DXU125" s="41"/>
      <c r="DXV125" s="41"/>
      <c r="DXW125" s="41"/>
      <c r="DXX125" s="41"/>
      <c r="DXY125" s="41"/>
      <c r="DXZ125" s="41"/>
      <c r="DYA125" s="41"/>
      <c r="DYB125" s="41"/>
      <c r="DYC125" s="41"/>
      <c r="DYD125" s="41"/>
      <c r="DYE125" s="41"/>
      <c r="DYF125" s="41"/>
      <c r="DYG125" s="41"/>
      <c r="DYH125" s="41"/>
      <c r="DYI125" s="41"/>
      <c r="DYJ125" s="41"/>
      <c r="DYK125" s="41"/>
      <c r="DYL125" s="41"/>
      <c r="DYM125" s="41"/>
      <c r="DYN125" s="41"/>
      <c r="DYO125" s="41"/>
      <c r="DYP125" s="41"/>
      <c r="DYQ125" s="41"/>
      <c r="DYR125" s="41"/>
      <c r="DYS125" s="41"/>
      <c r="DYT125" s="41"/>
      <c r="DYU125" s="41"/>
      <c r="DYV125" s="41"/>
      <c r="DYW125" s="41"/>
      <c r="DYX125" s="41"/>
      <c r="DYY125" s="41"/>
      <c r="DYZ125" s="41"/>
      <c r="DZA125" s="41"/>
      <c r="DZB125" s="41"/>
      <c r="DZC125" s="41"/>
      <c r="DZD125" s="41"/>
      <c r="DZE125" s="41"/>
      <c r="DZF125" s="41"/>
      <c r="DZG125" s="41"/>
      <c r="DZH125" s="41"/>
      <c r="DZI125" s="41"/>
      <c r="DZJ125" s="41"/>
      <c r="DZK125" s="41"/>
      <c r="DZL125" s="41"/>
      <c r="DZM125" s="41"/>
      <c r="DZN125" s="41"/>
      <c r="DZO125" s="41"/>
      <c r="DZP125" s="41"/>
      <c r="DZQ125" s="41"/>
      <c r="DZR125" s="41"/>
      <c r="DZS125" s="41"/>
      <c r="DZT125" s="41"/>
      <c r="DZU125" s="41"/>
      <c r="DZV125" s="41"/>
      <c r="DZW125" s="41"/>
      <c r="DZX125" s="41"/>
      <c r="DZY125" s="41"/>
      <c r="DZZ125" s="41"/>
      <c r="EAA125" s="41"/>
      <c r="EAB125" s="41"/>
      <c r="EAC125" s="41"/>
      <c r="EAD125" s="41"/>
      <c r="EAE125" s="41"/>
      <c r="EAF125" s="41"/>
      <c r="EAG125" s="41"/>
      <c r="EAH125" s="41"/>
      <c r="EAI125" s="41"/>
      <c r="EAJ125" s="41"/>
      <c r="EAK125" s="41"/>
      <c r="EAL125" s="41"/>
      <c r="EAM125" s="41"/>
      <c r="EAN125" s="41"/>
      <c r="EAO125" s="41"/>
      <c r="EAP125" s="41"/>
      <c r="EAQ125" s="41"/>
      <c r="EAR125" s="41"/>
      <c r="EAS125" s="41"/>
      <c r="EAT125" s="41"/>
      <c r="EAU125" s="41"/>
      <c r="EAV125" s="41"/>
      <c r="EAW125" s="41"/>
      <c r="EAX125" s="41"/>
      <c r="EAY125" s="41"/>
      <c r="EAZ125" s="41"/>
      <c r="EBA125" s="41"/>
      <c r="EBB125" s="41"/>
      <c r="EBC125" s="41"/>
      <c r="EBD125" s="41"/>
      <c r="EBE125" s="41"/>
      <c r="EBF125" s="41"/>
      <c r="EBG125" s="41"/>
      <c r="EBH125" s="41"/>
      <c r="EBI125" s="41"/>
      <c r="EBJ125" s="41"/>
      <c r="EBK125" s="41"/>
      <c r="EBL125" s="41"/>
      <c r="EBM125" s="41"/>
      <c r="EBN125" s="41"/>
      <c r="EBO125" s="41"/>
      <c r="EBP125" s="41"/>
      <c r="EBQ125" s="41"/>
      <c r="EBR125" s="41"/>
      <c r="EBS125" s="41"/>
      <c r="EBT125" s="41"/>
      <c r="EBU125" s="41"/>
      <c r="EBV125" s="41"/>
      <c r="EBW125" s="41"/>
      <c r="EBX125" s="41"/>
      <c r="EBY125" s="41"/>
      <c r="EBZ125" s="41"/>
      <c r="ECA125" s="41"/>
      <c r="ECB125" s="41"/>
      <c r="ECC125" s="41"/>
      <c r="ECD125" s="41"/>
      <c r="ECE125" s="41"/>
      <c r="ECF125" s="41"/>
      <c r="ECG125" s="41"/>
      <c r="ECH125" s="41"/>
      <c r="ECI125" s="41"/>
      <c r="ECJ125" s="41"/>
      <c r="ECK125" s="41"/>
      <c r="ECL125" s="41"/>
      <c r="ECM125" s="41"/>
      <c r="ECN125" s="41"/>
      <c r="ECO125" s="41"/>
      <c r="ECP125" s="41"/>
      <c r="ECQ125" s="41"/>
      <c r="ECR125" s="41"/>
      <c r="ECS125" s="41"/>
      <c r="ECT125" s="41"/>
      <c r="ECU125" s="41"/>
      <c r="ECV125" s="41"/>
      <c r="ECW125" s="41"/>
      <c r="ECX125" s="41"/>
      <c r="ECY125" s="41"/>
      <c r="ECZ125" s="41"/>
      <c r="EDA125" s="41"/>
      <c r="EDB125" s="41"/>
      <c r="EDC125" s="41"/>
      <c r="EDD125" s="41"/>
      <c r="EDE125" s="41"/>
      <c r="EDF125" s="41"/>
      <c r="EDG125" s="41"/>
      <c r="EDH125" s="41"/>
      <c r="EDI125" s="41"/>
      <c r="EDJ125" s="41"/>
      <c r="EDK125" s="41"/>
      <c r="EDL125" s="41"/>
      <c r="EDM125" s="41"/>
      <c r="EDN125" s="41"/>
      <c r="EDO125" s="41"/>
      <c r="EDP125" s="41"/>
      <c r="EDQ125" s="41"/>
      <c r="EDR125" s="41"/>
      <c r="EDS125" s="41"/>
      <c r="EDT125" s="41"/>
      <c r="EDU125" s="41"/>
      <c r="EDV125" s="41"/>
      <c r="EDW125" s="41"/>
      <c r="EDX125" s="41"/>
      <c r="EDY125" s="41"/>
      <c r="EDZ125" s="41"/>
      <c r="EEA125" s="41"/>
      <c r="EEB125" s="41"/>
      <c r="EEC125" s="41"/>
      <c r="EED125" s="41"/>
      <c r="EEE125" s="41"/>
      <c r="EEF125" s="41"/>
      <c r="EEG125" s="41"/>
      <c r="EEH125" s="41"/>
      <c r="EEI125" s="41"/>
      <c r="EEJ125" s="41"/>
      <c r="EEK125" s="41"/>
      <c r="EEL125" s="41"/>
      <c r="EEM125" s="41"/>
      <c r="EEN125" s="41"/>
      <c r="EEO125" s="41"/>
      <c r="EEP125" s="41"/>
      <c r="EEQ125" s="41"/>
      <c r="EER125" s="41"/>
      <c r="EES125" s="41"/>
      <c r="EET125" s="41"/>
      <c r="EEU125" s="41"/>
      <c r="EEV125" s="41"/>
      <c r="EEW125" s="41"/>
      <c r="EEX125" s="41"/>
      <c r="EEY125" s="41"/>
      <c r="EEZ125" s="41"/>
      <c r="EFA125" s="41"/>
      <c r="EFB125" s="41"/>
      <c r="EFC125" s="41"/>
      <c r="EFD125" s="41"/>
      <c r="EFE125" s="41"/>
      <c r="EFF125" s="41"/>
      <c r="EFG125" s="41"/>
      <c r="EFH125" s="41"/>
      <c r="EFI125" s="41"/>
      <c r="EFJ125" s="41"/>
      <c r="EFK125" s="41"/>
      <c r="EFL125" s="41"/>
      <c r="EFM125" s="41"/>
      <c r="EFN125" s="41"/>
      <c r="EFO125" s="41"/>
      <c r="EFP125" s="41"/>
      <c r="EFQ125" s="41"/>
      <c r="EFR125" s="41"/>
      <c r="EFS125" s="41"/>
      <c r="EFT125" s="41"/>
      <c r="EFU125" s="41"/>
      <c r="EFV125" s="41"/>
      <c r="EFW125" s="41"/>
      <c r="EFX125" s="41"/>
      <c r="EFY125" s="41"/>
      <c r="EFZ125" s="41"/>
      <c r="EGA125" s="41"/>
      <c r="EGB125" s="41"/>
      <c r="EGC125" s="41"/>
      <c r="EGD125" s="41"/>
      <c r="EGE125" s="41"/>
      <c r="EGF125" s="41"/>
      <c r="EGG125" s="41"/>
      <c r="EGH125" s="41"/>
      <c r="EGI125" s="41"/>
      <c r="EGJ125" s="41"/>
      <c r="EGK125" s="41"/>
      <c r="EGL125" s="41"/>
      <c r="EGM125" s="41"/>
      <c r="EGN125" s="41"/>
      <c r="EGO125" s="41"/>
      <c r="EGP125" s="41"/>
      <c r="EGQ125" s="41"/>
      <c r="EGR125" s="41"/>
      <c r="EGS125" s="41"/>
      <c r="EGT125" s="41"/>
      <c r="EGU125" s="41"/>
      <c r="EGV125" s="41"/>
      <c r="EGW125" s="41"/>
      <c r="EGX125" s="41"/>
      <c r="EGY125" s="41"/>
      <c r="EGZ125" s="41"/>
      <c r="EHA125" s="41"/>
      <c r="EHB125" s="41"/>
      <c r="EHC125" s="41"/>
      <c r="EHD125" s="41"/>
      <c r="EHE125" s="41"/>
      <c r="EHF125" s="41"/>
      <c r="EHG125" s="41"/>
      <c r="EHH125" s="41"/>
      <c r="EHI125" s="41"/>
      <c r="EHJ125" s="41"/>
      <c r="EHK125" s="41"/>
      <c r="EHL125" s="41"/>
      <c r="EHM125" s="41"/>
      <c r="EHN125" s="41"/>
      <c r="EHO125" s="41"/>
      <c r="EHP125" s="41"/>
      <c r="EHQ125" s="41"/>
      <c r="EHR125" s="41"/>
      <c r="EHS125" s="41"/>
      <c r="EHT125" s="41"/>
      <c r="EHU125" s="41"/>
      <c r="EHV125" s="41"/>
      <c r="EHW125" s="41"/>
      <c r="EHX125" s="41"/>
      <c r="EHY125" s="41"/>
      <c r="EHZ125" s="41"/>
      <c r="EIA125" s="41"/>
      <c r="EIB125" s="41"/>
      <c r="EIC125" s="41"/>
      <c r="EID125" s="41"/>
      <c r="EIE125" s="41"/>
      <c r="EIF125" s="41"/>
      <c r="EIG125" s="41"/>
      <c r="EIH125" s="41"/>
      <c r="EII125" s="41"/>
      <c r="EIJ125" s="41"/>
      <c r="EIK125" s="41"/>
      <c r="EIL125" s="41"/>
      <c r="EIM125" s="41"/>
      <c r="EIN125" s="41"/>
      <c r="EIO125" s="41"/>
      <c r="EIP125" s="41"/>
      <c r="EIQ125" s="41"/>
      <c r="EIR125" s="41"/>
      <c r="EIS125" s="41"/>
      <c r="EIT125" s="41"/>
      <c r="EIU125" s="41"/>
      <c r="EIV125" s="41"/>
      <c r="EIW125" s="41"/>
      <c r="EIX125" s="41"/>
      <c r="EIY125" s="41"/>
      <c r="EIZ125" s="41"/>
      <c r="EJA125" s="41"/>
      <c r="EJB125" s="41"/>
      <c r="EJC125" s="41"/>
      <c r="EJD125" s="41"/>
      <c r="EJE125" s="41"/>
      <c r="EJF125" s="41"/>
      <c r="EJG125" s="41"/>
      <c r="EJH125" s="41"/>
      <c r="EJI125" s="41"/>
      <c r="EJJ125" s="41"/>
      <c r="EJK125" s="41"/>
      <c r="EJL125" s="41"/>
      <c r="EJM125" s="41"/>
      <c r="EJN125" s="41"/>
      <c r="EJO125" s="41"/>
      <c r="EJP125" s="41"/>
      <c r="EJQ125" s="41"/>
      <c r="EJR125" s="41"/>
      <c r="EJS125" s="41"/>
      <c r="EJT125" s="41"/>
      <c r="EJU125" s="41"/>
      <c r="EJV125" s="41"/>
      <c r="EJW125" s="41"/>
      <c r="EJX125" s="41"/>
      <c r="EJY125" s="41"/>
      <c r="EJZ125" s="41"/>
      <c r="EKA125" s="41"/>
      <c r="EKB125" s="41"/>
      <c r="EKC125" s="41"/>
      <c r="EKD125" s="41"/>
      <c r="EKE125" s="41"/>
      <c r="EKF125" s="41"/>
      <c r="EKG125" s="41"/>
      <c r="EKH125" s="41"/>
      <c r="EKI125" s="41"/>
      <c r="EKJ125" s="41"/>
      <c r="EKK125" s="41"/>
      <c r="EKL125" s="41"/>
      <c r="EKM125" s="41"/>
      <c r="EKN125" s="41"/>
      <c r="EKO125" s="41"/>
      <c r="EKP125" s="41"/>
      <c r="EKQ125" s="41"/>
      <c r="EKR125" s="41"/>
      <c r="EKS125" s="41"/>
      <c r="EKT125" s="41"/>
      <c r="EKU125" s="41"/>
      <c r="EKV125" s="41"/>
      <c r="EKW125" s="41"/>
      <c r="EKX125" s="41"/>
      <c r="EKY125" s="41"/>
      <c r="EKZ125" s="41"/>
      <c r="ELA125" s="41"/>
      <c r="ELB125" s="41"/>
      <c r="ELC125" s="41"/>
      <c r="ELD125" s="41"/>
      <c r="ELE125" s="41"/>
      <c r="ELF125" s="41"/>
      <c r="ELG125" s="41"/>
      <c r="ELH125" s="41"/>
      <c r="ELI125" s="41"/>
      <c r="ELJ125" s="41"/>
      <c r="ELK125" s="41"/>
      <c r="ELL125" s="41"/>
      <c r="ELM125" s="41"/>
      <c r="ELN125" s="41"/>
      <c r="ELO125" s="41"/>
      <c r="ELP125" s="41"/>
      <c r="ELQ125" s="41"/>
      <c r="ELR125" s="41"/>
      <c r="ELS125" s="41"/>
      <c r="ELT125" s="41"/>
      <c r="ELU125" s="41"/>
      <c r="ELV125" s="41"/>
      <c r="ELW125" s="41"/>
      <c r="ELX125" s="41"/>
      <c r="ELY125" s="41"/>
      <c r="ELZ125" s="41"/>
      <c r="EMA125" s="41"/>
      <c r="EMB125" s="41"/>
      <c r="EMC125" s="41"/>
      <c r="EMD125" s="41"/>
      <c r="EME125" s="41"/>
      <c r="EMF125" s="41"/>
      <c r="EMG125" s="41"/>
      <c r="EMH125" s="41"/>
      <c r="EMI125" s="41"/>
      <c r="EMJ125" s="41"/>
      <c r="EMK125" s="41"/>
      <c r="EML125" s="41"/>
      <c r="EMM125" s="41"/>
      <c r="EMN125" s="41"/>
      <c r="EMO125" s="41"/>
      <c r="EMP125" s="41"/>
      <c r="EMQ125" s="41"/>
      <c r="EMR125" s="41"/>
      <c r="EMS125" s="41"/>
      <c r="EMT125" s="41"/>
      <c r="EMU125" s="41"/>
      <c r="EMV125" s="41"/>
      <c r="EMW125" s="41"/>
      <c r="EMX125" s="41"/>
      <c r="EMY125" s="41"/>
      <c r="EMZ125" s="41"/>
      <c r="ENA125" s="41"/>
      <c r="ENB125" s="41"/>
      <c r="ENC125" s="41"/>
      <c r="END125" s="41"/>
      <c r="ENE125" s="41"/>
      <c r="ENF125" s="41"/>
      <c r="ENG125" s="41"/>
      <c r="ENH125" s="41"/>
      <c r="ENI125" s="41"/>
      <c r="ENJ125" s="41"/>
      <c r="ENK125" s="41"/>
      <c r="ENL125" s="41"/>
      <c r="ENM125" s="41"/>
      <c r="ENN125" s="41"/>
      <c r="ENO125" s="41"/>
      <c r="ENP125" s="41"/>
      <c r="ENQ125" s="41"/>
      <c r="ENR125" s="41"/>
      <c r="ENS125" s="41"/>
      <c r="ENT125" s="41"/>
      <c r="ENU125" s="41"/>
      <c r="ENV125" s="41"/>
      <c r="ENW125" s="41"/>
      <c r="ENX125" s="41"/>
      <c r="ENY125" s="41"/>
      <c r="ENZ125" s="41"/>
      <c r="EOA125" s="41"/>
      <c r="EOB125" s="41"/>
      <c r="EOC125" s="41"/>
      <c r="EOD125" s="41"/>
      <c r="EOE125" s="41"/>
      <c r="EOF125" s="41"/>
      <c r="EOG125" s="41"/>
      <c r="EOH125" s="41"/>
      <c r="EOI125" s="41"/>
      <c r="EOJ125" s="41"/>
      <c r="EOK125" s="41"/>
      <c r="EOL125" s="41"/>
      <c r="EOM125" s="41"/>
      <c r="EON125" s="41"/>
      <c r="EOO125" s="41"/>
      <c r="EOP125" s="41"/>
      <c r="EOQ125" s="41"/>
      <c r="EOR125" s="41"/>
      <c r="EOS125" s="41"/>
      <c r="EOT125" s="41"/>
      <c r="EOU125" s="41"/>
      <c r="EOV125" s="41"/>
      <c r="EOW125" s="41"/>
      <c r="EOX125" s="41"/>
      <c r="EOY125" s="41"/>
      <c r="EOZ125" s="41"/>
      <c r="EPA125" s="41"/>
      <c r="EPB125" s="41"/>
      <c r="EPC125" s="41"/>
      <c r="EPD125" s="41"/>
      <c r="EPE125" s="41"/>
      <c r="EPF125" s="41"/>
      <c r="EPG125" s="41"/>
      <c r="EPH125" s="41"/>
      <c r="EPI125" s="41"/>
      <c r="EPJ125" s="41"/>
      <c r="EPK125" s="41"/>
      <c r="EPL125" s="41"/>
      <c r="EPM125" s="41"/>
      <c r="EPN125" s="41"/>
      <c r="EPO125" s="41"/>
      <c r="EPP125" s="41"/>
      <c r="EPQ125" s="41"/>
      <c r="EPR125" s="41"/>
      <c r="EPS125" s="41"/>
      <c r="EPT125" s="41"/>
      <c r="EPU125" s="41"/>
      <c r="EPV125" s="41"/>
      <c r="EPW125" s="41"/>
      <c r="EPX125" s="41"/>
      <c r="EPY125" s="41"/>
      <c r="EPZ125" s="41"/>
      <c r="EQA125" s="41"/>
      <c r="EQB125" s="41"/>
      <c r="EQC125" s="41"/>
      <c r="EQD125" s="41"/>
      <c r="EQE125" s="41"/>
      <c r="EQF125" s="41"/>
      <c r="EQG125" s="41"/>
      <c r="EQH125" s="41"/>
      <c r="EQI125" s="41"/>
      <c r="EQJ125" s="41"/>
      <c r="EQK125" s="41"/>
      <c r="EQL125" s="41"/>
      <c r="EQM125" s="41"/>
      <c r="EQN125" s="41"/>
      <c r="EQO125" s="41"/>
      <c r="EQP125" s="41"/>
      <c r="EQQ125" s="41"/>
      <c r="EQR125" s="41"/>
      <c r="EQS125" s="41"/>
      <c r="EQT125" s="41"/>
      <c r="EQU125" s="41"/>
      <c r="EQV125" s="41"/>
      <c r="EQW125" s="41"/>
      <c r="EQX125" s="41"/>
      <c r="EQY125" s="41"/>
      <c r="EQZ125" s="41"/>
      <c r="ERA125" s="41"/>
      <c r="ERB125" s="41"/>
      <c r="ERC125" s="41"/>
      <c r="ERD125" s="41"/>
      <c r="ERE125" s="41"/>
      <c r="ERF125" s="41"/>
      <c r="ERG125" s="41"/>
      <c r="ERH125" s="41"/>
      <c r="ERI125" s="41"/>
      <c r="ERJ125" s="41"/>
      <c r="ERK125" s="41"/>
      <c r="ERL125" s="41"/>
      <c r="ERM125" s="41"/>
      <c r="ERN125" s="41"/>
      <c r="ERO125" s="41"/>
      <c r="ERP125" s="41"/>
      <c r="ERQ125" s="41"/>
      <c r="ERR125" s="41"/>
      <c r="ERS125" s="41"/>
      <c r="ERT125" s="41"/>
      <c r="ERU125" s="41"/>
      <c r="ERV125" s="41"/>
      <c r="ERW125" s="41"/>
      <c r="ERX125" s="41"/>
      <c r="ERY125" s="41"/>
      <c r="ERZ125" s="41"/>
      <c r="ESA125" s="41"/>
      <c r="ESB125" s="41"/>
      <c r="ESC125" s="41"/>
      <c r="ESD125" s="41"/>
      <c r="ESE125" s="41"/>
      <c r="ESF125" s="41"/>
      <c r="ESG125" s="41"/>
      <c r="ESH125" s="41"/>
      <c r="ESI125" s="41"/>
      <c r="ESJ125" s="41"/>
      <c r="ESK125" s="41"/>
      <c r="ESL125" s="41"/>
      <c r="ESM125" s="41"/>
      <c r="ESN125" s="41"/>
      <c r="ESO125" s="41"/>
      <c r="ESP125" s="41"/>
      <c r="ESQ125" s="41"/>
      <c r="ESR125" s="41"/>
      <c r="ESS125" s="41"/>
      <c r="EST125" s="41"/>
      <c r="ESU125" s="41"/>
      <c r="ESV125" s="41"/>
      <c r="ESW125" s="41"/>
      <c r="ESX125" s="41"/>
      <c r="ESY125" s="41"/>
      <c r="ESZ125" s="41"/>
      <c r="ETA125" s="41"/>
      <c r="ETB125" s="41"/>
      <c r="ETC125" s="41"/>
      <c r="ETD125" s="41"/>
      <c r="ETE125" s="41"/>
      <c r="ETF125" s="41"/>
      <c r="ETG125" s="41"/>
      <c r="ETH125" s="41"/>
      <c r="ETI125" s="41"/>
      <c r="ETJ125" s="41"/>
      <c r="ETK125" s="41"/>
      <c r="ETL125" s="41"/>
      <c r="ETM125" s="41"/>
      <c r="ETN125" s="41"/>
      <c r="ETO125" s="41"/>
      <c r="ETP125" s="41"/>
      <c r="ETQ125" s="41"/>
      <c r="ETR125" s="41"/>
      <c r="ETS125" s="41"/>
      <c r="ETT125" s="41"/>
      <c r="ETU125" s="41"/>
      <c r="ETV125" s="41"/>
      <c r="ETW125" s="41"/>
      <c r="ETX125" s="41"/>
      <c r="ETY125" s="41"/>
      <c r="ETZ125" s="41"/>
      <c r="EUA125" s="41"/>
      <c r="EUB125" s="41"/>
      <c r="EUC125" s="41"/>
      <c r="EUD125" s="41"/>
      <c r="EUE125" s="41"/>
      <c r="EUF125" s="41"/>
      <c r="EUG125" s="41"/>
      <c r="EUH125" s="41"/>
      <c r="EUI125" s="41"/>
      <c r="EUJ125" s="41"/>
      <c r="EUK125" s="41"/>
      <c r="EUL125" s="41"/>
      <c r="EUM125" s="41"/>
      <c r="EUN125" s="41"/>
      <c r="EUO125" s="41"/>
      <c r="EUP125" s="41"/>
      <c r="EUQ125" s="41"/>
      <c r="EUR125" s="41"/>
      <c r="EUS125" s="41"/>
      <c r="EUT125" s="41"/>
      <c r="EUU125" s="41"/>
      <c r="EUV125" s="41"/>
      <c r="EUW125" s="41"/>
      <c r="EUX125" s="41"/>
      <c r="EUY125" s="41"/>
      <c r="EUZ125" s="41"/>
      <c r="EVA125" s="41"/>
      <c r="EVB125" s="41"/>
      <c r="EVC125" s="41"/>
      <c r="EVD125" s="41"/>
      <c r="EVE125" s="41"/>
      <c r="EVF125" s="41"/>
      <c r="EVG125" s="41"/>
      <c r="EVH125" s="41"/>
      <c r="EVI125" s="41"/>
      <c r="EVJ125" s="41"/>
      <c r="EVK125" s="41"/>
      <c r="EVL125" s="41"/>
      <c r="EVM125" s="41"/>
      <c r="EVN125" s="41"/>
      <c r="EVO125" s="41"/>
      <c r="EVP125" s="41"/>
      <c r="EVQ125" s="41"/>
      <c r="EVR125" s="41"/>
      <c r="EVS125" s="41"/>
      <c r="EVT125" s="41"/>
      <c r="EVU125" s="41"/>
      <c r="EVV125" s="41"/>
      <c r="EVW125" s="41"/>
      <c r="EVX125" s="41"/>
      <c r="EVY125" s="41"/>
      <c r="EVZ125" s="41"/>
      <c r="EWA125" s="41"/>
      <c r="EWB125" s="41"/>
      <c r="EWC125" s="41"/>
      <c r="EWD125" s="41"/>
      <c r="EWE125" s="41"/>
      <c r="EWF125" s="41"/>
      <c r="EWG125" s="41"/>
      <c r="EWH125" s="41"/>
      <c r="EWI125" s="41"/>
      <c r="EWJ125" s="41"/>
      <c r="EWK125" s="41"/>
      <c r="EWL125" s="41"/>
      <c r="EWM125" s="41"/>
      <c r="EWN125" s="41"/>
      <c r="EWO125" s="41"/>
      <c r="EWP125" s="41"/>
      <c r="EWQ125" s="41"/>
      <c r="EWR125" s="41"/>
      <c r="EWS125" s="41"/>
      <c r="EWT125" s="41"/>
      <c r="EWU125" s="41"/>
      <c r="EWV125" s="41"/>
      <c r="EWW125" s="41"/>
      <c r="EWX125" s="41"/>
      <c r="EWY125" s="41"/>
      <c r="EWZ125" s="41"/>
      <c r="EXA125" s="41"/>
      <c r="EXB125" s="41"/>
      <c r="EXC125" s="41"/>
      <c r="EXD125" s="41"/>
      <c r="EXE125" s="41"/>
      <c r="EXF125" s="41"/>
      <c r="EXG125" s="41"/>
      <c r="EXH125" s="41"/>
      <c r="EXI125" s="41"/>
      <c r="EXJ125" s="41"/>
      <c r="EXK125" s="41"/>
      <c r="EXL125" s="41"/>
      <c r="EXM125" s="41"/>
      <c r="EXN125" s="41"/>
      <c r="EXO125" s="41"/>
      <c r="EXP125" s="41"/>
      <c r="EXQ125" s="41"/>
      <c r="EXR125" s="41"/>
      <c r="EXS125" s="41"/>
      <c r="EXT125" s="41"/>
      <c r="EXU125" s="41"/>
      <c r="EXV125" s="41"/>
      <c r="EXW125" s="41"/>
      <c r="EXX125" s="41"/>
      <c r="EXY125" s="41"/>
      <c r="EXZ125" s="41"/>
      <c r="EYA125" s="41"/>
      <c r="EYB125" s="41"/>
      <c r="EYC125" s="41"/>
      <c r="EYD125" s="41"/>
      <c r="EYE125" s="41"/>
      <c r="EYF125" s="41"/>
      <c r="EYG125" s="41"/>
      <c r="EYH125" s="41"/>
      <c r="EYI125" s="41"/>
      <c r="EYJ125" s="41"/>
      <c r="EYK125" s="41"/>
      <c r="EYL125" s="41"/>
      <c r="EYM125" s="41"/>
      <c r="EYN125" s="41"/>
      <c r="EYO125" s="41"/>
      <c r="EYP125" s="41"/>
      <c r="EYQ125" s="41"/>
      <c r="EYR125" s="41"/>
      <c r="EYS125" s="41"/>
      <c r="EYT125" s="41"/>
      <c r="EYU125" s="41"/>
      <c r="EYV125" s="41"/>
      <c r="EYW125" s="41"/>
      <c r="EYX125" s="41"/>
      <c r="EYY125" s="41"/>
      <c r="EYZ125" s="41"/>
      <c r="EZA125" s="41"/>
      <c r="EZB125" s="41"/>
      <c r="EZC125" s="41"/>
      <c r="EZD125" s="41"/>
      <c r="EZE125" s="41"/>
      <c r="EZF125" s="41"/>
      <c r="EZG125" s="41"/>
      <c r="EZH125" s="41"/>
      <c r="EZI125" s="41"/>
      <c r="EZJ125" s="41"/>
      <c r="EZK125" s="41"/>
      <c r="EZL125" s="41"/>
      <c r="EZM125" s="41"/>
      <c r="EZN125" s="41"/>
      <c r="EZO125" s="41"/>
      <c r="EZP125" s="41"/>
      <c r="EZQ125" s="41"/>
      <c r="EZR125" s="41"/>
      <c r="EZS125" s="41"/>
      <c r="EZT125" s="41"/>
      <c r="EZU125" s="41"/>
      <c r="EZV125" s="41"/>
      <c r="EZW125" s="41"/>
      <c r="EZX125" s="41"/>
      <c r="EZY125" s="41"/>
      <c r="EZZ125" s="41"/>
      <c r="FAA125" s="41"/>
      <c r="FAB125" s="41"/>
      <c r="FAC125" s="41"/>
      <c r="FAD125" s="41"/>
      <c r="FAE125" s="41"/>
      <c r="FAF125" s="41"/>
      <c r="FAG125" s="41"/>
      <c r="FAH125" s="41"/>
      <c r="FAI125" s="41"/>
      <c r="FAJ125" s="41"/>
      <c r="FAK125" s="41"/>
      <c r="FAL125" s="41"/>
      <c r="FAM125" s="41"/>
      <c r="FAN125" s="41"/>
      <c r="FAO125" s="41"/>
      <c r="FAP125" s="41"/>
      <c r="FAQ125" s="41"/>
      <c r="FAR125" s="41"/>
      <c r="FAS125" s="41"/>
      <c r="FAT125" s="41"/>
      <c r="FAU125" s="41"/>
      <c r="FAV125" s="41"/>
      <c r="FAW125" s="41"/>
      <c r="FAX125" s="41"/>
      <c r="FAY125" s="41"/>
      <c r="FAZ125" s="41"/>
      <c r="FBA125" s="41"/>
      <c r="FBB125" s="41"/>
      <c r="FBC125" s="41"/>
      <c r="FBD125" s="41"/>
      <c r="FBE125" s="41"/>
      <c r="FBF125" s="41"/>
      <c r="FBG125" s="41"/>
      <c r="FBH125" s="41"/>
      <c r="FBI125" s="41"/>
      <c r="FBJ125" s="41"/>
      <c r="FBK125" s="41"/>
      <c r="FBL125" s="41"/>
      <c r="FBM125" s="41"/>
      <c r="FBN125" s="41"/>
      <c r="FBO125" s="41"/>
      <c r="FBP125" s="41"/>
      <c r="FBQ125" s="41"/>
      <c r="FBR125" s="41"/>
      <c r="FBS125" s="41"/>
      <c r="FBT125" s="41"/>
      <c r="FBU125" s="41"/>
      <c r="FBV125" s="41"/>
      <c r="FBW125" s="41"/>
      <c r="FBX125" s="41"/>
      <c r="FBY125" s="41"/>
      <c r="FBZ125" s="41"/>
      <c r="FCA125" s="41"/>
      <c r="FCB125" s="41"/>
      <c r="FCC125" s="41"/>
      <c r="FCD125" s="41"/>
      <c r="FCE125" s="41"/>
      <c r="FCF125" s="41"/>
      <c r="FCG125" s="41"/>
      <c r="FCH125" s="41"/>
      <c r="FCI125" s="41"/>
      <c r="FCJ125" s="41"/>
      <c r="FCK125" s="41"/>
      <c r="FCL125" s="41"/>
      <c r="FCM125" s="41"/>
      <c r="FCN125" s="41"/>
      <c r="FCO125" s="41"/>
      <c r="FCP125" s="41"/>
      <c r="FCQ125" s="41"/>
      <c r="FCR125" s="41"/>
      <c r="FCS125" s="41"/>
      <c r="FCT125" s="41"/>
      <c r="FCU125" s="41"/>
      <c r="FCV125" s="41"/>
      <c r="FCW125" s="41"/>
      <c r="FCX125" s="41"/>
      <c r="FCY125" s="41"/>
      <c r="FCZ125" s="41"/>
      <c r="FDA125" s="41"/>
      <c r="FDB125" s="41"/>
      <c r="FDC125" s="41"/>
      <c r="FDD125" s="41"/>
      <c r="FDE125" s="41"/>
      <c r="FDF125" s="41"/>
      <c r="FDG125" s="41"/>
      <c r="FDH125" s="41"/>
      <c r="FDI125" s="41"/>
      <c r="FDJ125" s="41"/>
      <c r="FDK125" s="41"/>
      <c r="FDL125" s="41"/>
      <c r="FDM125" s="41"/>
      <c r="FDN125" s="41"/>
      <c r="FDO125" s="41"/>
      <c r="FDP125" s="41"/>
      <c r="FDQ125" s="41"/>
      <c r="FDR125" s="41"/>
      <c r="FDS125" s="41"/>
      <c r="FDT125" s="41"/>
      <c r="FDU125" s="41"/>
      <c r="FDV125" s="41"/>
      <c r="FDW125" s="41"/>
      <c r="FDX125" s="41"/>
      <c r="FDY125" s="41"/>
      <c r="FDZ125" s="41"/>
      <c r="FEA125" s="41"/>
      <c r="FEB125" s="41"/>
      <c r="FEC125" s="41"/>
      <c r="FED125" s="41"/>
      <c r="FEE125" s="41"/>
      <c r="FEF125" s="41"/>
      <c r="FEG125" s="41"/>
      <c r="FEH125" s="41"/>
      <c r="FEI125" s="41"/>
      <c r="FEJ125" s="41"/>
      <c r="FEK125" s="41"/>
      <c r="FEL125" s="41"/>
      <c r="FEM125" s="41"/>
      <c r="FEN125" s="41"/>
      <c r="FEO125" s="41"/>
      <c r="FEP125" s="41"/>
      <c r="FEQ125" s="41"/>
      <c r="FER125" s="41"/>
      <c r="FES125" s="41"/>
      <c r="FET125" s="41"/>
      <c r="FEU125" s="41"/>
      <c r="FEV125" s="41"/>
      <c r="FEW125" s="41"/>
      <c r="FEX125" s="41"/>
      <c r="FEY125" s="41"/>
      <c r="FEZ125" s="41"/>
      <c r="FFA125" s="41"/>
      <c r="FFB125" s="41"/>
      <c r="FFC125" s="41"/>
      <c r="FFD125" s="41"/>
      <c r="FFE125" s="41"/>
      <c r="FFF125" s="41"/>
      <c r="FFG125" s="41"/>
      <c r="FFH125" s="41"/>
      <c r="FFI125" s="41"/>
      <c r="FFJ125" s="41"/>
      <c r="FFK125" s="41"/>
      <c r="FFL125" s="41"/>
      <c r="FFM125" s="41"/>
      <c r="FFN125" s="41"/>
      <c r="FFO125" s="41"/>
      <c r="FFP125" s="41"/>
      <c r="FFQ125" s="41"/>
      <c r="FFR125" s="41"/>
      <c r="FFS125" s="41"/>
      <c r="FFT125" s="41"/>
      <c r="FFU125" s="41"/>
      <c r="FFV125" s="41"/>
      <c r="FFW125" s="41"/>
      <c r="FFX125" s="41"/>
      <c r="FFY125" s="41"/>
      <c r="FFZ125" s="41"/>
      <c r="FGA125" s="41"/>
      <c r="FGB125" s="41"/>
      <c r="FGC125" s="41"/>
      <c r="FGD125" s="41"/>
      <c r="FGE125" s="41"/>
      <c r="FGF125" s="41"/>
      <c r="FGG125" s="41"/>
      <c r="FGH125" s="41"/>
      <c r="FGI125" s="41"/>
      <c r="FGJ125" s="41"/>
      <c r="FGK125" s="41"/>
      <c r="FGL125" s="41"/>
      <c r="FGM125" s="41"/>
      <c r="FGN125" s="41"/>
      <c r="FGO125" s="41"/>
      <c r="FGP125" s="41"/>
      <c r="FGQ125" s="41"/>
      <c r="FGR125" s="41"/>
      <c r="FGS125" s="41"/>
      <c r="FGT125" s="41"/>
      <c r="FGU125" s="41"/>
      <c r="FGV125" s="41"/>
      <c r="FGW125" s="41"/>
      <c r="FGX125" s="41"/>
      <c r="FGY125" s="41"/>
      <c r="FGZ125" s="41"/>
      <c r="FHA125" s="41"/>
      <c r="FHB125" s="41"/>
      <c r="FHC125" s="41"/>
      <c r="FHD125" s="41"/>
      <c r="FHE125" s="41"/>
      <c r="FHF125" s="41"/>
      <c r="FHG125" s="41"/>
      <c r="FHH125" s="41"/>
      <c r="FHI125" s="41"/>
      <c r="FHJ125" s="41"/>
      <c r="FHK125" s="41"/>
      <c r="FHL125" s="41"/>
      <c r="FHM125" s="41"/>
      <c r="FHN125" s="41"/>
      <c r="FHO125" s="41"/>
      <c r="FHP125" s="41"/>
      <c r="FHQ125" s="41"/>
      <c r="FHR125" s="41"/>
      <c r="FHS125" s="41"/>
      <c r="FHT125" s="41"/>
      <c r="FHU125" s="41"/>
      <c r="FHV125" s="41"/>
      <c r="FHW125" s="41"/>
      <c r="FHX125" s="41"/>
      <c r="FHY125" s="41"/>
      <c r="FHZ125" s="41"/>
      <c r="FIA125" s="41"/>
      <c r="FIB125" s="41"/>
      <c r="FIC125" s="41"/>
      <c r="FID125" s="41"/>
      <c r="FIE125" s="41"/>
      <c r="FIF125" s="41"/>
      <c r="FIG125" s="41"/>
      <c r="FIH125" s="41"/>
      <c r="FII125" s="41"/>
      <c r="FIJ125" s="41"/>
      <c r="FIK125" s="41"/>
      <c r="FIL125" s="41"/>
      <c r="FIM125" s="41"/>
      <c r="FIN125" s="41"/>
      <c r="FIO125" s="41"/>
      <c r="FIP125" s="41"/>
      <c r="FIQ125" s="41"/>
      <c r="FIR125" s="41"/>
      <c r="FIS125" s="41"/>
      <c r="FIT125" s="41"/>
      <c r="FIU125" s="41"/>
      <c r="FIV125" s="41"/>
      <c r="FIW125" s="41"/>
      <c r="FIX125" s="41"/>
      <c r="FIY125" s="41"/>
      <c r="FIZ125" s="41"/>
      <c r="FJA125" s="41"/>
      <c r="FJB125" s="41"/>
      <c r="FJC125" s="41"/>
      <c r="FJD125" s="41"/>
      <c r="FJE125" s="41"/>
      <c r="FJF125" s="41"/>
      <c r="FJG125" s="41"/>
      <c r="FJH125" s="41"/>
      <c r="FJI125" s="41"/>
      <c r="FJJ125" s="41"/>
      <c r="FJK125" s="41"/>
      <c r="FJL125" s="41"/>
      <c r="FJM125" s="41"/>
      <c r="FJN125" s="41"/>
      <c r="FJO125" s="41"/>
      <c r="FJP125" s="41"/>
      <c r="FJQ125" s="41"/>
      <c r="FJR125" s="41"/>
      <c r="FJS125" s="41"/>
      <c r="FJT125" s="41"/>
      <c r="FJU125" s="41"/>
      <c r="FJV125" s="41"/>
      <c r="FJW125" s="41"/>
      <c r="FJX125" s="41"/>
      <c r="FJY125" s="41"/>
      <c r="FJZ125" s="41"/>
      <c r="FKA125" s="41"/>
      <c r="FKB125" s="41"/>
      <c r="FKC125" s="41"/>
      <c r="FKD125" s="41"/>
      <c r="FKE125" s="41"/>
      <c r="FKF125" s="41"/>
      <c r="FKG125" s="41"/>
      <c r="FKH125" s="41"/>
      <c r="FKI125" s="41"/>
      <c r="FKJ125" s="41"/>
      <c r="FKK125" s="41"/>
      <c r="FKL125" s="41"/>
      <c r="FKM125" s="41"/>
      <c r="FKN125" s="41"/>
      <c r="FKO125" s="41"/>
      <c r="FKP125" s="41"/>
      <c r="FKQ125" s="41"/>
      <c r="FKR125" s="41"/>
      <c r="FKS125" s="41"/>
      <c r="FKT125" s="41"/>
      <c r="FKU125" s="41"/>
      <c r="FKV125" s="41"/>
      <c r="FKW125" s="41"/>
      <c r="FKX125" s="41"/>
      <c r="FKY125" s="41"/>
      <c r="FKZ125" s="41"/>
      <c r="FLA125" s="41"/>
      <c r="FLB125" s="41"/>
      <c r="FLC125" s="41"/>
      <c r="FLD125" s="41"/>
      <c r="FLE125" s="41"/>
      <c r="FLF125" s="41"/>
      <c r="FLG125" s="41"/>
      <c r="FLH125" s="41"/>
      <c r="FLI125" s="41"/>
      <c r="FLJ125" s="41"/>
      <c r="FLK125" s="41"/>
      <c r="FLL125" s="41"/>
      <c r="FLM125" s="41"/>
      <c r="FLN125" s="41"/>
      <c r="FLO125" s="41"/>
      <c r="FLP125" s="41"/>
      <c r="FLQ125" s="41"/>
      <c r="FLR125" s="41"/>
      <c r="FLS125" s="41"/>
      <c r="FLT125" s="41"/>
      <c r="FLU125" s="41"/>
      <c r="FLV125" s="41"/>
      <c r="FLW125" s="41"/>
      <c r="FLX125" s="41"/>
      <c r="FLY125" s="41"/>
      <c r="FLZ125" s="41"/>
      <c r="FMA125" s="41"/>
      <c r="FMB125" s="41"/>
      <c r="FMC125" s="41"/>
      <c r="FMD125" s="41"/>
      <c r="FME125" s="41"/>
      <c r="FMF125" s="41"/>
      <c r="FMG125" s="41"/>
      <c r="FMH125" s="41"/>
      <c r="FMI125" s="41"/>
      <c r="FMJ125" s="41"/>
      <c r="FMK125" s="41"/>
      <c r="FML125" s="41"/>
      <c r="FMM125" s="41"/>
      <c r="FMN125" s="41"/>
      <c r="FMO125" s="41"/>
      <c r="FMP125" s="41"/>
      <c r="FMQ125" s="41"/>
      <c r="FMR125" s="41"/>
      <c r="FMS125" s="41"/>
      <c r="FMT125" s="41"/>
      <c r="FMU125" s="41"/>
      <c r="FMV125" s="41"/>
      <c r="FMW125" s="41"/>
      <c r="FMX125" s="41"/>
      <c r="FMY125" s="41"/>
      <c r="FMZ125" s="41"/>
      <c r="FNA125" s="41"/>
      <c r="FNB125" s="41"/>
      <c r="FNC125" s="41"/>
      <c r="FND125" s="41"/>
      <c r="FNE125" s="41"/>
      <c r="FNF125" s="41"/>
      <c r="FNG125" s="41"/>
      <c r="FNH125" s="41"/>
      <c r="FNI125" s="41"/>
      <c r="FNJ125" s="41"/>
      <c r="FNK125" s="41"/>
      <c r="FNL125" s="41"/>
      <c r="FNM125" s="41"/>
      <c r="FNN125" s="41"/>
      <c r="FNO125" s="41"/>
      <c r="FNP125" s="41"/>
      <c r="FNQ125" s="41"/>
      <c r="FNR125" s="41"/>
      <c r="FNS125" s="41"/>
      <c r="FNT125" s="41"/>
      <c r="FNU125" s="41"/>
      <c r="FNV125" s="41"/>
      <c r="FNW125" s="41"/>
      <c r="FNX125" s="41"/>
      <c r="FNY125" s="41"/>
      <c r="FNZ125" s="41"/>
      <c r="FOA125" s="41"/>
      <c r="FOB125" s="41"/>
      <c r="FOC125" s="41"/>
      <c r="FOD125" s="41"/>
      <c r="FOE125" s="41"/>
      <c r="FOF125" s="41"/>
      <c r="FOG125" s="41"/>
      <c r="FOH125" s="41"/>
      <c r="FOI125" s="41"/>
      <c r="FOJ125" s="41"/>
      <c r="FOK125" s="41"/>
      <c r="FOL125" s="41"/>
      <c r="FOM125" s="41"/>
      <c r="FON125" s="41"/>
      <c r="FOO125" s="41"/>
      <c r="FOP125" s="41"/>
      <c r="FOQ125" s="41"/>
      <c r="FOR125" s="41"/>
      <c r="FOS125" s="41"/>
      <c r="FOT125" s="41"/>
      <c r="FOU125" s="41"/>
      <c r="FOV125" s="41"/>
      <c r="FOW125" s="41"/>
      <c r="FOX125" s="41"/>
      <c r="FOY125" s="41"/>
      <c r="FOZ125" s="41"/>
      <c r="FPA125" s="41"/>
      <c r="FPB125" s="41"/>
      <c r="FPC125" s="41"/>
      <c r="FPD125" s="41"/>
      <c r="FPE125" s="41"/>
      <c r="FPF125" s="41"/>
      <c r="FPG125" s="41"/>
      <c r="FPH125" s="41"/>
      <c r="FPI125" s="41"/>
      <c r="FPJ125" s="41"/>
      <c r="FPK125" s="41"/>
      <c r="FPL125" s="41"/>
      <c r="FPM125" s="41"/>
      <c r="FPN125" s="41"/>
      <c r="FPO125" s="41"/>
      <c r="FPP125" s="41"/>
      <c r="FPQ125" s="41"/>
      <c r="FPR125" s="41"/>
      <c r="FPS125" s="41"/>
      <c r="FPT125" s="41"/>
      <c r="FPU125" s="41"/>
      <c r="FPV125" s="41"/>
      <c r="FPW125" s="41"/>
      <c r="FPX125" s="41"/>
      <c r="FPY125" s="41"/>
      <c r="FPZ125" s="41"/>
      <c r="FQA125" s="41"/>
      <c r="FQB125" s="41"/>
      <c r="FQC125" s="41"/>
      <c r="FQD125" s="41"/>
      <c r="FQE125" s="41"/>
      <c r="FQF125" s="41"/>
      <c r="FQG125" s="41"/>
      <c r="FQH125" s="41"/>
      <c r="FQI125" s="41"/>
      <c r="FQJ125" s="41"/>
      <c r="FQK125" s="41"/>
      <c r="FQL125" s="41"/>
      <c r="FQM125" s="41"/>
      <c r="FQN125" s="41"/>
      <c r="FQO125" s="41"/>
      <c r="FQP125" s="41"/>
      <c r="FQQ125" s="41"/>
      <c r="FQR125" s="41"/>
      <c r="FQS125" s="41"/>
      <c r="FQT125" s="41"/>
      <c r="FQU125" s="41"/>
      <c r="FQV125" s="41"/>
      <c r="FQW125" s="41"/>
      <c r="FQX125" s="41"/>
      <c r="FQY125" s="41"/>
      <c r="FQZ125" s="41"/>
      <c r="FRA125" s="41"/>
      <c r="FRB125" s="41"/>
      <c r="FRC125" s="41"/>
      <c r="FRD125" s="41"/>
      <c r="FRE125" s="41"/>
      <c r="FRF125" s="41"/>
      <c r="FRG125" s="41"/>
      <c r="FRH125" s="41"/>
      <c r="FRI125" s="41"/>
      <c r="FRJ125" s="41"/>
      <c r="FRK125" s="41"/>
      <c r="FRL125" s="41"/>
      <c r="FRM125" s="41"/>
      <c r="FRN125" s="41"/>
      <c r="FRO125" s="41"/>
      <c r="FRP125" s="41"/>
      <c r="FRQ125" s="41"/>
      <c r="FRR125" s="41"/>
      <c r="FRS125" s="41"/>
      <c r="FRT125" s="41"/>
      <c r="FRU125" s="41"/>
      <c r="FRV125" s="41"/>
      <c r="FRW125" s="41"/>
      <c r="FRX125" s="41"/>
      <c r="FRY125" s="41"/>
      <c r="FRZ125" s="41"/>
      <c r="FSA125" s="41"/>
      <c r="FSB125" s="41"/>
      <c r="FSC125" s="41"/>
      <c r="FSD125" s="41"/>
      <c r="FSE125" s="41"/>
      <c r="FSF125" s="41"/>
      <c r="FSG125" s="41"/>
      <c r="FSH125" s="41"/>
      <c r="FSI125" s="41"/>
      <c r="FSJ125" s="41"/>
      <c r="FSK125" s="41"/>
      <c r="FSL125" s="41"/>
      <c r="FSM125" s="41"/>
      <c r="FSN125" s="41"/>
      <c r="FSO125" s="41"/>
      <c r="FSP125" s="41"/>
      <c r="FSQ125" s="41"/>
      <c r="FSR125" s="41"/>
      <c r="FSS125" s="41"/>
      <c r="FST125" s="41"/>
      <c r="FSU125" s="41"/>
      <c r="FSV125" s="41"/>
      <c r="FSW125" s="41"/>
      <c r="FSX125" s="41"/>
      <c r="FSY125" s="41"/>
      <c r="FSZ125" s="41"/>
      <c r="FTA125" s="41"/>
      <c r="FTB125" s="41"/>
      <c r="FTC125" s="41"/>
      <c r="FTD125" s="41"/>
      <c r="FTE125" s="41"/>
      <c r="FTF125" s="41"/>
      <c r="FTG125" s="41"/>
      <c r="FTH125" s="41"/>
      <c r="FTI125" s="41"/>
      <c r="FTJ125" s="41"/>
      <c r="FTK125" s="41"/>
      <c r="FTL125" s="41"/>
      <c r="FTM125" s="41"/>
      <c r="FTN125" s="41"/>
      <c r="FTO125" s="41"/>
      <c r="FTP125" s="41"/>
      <c r="FTQ125" s="41"/>
      <c r="FTR125" s="41"/>
      <c r="FTS125" s="41"/>
      <c r="FTT125" s="41"/>
      <c r="FTU125" s="41"/>
      <c r="FTV125" s="41"/>
      <c r="FTW125" s="41"/>
      <c r="FTX125" s="41"/>
      <c r="FTY125" s="41"/>
      <c r="FTZ125" s="41"/>
      <c r="FUA125" s="41"/>
      <c r="FUB125" s="41"/>
      <c r="FUC125" s="41"/>
      <c r="FUD125" s="41"/>
      <c r="FUE125" s="41"/>
      <c r="FUF125" s="41"/>
      <c r="FUG125" s="41"/>
      <c r="FUH125" s="41"/>
      <c r="FUI125" s="41"/>
      <c r="FUJ125" s="41"/>
      <c r="FUK125" s="41"/>
      <c r="FUL125" s="41"/>
      <c r="FUM125" s="41"/>
      <c r="FUN125" s="41"/>
      <c r="FUO125" s="41"/>
      <c r="FUP125" s="41"/>
      <c r="FUQ125" s="41"/>
      <c r="FUR125" s="41"/>
      <c r="FUS125" s="41"/>
      <c r="FUT125" s="41"/>
      <c r="FUU125" s="41"/>
      <c r="FUV125" s="41"/>
      <c r="FUW125" s="41"/>
      <c r="FUX125" s="41"/>
      <c r="FUY125" s="41"/>
      <c r="FUZ125" s="41"/>
      <c r="FVA125" s="41"/>
      <c r="FVB125" s="41"/>
      <c r="FVC125" s="41"/>
      <c r="FVD125" s="41"/>
      <c r="FVE125" s="41"/>
      <c r="FVF125" s="41"/>
      <c r="FVG125" s="41"/>
      <c r="FVH125" s="41"/>
      <c r="FVI125" s="41"/>
      <c r="FVJ125" s="41"/>
      <c r="FVK125" s="41"/>
      <c r="FVL125" s="41"/>
      <c r="FVM125" s="41"/>
      <c r="FVN125" s="41"/>
      <c r="FVO125" s="41"/>
      <c r="FVP125" s="41"/>
      <c r="FVQ125" s="41"/>
      <c r="FVR125" s="41"/>
      <c r="FVS125" s="41"/>
      <c r="FVT125" s="41"/>
      <c r="FVU125" s="41"/>
      <c r="FVV125" s="41"/>
      <c r="FVW125" s="41"/>
      <c r="FVX125" s="41"/>
      <c r="FVY125" s="41"/>
      <c r="FVZ125" s="41"/>
      <c r="FWA125" s="41"/>
      <c r="FWB125" s="41"/>
      <c r="FWC125" s="41"/>
      <c r="FWD125" s="41"/>
      <c r="FWE125" s="41"/>
      <c r="FWF125" s="41"/>
      <c r="FWG125" s="41"/>
      <c r="FWH125" s="41"/>
      <c r="FWI125" s="41"/>
      <c r="FWJ125" s="41"/>
      <c r="FWK125" s="41"/>
      <c r="FWL125" s="41"/>
      <c r="FWM125" s="41"/>
      <c r="FWN125" s="41"/>
      <c r="FWO125" s="41"/>
      <c r="FWP125" s="41"/>
      <c r="FWQ125" s="41"/>
      <c r="FWR125" s="41"/>
      <c r="FWS125" s="41"/>
      <c r="FWT125" s="41"/>
      <c r="FWU125" s="41"/>
      <c r="FWV125" s="41"/>
      <c r="FWW125" s="41"/>
      <c r="FWX125" s="41"/>
      <c r="FWY125" s="41"/>
      <c r="FWZ125" s="41"/>
      <c r="FXA125" s="41"/>
      <c r="FXB125" s="41"/>
      <c r="FXC125" s="41"/>
      <c r="FXD125" s="41"/>
      <c r="FXE125" s="41"/>
      <c r="FXF125" s="41"/>
      <c r="FXG125" s="41"/>
      <c r="FXH125" s="41"/>
      <c r="FXI125" s="41"/>
      <c r="FXJ125" s="41"/>
      <c r="FXK125" s="41"/>
      <c r="FXL125" s="41"/>
      <c r="FXM125" s="41"/>
      <c r="FXN125" s="41"/>
      <c r="FXO125" s="41"/>
      <c r="FXP125" s="41"/>
      <c r="FXQ125" s="41"/>
      <c r="FXR125" s="41"/>
      <c r="FXS125" s="41"/>
      <c r="FXT125" s="41"/>
      <c r="FXU125" s="41"/>
      <c r="FXV125" s="41"/>
      <c r="FXW125" s="41"/>
      <c r="FXX125" s="41"/>
      <c r="FXY125" s="41"/>
      <c r="FXZ125" s="41"/>
      <c r="FYA125" s="41"/>
      <c r="FYB125" s="41"/>
      <c r="FYC125" s="41"/>
      <c r="FYD125" s="41"/>
      <c r="FYE125" s="41"/>
      <c r="FYF125" s="41"/>
      <c r="FYG125" s="41"/>
      <c r="FYH125" s="41"/>
      <c r="FYI125" s="41"/>
      <c r="FYJ125" s="41"/>
      <c r="FYK125" s="41"/>
      <c r="FYL125" s="41"/>
      <c r="FYM125" s="41"/>
      <c r="FYN125" s="41"/>
      <c r="FYO125" s="41"/>
      <c r="FYP125" s="41"/>
      <c r="FYQ125" s="41"/>
      <c r="FYR125" s="41"/>
      <c r="FYS125" s="41"/>
      <c r="FYT125" s="41"/>
      <c r="FYU125" s="41"/>
      <c r="FYV125" s="41"/>
      <c r="FYW125" s="41"/>
      <c r="FYX125" s="41"/>
      <c r="FYY125" s="41"/>
      <c r="FYZ125" s="41"/>
      <c r="FZA125" s="41"/>
      <c r="FZB125" s="41"/>
      <c r="FZC125" s="41"/>
      <c r="FZD125" s="41"/>
      <c r="FZE125" s="41"/>
      <c r="FZF125" s="41"/>
      <c r="FZG125" s="41"/>
      <c r="FZH125" s="41"/>
      <c r="FZI125" s="41"/>
      <c r="FZJ125" s="41"/>
      <c r="FZK125" s="41"/>
      <c r="FZL125" s="41"/>
      <c r="FZM125" s="41"/>
      <c r="FZN125" s="41"/>
      <c r="FZO125" s="41"/>
      <c r="FZP125" s="41"/>
      <c r="FZQ125" s="41"/>
      <c r="FZR125" s="41"/>
      <c r="FZS125" s="41"/>
      <c r="FZT125" s="41"/>
      <c r="FZU125" s="41"/>
      <c r="FZV125" s="41"/>
      <c r="FZW125" s="41"/>
      <c r="FZX125" s="41"/>
      <c r="FZY125" s="41"/>
      <c r="FZZ125" s="41"/>
      <c r="GAA125" s="41"/>
      <c r="GAB125" s="41"/>
      <c r="GAC125" s="41"/>
      <c r="GAD125" s="41"/>
      <c r="GAE125" s="41"/>
      <c r="GAF125" s="41"/>
      <c r="GAG125" s="41"/>
      <c r="GAH125" s="41"/>
      <c r="GAI125" s="41"/>
      <c r="GAJ125" s="41"/>
      <c r="GAK125" s="41"/>
      <c r="GAL125" s="41"/>
      <c r="GAM125" s="41"/>
      <c r="GAN125" s="41"/>
      <c r="GAO125" s="41"/>
      <c r="GAP125" s="41"/>
      <c r="GAQ125" s="41"/>
      <c r="GAR125" s="41"/>
      <c r="GAS125" s="41"/>
      <c r="GAT125" s="41"/>
      <c r="GAU125" s="41"/>
      <c r="GAV125" s="41"/>
      <c r="GAW125" s="41"/>
      <c r="GAX125" s="41"/>
      <c r="GAY125" s="41"/>
      <c r="GAZ125" s="41"/>
      <c r="GBA125" s="41"/>
      <c r="GBB125" s="41"/>
      <c r="GBC125" s="41"/>
      <c r="GBD125" s="41"/>
      <c r="GBE125" s="41"/>
      <c r="GBF125" s="41"/>
      <c r="GBG125" s="41"/>
      <c r="GBH125" s="41"/>
      <c r="GBI125" s="41"/>
      <c r="GBJ125" s="41"/>
      <c r="GBK125" s="41"/>
      <c r="GBL125" s="41"/>
      <c r="GBM125" s="41"/>
      <c r="GBN125" s="41"/>
      <c r="GBO125" s="41"/>
      <c r="GBP125" s="41"/>
      <c r="GBQ125" s="41"/>
      <c r="GBR125" s="41"/>
      <c r="GBS125" s="41"/>
      <c r="GBT125" s="41"/>
      <c r="GBU125" s="41"/>
      <c r="GBV125" s="41"/>
      <c r="GBW125" s="41"/>
      <c r="GBX125" s="41"/>
      <c r="GBY125" s="41"/>
      <c r="GBZ125" s="41"/>
      <c r="GCA125" s="41"/>
      <c r="GCB125" s="41"/>
      <c r="GCC125" s="41"/>
      <c r="GCD125" s="41"/>
      <c r="GCE125" s="41"/>
      <c r="GCF125" s="41"/>
      <c r="GCG125" s="41"/>
      <c r="GCH125" s="41"/>
      <c r="GCI125" s="41"/>
      <c r="GCJ125" s="41"/>
      <c r="GCK125" s="41"/>
      <c r="GCL125" s="41"/>
      <c r="GCM125" s="41"/>
      <c r="GCN125" s="41"/>
      <c r="GCO125" s="41"/>
      <c r="GCP125" s="41"/>
      <c r="GCQ125" s="41"/>
      <c r="GCR125" s="41"/>
      <c r="GCS125" s="41"/>
      <c r="GCT125" s="41"/>
      <c r="GCU125" s="41"/>
      <c r="GCV125" s="41"/>
      <c r="GCW125" s="41"/>
      <c r="GCX125" s="41"/>
      <c r="GCY125" s="41"/>
      <c r="GCZ125" s="41"/>
      <c r="GDA125" s="41"/>
      <c r="GDB125" s="41"/>
      <c r="GDC125" s="41"/>
      <c r="GDD125" s="41"/>
      <c r="GDE125" s="41"/>
      <c r="GDF125" s="41"/>
      <c r="GDG125" s="41"/>
      <c r="GDH125" s="41"/>
      <c r="GDI125" s="41"/>
      <c r="GDJ125" s="41"/>
      <c r="GDK125" s="41"/>
      <c r="GDL125" s="41"/>
      <c r="GDM125" s="41"/>
      <c r="GDN125" s="41"/>
      <c r="GDO125" s="41"/>
      <c r="GDP125" s="41"/>
      <c r="GDQ125" s="41"/>
      <c r="GDR125" s="41"/>
      <c r="GDS125" s="41"/>
      <c r="GDT125" s="41"/>
      <c r="GDU125" s="41"/>
      <c r="GDV125" s="41"/>
      <c r="GDW125" s="41"/>
      <c r="GDX125" s="41"/>
      <c r="GDY125" s="41"/>
      <c r="GDZ125" s="41"/>
      <c r="GEA125" s="41"/>
      <c r="GEB125" s="41"/>
      <c r="GEC125" s="41"/>
      <c r="GED125" s="41"/>
      <c r="GEE125" s="41"/>
      <c r="GEF125" s="41"/>
      <c r="GEG125" s="41"/>
      <c r="GEH125" s="41"/>
      <c r="GEI125" s="41"/>
      <c r="GEJ125" s="41"/>
      <c r="GEK125" s="41"/>
      <c r="GEL125" s="41"/>
      <c r="GEM125" s="41"/>
      <c r="GEN125" s="41"/>
      <c r="GEO125" s="41"/>
      <c r="GEP125" s="41"/>
      <c r="GEQ125" s="41"/>
      <c r="GER125" s="41"/>
      <c r="GES125" s="41"/>
      <c r="GET125" s="41"/>
      <c r="GEU125" s="41"/>
      <c r="GEV125" s="41"/>
      <c r="GEW125" s="41"/>
      <c r="GEX125" s="41"/>
      <c r="GEY125" s="41"/>
      <c r="GEZ125" s="41"/>
      <c r="GFA125" s="41"/>
      <c r="GFB125" s="41"/>
      <c r="GFC125" s="41"/>
      <c r="GFD125" s="41"/>
      <c r="GFE125" s="41"/>
      <c r="GFF125" s="41"/>
      <c r="GFG125" s="41"/>
      <c r="GFH125" s="41"/>
      <c r="GFI125" s="41"/>
      <c r="GFJ125" s="41"/>
      <c r="GFK125" s="41"/>
      <c r="GFL125" s="41"/>
      <c r="GFM125" s="41"/>
      <c r="GFN125" s="41"/>
      <c r="GFO125" s="41"/>
      <c r="GFP125" s="41"/>
      <c r="GFQ125" s="41"/>
      <c r="GFR125" s="41"/>
      <c r="GFS125" s="41"/>
      <c r="GFT125" s="41"/>
      <c r="GFU125" s="41"/>
      <c r="GFV125" s="41"/>
      <c r="GFW125" s="41"/>
      <c r="GFX125" s="41"/>
      <c r="GFY125" s="41"/>
      <c r="GFZ125" s="41"/>
      <c r="GGA125" s="41"/>
      <c r="GGB125" s="41"/>
      <c r="GGC125" s="41"/>
      <c r="GGD125" s="41"/>
      <c r="GGE125" s="41"/>
      <c r="GGF125" s="41"/>
      <c r="GGG125" s="41"/>
      <c r="GGH125" s="41"/>
      <c r="GGI125" s="41"/>
      <c r="GGJ125" s="41"/>
      <c r="GGK125" s="41"/>
      <c r="GGL125" s="41"/>
      <c r="GGM125" s="41"/>
      <c r="GGN125" s="41"/>
      <c r="GGO125" s="41"/>
      <c r="GGP125" s="41"/>
      <c r="GGQ125" s="41"/>
      <c r="GGR125" s="41"/>
      <c r="GGS125" s="41"/>
      <c r="GGT125" s="41"/>
      <c r="GGU125" s="41"/>
      <c r="GGV125" s="41"/>
      <c r="GGW125" s="41"/>
      <c r="GGX125" s="41"/>
      <c r="GGY125" s="41"/>
      <c r="GGZ125" s="41"/>
      <c r="GHA125" s="41"/>
      <c r="GHB125" s="41"/>
      <c r="GHC125" s="41"/>
      <c r="GHD125" s="41"/>
      <c r="GHE125" s="41"/>
      <c r="GHF125" s="41"/>
      <c r="GHG125" s="41"/>
      <c r="GHH125" s="41"/>
      <c r="GHI125" s="41"/>
      <c r="GHJ125" s="41"/>
      <c r="GHK125" s="41"/>
      <c r="GHL125" s="41"/>
      <c r="GHM125" s="41"/>
      <c r="GHN125" s="41"/>
      <c r="GHO125" s="41"/>
      <c r="GHP125" s="41"/>
      <c r="GHQ125" s="41"/>
      <c r="GHR125" s="41"/>
      <c r="GHS125" s="41"/>
      <c r="GHT125" s="41"/>
      <c r="GHU125" s="41"/>
      <c r="GHV125" s="41"/>
      <c r="GHW125" s="41"/>
      <c r="GHX125" s="41"/>
      <c r="GHY125" s="41"/>
      <c r="GHZ125" s="41"/>
      <c r="GIA125" s="41"/>
      <c r="GIB125" s="41"/>
      <c r="GIC125" s="41"/>
      <c r="GID125" s="41"/>
      <c r="GIE125" s="41"/>
      <c r="GIF125" s="41"/>
      <c r="GIG125" s="41"/>
      <c r="GIH125" s="41"/>
      <c r="GII125" s="41"/>
      <c r="GIJ125" s="41"/>
      <c r="GIK125" s="41"/>
      <c r="GIL125" s="41"/>
      <c r="GIM125" s="41"/>
      <c r="GIN125" s="41"/>
      <c r="GIO125" s="41"/>
      <c r="GIP125" s="41"/>
      <c r="GIQ125" s="41"/>
      <c r="GIR125" s="41"/>
      <c r="GIS125" s="41"/>
      <c r="GIT125" s="41"/>
      <c r="GIU125" s="41"/>
      <c r="GIV125" s="41"/>
      <c r="GIW125" s="41"/>
      <c r="GIX125" s="41"/>
      <c r="GIY125" s="41"/>
      <c r="GIZ125" s="41"/>
      <c r="GJA125" s="41"/>
      <c r="GJB125" s="41"/>
      <c r="GJC125" s="41"/>
      <c r="GJD125" s="41"/>
      <c r="GJE125" s="41"/>
      <c r="GJF125" s="41"/>
      <c r="GJG125" s="41"/>
      <c r="GJH125" s="41"/>
      <c r="GJI125" s="41"/>
      <c r="GJJ125" s="41"/>
      <c r="GJK125" s="41"/>
      <c r="GJL125" s="41"/>
      <c r="GJM125" s="41"/>
      <c r="GJN125" s="41"/>
      <c r="GJO125" s="41"/>
      <c r="GJP125" s="41"/>
      <c r="GJQ125" s="41"/>
      <c r="GJR125" s="41"/>
      <c r="GJS125" s="41"/>
      <c r="GJT125" s="41"/>
      <c r="GJU125" s="41"/>
      <c r="GJV125" s="41"/>
      <c r="GJW125" s="41"/>
      <c r="GJX125" s="41"/>
      <c r="GJY125" s="41"/>
      <c r="GJZ125" s="41"/>
      <c r="GKA125" s="41"/>
      <c r="GKB125" s="41"/>
      <c r="GKC125" s="41"/>
      <c r="GKD125" s="41"/>
      <c r="GKE125" s="41"/>
      <c r="GKF125" s="41"/>
      <c r="GKG125" s="41"/>
      <c r="GKH125" s="41"/>
      <c r="GKI125" s="41"/>
      <c r="GKJ125" s="41"/>
      <c r="GKK125" s="41"/>
      <c r="GKL125" s="41"/>
      <c r="GKM125" s="41"/>
      <c r="GKN125" s="41"/>
      <c r="GKO125" s="41"/>
      <c r="GKP125" s="41"/>
      <c r="GKQ125" s="41"/>
      <c r="GKR125" s="41"/>
      <c r="GKS125" s="41"/>
      <c r="GKT125" s="41"/>
      <c r="GKU125" s="41"/>
      <c r="GKV125" s="41"/>
      <c r="GKW125" s="41"/>
      <c r="GKX125" s="41"/>
      <c r="GKY125" s="41"/>
      <c r="GKZ125" s="41"/>
      <c r="GLA125" s="41"/>
      <c r="GLB125" s="41"/>
      <c r="GLC125" s="41"/>
      <c r="GLD125" s="41"/>
      <c r="GLE125" s="41"/>
      <c r="GLF125" s="41"/>
      <c r="GLG125" s="41"/>
      <c r="GLH125" s="41"/>
      <c r="GLI125" s="41"/>
      <c r="GLJ125" s="41"/>
      <c r="GLK125" s="41"/>
      <c r="GLL125" s="41"/>
      <c r="GLM125" s="41"/>
      <c r="GLN125" s="41"/>
      <c r="GLO125" s="41"/>
      <c r="GLP125" s="41"/>
      <c r="GLQ125" s="41"/>
      <c r="GLR125" s="41"/>
      <c r="GLS125" s="41"/>
      <c r="GLT125" s="41"/>
      <c r="GLU125" s="41"/>
      <c r="GLV125" s="41"/>
      <c r="GLW125" s="41"/>
      <c r="GLX125" s="41"/>
      <c r="GLY125" s="41"/>
      <c r="GLZ125" s="41"/>
      <c r="GMA125" s="41"/>
      <c r="GMB125" s="41"/>
      <c r="GMC125" s="41"/>
      <c r="GMD125" s="41"/>
      <c r="GME125" s="41"/>
      <c r="GMF125" s="41"/>
      <c r="GMG125" s="41"/>
      <c r="GMH125" s="41"/>
      <c r="GMI125" s="41"/>
      <c r="GMJ125" s="41"/>
      <c r="GMK125" s="41"/>
      <c r="GML125" s="41"/>
      <c r="GMM125" s="41"/>
      <c r="GMN125" s="41"/>
      <c r="GMO125" s="41"/>
      <c r="GMP125" s="41"/>
      <c r="GMQ125" s="41"/>
      <c r="GMR125" s="41"/>
      <c r="GMS125" s="41"/>
      <c r="GMT125" s="41"/>
      <c r="GMU125" s="41"/>
      <c r="GMV125" s="41"/>
      <c r="GMW125" s="41"/>
      <c r="GMX125" s="41"/>
      <c r="GMY125" s="41"/>
      <c r="GMZ125" s="41"/>
      <c r="GNA125" s="41"/>
      <c r="GNB125" s="41"/>
      <c r="GNC125" s="41"/>
      <c r="GND125" s="41"/>
      <c r="GNE125" s="41"/>
      <c r="GNF125" s="41"/>
      <c r="GNG125" s="41"/>
      <c r="GNH125" s="41"/>
      <c r="GNI125" s="41"/>
      <c r="GNJ125" s="41"/>
      <c r="GNK125" s="41"/>
      <c r="GNL125" s="41"/>
      <c r="GNM125" s="41"/>
      <c r="GNN125" s="41"/>
      <c r="GNO125" s="41"/>
      <c r="GNP125" s="41"/>
      <c r="GNQ125" s="41"/>
      <c r="GNR125" s="41"/>
      <c r="GNS125" s="41"/>
      <c r="GNT125" s="41"/>
      <c r="GNU125" s="41"/>
      <c r="GNV125" s="41"/>
      <c r="GNW125" s="41"/>
      <c r="GNX125" s="41"/>
      <c r="GNY125" s="41"/>
      <c r="GNZ125" s="41"/>
      <c r="GOA125" s="41"/>
      <c r="GOB125" s="41"/>
      <c r="GOC125" s="41"/>
      <c r="GOD125" s="41"/>
      <c r="GOE125" s="41"/>
      <c r="GOF125" s="41"/>
      <c r="GOG125" s="41"/>
      <c r="GOH125" s="41"/>
      <c r="GOI125" s="41"/>
      <c r="GOJ125" s="41"/>
      <c r="GOK125" s="41"/>
      <c r="GOL125" s="41"/>
      <c r="GOM125" s="41"/>
      <c r="GON125" s="41"/>
      <c r="GOO125" s="41"/>
      <c r="GOP125" s="41"/>
      <c r="GOQ125" s="41"/>
      <c r="GOR125" s="41"/>
      <c r="GOS125" s="41"/>
      <c r="GOT125" s="41"/>
      <c r="GOU125" s="41"/>
      <c r="GOV125" s="41"/>
      <c r="GOW125" s="41"/>
      <c r="GOX125" s="41"/>
      <c r="GOY125" s="41"/>
      <c r="GOZ125" s="41"/>
      <c r="GPA125" s="41"/>
      <c r="GPB125" s="41"/>
      <c r="GPC125" s="41"/>
      <c r="GPD125" s="41"/>
      <c r="GPE125" s="41"/>
      <c r="GPF125" s="41"/>
      <c r="GPG125" s="41"/>
      <c r="GPH125" s="41"/>
      <c r="GPI125" s="41"/>
      <c r="GPJ125" s="41"/>
      <c r="GPK125" s="41"/>
      <c r="GPL125" s="41"/>
      <c r="GPM125" s="41"/>
      <c r="GPN125" s="41"/>
      <c r="GPO125" s="41"/>
      <c r="GPP125" s="41"/>
      <c r="GPQ125" s="41"/>
      <c r="GPR125" s="41"/>
      <c r="GPS125" s="41"/>
      <c r="GPT125" s="41"/>
      <c r="GPU125" s="41"/>
      <c r="GPV125" s="41"/>
      <c r="GPW125" s="41"/>
      <c r="GPX125" s="41"/>
      <c r="GPY125" s="41"/>
      <c r="GPZ125" s="41"/>
      <c r="GQA125" s="41"/>
      <c r="GQB125" s="41"/>
      <c r="GQC125" s="41"/>
      <c r="GQD125" s="41"/>
      <c r="GQE125" s="41"/>
      <c r="GQF125" s="41"/>
      <c r="GQG125" s="41"/>
      <c r="GQH125" s="41"/>
      <c r="GQI125" s="41"/>
      <c r="GQJ125" s="41"/>
      <c r="GQK125" s="41"/>
      <c r="GQL125" s="41"/>
      <c r="GQM125" s="41"/>
      <c r="GQN125" s="41"/>
      <c r="GQO125" s="41"/>
      <c r="GQP125" s="41"/>
      <c r="GQQ125" s="41"/>
      <c r="GQR125" s="41"/>
      <c r="GQS125" s="41"/>
      <c r="GQT125" s="41"/>
      <c r="GQU125" s="41"/>
      <c r="GQV125" s="41"/>
      <c r="GQW125" s="41"/>
      <c r="GQX125" s="41"/>
      <c r="GQY125" s="41"/>
      <c r="GQZ125" s="41"/>
      <c r="GRA125" s="41"/>
      <c r="GRB125" s="41"/>
      <c r="GRC125" s="41"/>
      <c r="GRD125" s="41"/>
      <c r="GRE125" s="41"/>
      <c r="GRF125" s="41"/>
      <c r="GRG125" s="41"/>
      <c r="GRH125" s="41"/>
      <c r="GRI125" s="41"/>
      <c r="GRJ125" s="41"/>
      <c r="GRK125" s="41"/>
      <c r="GRL125" s="41"/>
      <c r="GRM125" s="41"/>
      <c r="GRN125" s="41"/>
      <c r="GRO125" s="41"/>
      <c r="GRP125" s="41"/>
      <c r="GRQ125" s="41"/>
      <c r="GRR125" s="41"/>
      <c r="GRS125" s="41"/>
      <c r="GRT125" s="41"/>
      <c r="GRU125" s="41"/>
      <c r="GRV125" s="41"/>
      <c r="GRW125" s="41"/>
      <c r="GRX125" s="41"/>
      <c r="GRY125" s="41"/>
      <c r="GRZ125" s="41"/>
      <c r="GSA125" s="41"/>
      <c r="GSB125" s="41"/>
      <c r="GSC125" s="41"/>
      <c r="GSD125" s="41"/>
      <c r="GSE125" s="41"/>
      <c r="GSF125" s="41"/>
      <c r="GSG125" s="41"/>
      <c r="GSH125" s="41"/>
      <c r="GSI125" s="41"/>
      <c r="GSJ125" s="41"/>
      <c r="GSK125" s="41"/>
      <c r="GSL125" s="41"/>
      <c r="GSM125" s="41"/>
      <c r="GSN125" s="41"/>
      <c r="GSO125" s="41"/>
      <c r="GSP125" s="41"/>
      <c r="GSQ125" s="41"/>
      <c r="GSR125" s="41"/>
      <c r="GSS125" s="41"/>
      <c r="GST125" s="41"/>
      <c r="GSU125" s="41"/>
      <c r="GSV125" s="41"/>
      <c r="GSW125" s="41"/>
      <c r="GSX125" s="41"/>
      <c r="GSY125" s="41"/>
      <c r="GSZ125" s="41"/>
      <c r="GTA125" s="41"/>
      <c r="GTB125" s="41"/>
      <c r="GTC125" s="41"/>
      <c r="GTD125" s="41"/>
      <c r="GTE125" s="41"/>
      <c r="GTF125" s="41"/>
      <c r="GTG125" s="41"/>
      <c r="GTH125" s="41"/>
      <c r="GTI125" s="41"/>
      <c r="GTJ125" s="41"/>
      <c r="GTK125" s="41"/>
      <c r="GTL125" s="41"/>
      <c r="GTM125" s="41"/>
      <c r="GTN125" s="41"/>
      <c r="GTO125" s="41"/>
      <c r="GTP125" s="41"/>
      <c r="GTQ125" s="41"/>
      <c r="GTR125" s="41"/>
      <c r="GTS125" s="41"/>
      <c r="GTT125" s="41"/>
      <c r="GTU125" s="41"/>
      <c r="GTV125" s="41"/>
      <c r="GTW125" s="41"/>
      <c r="GTX125" s="41"/>
      <c r="GTY125" s="41"/>
      <c r="GTZ125" s="41"/>
      <c r="GUA125" s="41"/>
      <c r="GUB125" s="41"/>
      <c r="GUC125" s="41"/>
      <c r="GUD125" s="41"/>
      <c r="GUE125" s="41"/>
      <c r="GUF125" s="41"/>
      <c r="GUG125" s="41"/>
      <c r="GUH125" s="41"/>
      <c r="GUI125" s="41"/>
      <c r="GUJ125" s="41"/>
      <c r="GUK125" s="41"/>
      <c r="GUL125" s="41"/>
      <c r="GUM125" s="41"/>
      <c r="GUN125" s="41"/>
      <c r="GUO125" s="41"/>
      <c r="GUP125" s="41"/>
      <c r="GUQ125" s="41"/>
      <c r="GUR125" s="41"/>
      <c r="GUS125" s="41"/>
      <c r="GUT125" s="41"/>
      <c r="GUU125" s="41"/>
      <c r="GUV125" s="41"/>
      <c r="GUW125" s="41"/>
      <c r="GUX125" s="41"/>
      <c r="GUY125" s="41"/>
      <c r="GUZ125" s="41"/>
      <c r="GVA125" s="41"/>
      <c r="GVB125" s="41"/>
      <c r="GVC125" s="41"/>
      <c r="GVD125" s="41"/>
      <c r="GVE125" s="41"/>
      <c r="GVF125" s="41"/>
      <c r="GVG125" s="41"/>
      <c r="GVH125" s="41"/>
      <c r="GVI125" s="41"/>
      <c r="GVJ125" s="41"/>
      <c r="GVK125" s="41"/>
      <c r="GVL125" s="41"/>
      <c r="GVM125" s="41"/>
      <c r="GVN125" s="41"/>
      <c r="GVO125" s="41"/>
      <c r="GVP125" s="41"/>
      <c r="GVQ125" s="41"/>
      <c r="GVR125" s="41"/>
      <c r="GVS125" s="41"/>
      <c r="GVT125" s="41"/>
      <c r="GVU125" s="41"/>
      <c r="GVV125" s="41"/>
      <c r="GVW125" s="41"/>
      <c r="GVX125" s="41"/>
      <c r="GVY125" s="41"/>
      <c r="GVZ125" s="41"/>
      <c r="GWA125" s="41"/>
      <c r="GWB125" s="41"/>
      <c r="GWC125" s="41"/>
      <c r="GWD125" s="41"/>
      <c r="GWE125" s="41"/>
      <c r="GWF125" s="41"/>
      <c r="GWG125" s="41"/>
      <c r="GWH125" s="41"/>
      <c r="GWI125" s="41"/>
      <c r="GWJ125" s="41"/>
      <c r="GWK125" s="41"/>
      <c r="GWL125" s="41"/>
      <c r="GWM125" s="41"/>
      <c r="GWN125" s="41"/>
      <c r="GWO125" s="41"/>
      <c r="GWP125" s="41"/>
      <c r="GWQ125" s="41"/>
      <c r="GWR125" s="41"/>
      <c r="GWS125" s="41"/>
      <c r="GWT125" s="41"/>
      <c r="GWU125" s="41"/>
      <c r="GWV125" s="41"/>
      <c r="GWW125" s="41"/>
      <c r="GWX125" s="41"/>
      <c r="GWY125" s="41"/>
      <c r="GWZ125" s="41"/>
      <c r="GXA125" s="41"/>
      <c r="GXB125" s="41"/>
      <c r="GXC125" s="41"/>
      <c r="GXD125" s="41"/>
      <c r="GXE125" s="41"/>
      <c r="GXF125" s="41"/>
      <c r="GXG125" s="41"/>
      <c r="GXH125" s="41"/>
      <c r="GXI125" s="41"/>
      <c r="GXJ125" s="41"/>
      <c r="GXK125" s="41"/>
      <c r="GXL125" s="41"/>
      <c r="GXM125" s="41"/>
      <c r="GXN125" s="41"/>
      <c r="GXO125" s="41"/>
      <c r="GXP125" s="41"/>
      <c r="GXQ125" s="41"/>
      <c r="GXR125" s="41"/>
      <c r="GXS125" s="41"/>
      <c r="GXT125" s="41"/>
      <c r="GXU125" s="41"/>
      <c r="GXV125" s="41"/>
      <c r="GXW125" s="41"/>
      <c r="GXX125" s="41"/>
      <c r="GXY125" s="41"/>
      <c r="GXZ125" s="41"/>
      <c r="GYA125" s="41"/>
      <c r="GYB125" s="41"/>
      <c r="GYC125" s="41"/>
      <c r="GYD125" s="41"/>
      <c r="GYE125" s="41"/>
      <c r="GYF125" s="41"/>
      <c r="GYG125" s="41"/>
      <c r="GYH125" s="41"/>
      <c r="GYI125" s="41"/>
      <c r="GYJ125" s="41"/>
      <c r="GYK125" s="41"/>
      <c r="GYL125" s="41"/>
      <c r="GYM125" s="41"/>
      <c r="GYN125" s="41"/>
      <c r="GYO125" s="41"/>
      <c r="GYP125" s="41"/>
      <c r="GYQ125" s="41"/>
      <c r="GYR125" s="41"/>
      <c r="GYS125" s="41"/>
      <c r="GYT125" s="41"/>
      <c r="GYU125" s="41"/>
      <c r="GYV125" s="41"/>
      <c r="GYW125" s="41"/>
      <c r="GYX125" s="41"/>
      <c r="GYY125" s="41"/>
      <c r="GYZ125" s="41"/>
      <c r="GZA125" s="41"/>
      <c r="GZB125" s="41"/>
      <c r="GZC125" s="41"/>
      <c r="GZD125" s="41"/>
      <c r="GZE125" s="41"/>
      <c r="GZF125" s="41"/>
      <c r="GZG125" s="41"/>
      <c r="GZH125" s="41"/>
      <c r="GZI125" s="41"/>
      <c r="GZJ125" s="41"/>
      <c r="GZK125" s="41"/>
      <c r="GZL125" s="41"/>
      <c r="GZM125" s="41"/>
      <c r="GZN125" s="41"/>
      <c r="GZO125" s="41"/>
      <c r="GZP125" s="41"/>
      <c r="GZQ125" s="41"/>
      <c r="GZR125" s="41"/>
      <c r="GZS125" s="41"/>
      <c r="GZT125" s="41"/>
      <c r="GZU125" s="41"/>
      <c r="GZV125" s="41"/>
      <c r="GZW125" s="41"/>
      <c r="GZX125" s="41"/>
      <c r="GZY125" s="41"/>
      <c r="GZZ125" s="41"/>
      <c r="HAA125" s="41"/>
      <c r="HAB125" s="41"/>
      <c r="HAC125" s="41"/>
      <c r="HAD125" s="41"/>
      <c r="HAE125" s="41"/>
      <c r="HAF125" s="41"/>
      <c r="HAG125" s="41"/>
      <c r="HAH125" s="41"/>
      <c r="HAI125" s="41"/>
      <c r="HAJ125" s="41"/>
      <c r="HAK125" s="41"/>
      <c r="HAL125" s="41"/>
      <c r="HAM125" s="41"/>
      <c r="HAN125" s="41"/>
      <c r="HAO125" s="41"/>
      <c r="HAP125" s="41"/>
      <c r="HAQ125" s="41"/>
      <c r="HAR125" s="41"/>
      <c r="HAS125" s="41"/>
      <c r="HAT125" s="41"/>
      <c r="HAU125" s="41"/>
      <c r="HAV125" s="41"/>
      <c r="HAW125" s="41"/>
      <c r="HAX125" s="41"/>
      <c r="HAY125" s="41"/>
      <c r="HAZ125" s="41"/>
      <c r="HBA125" s="41"/>
      <c r="HBB125" s="41"/>
      <c r="HBC125" s="41"/>
      <c r="HBD125" s="41"/>
      <c r="HBE125" s="41"/>
      <c r="HBF125" s="41"/>
      <c r="HBG125" s="41"/>
      <c r="HBH125" s="41"/>
      <c r="HBI125" s="41"/>
      <c r="HBJ125" s="41"/>
      <c r="HBK125" s="41"/>
      <c r="HBL125" s="41"/>
      <c r="HBM125" s="41"/>
      <c r="HBN125" s="41"/>
      <c r="HBO125" s="41"/>
      <c r="HBP125" s="41"/>
      <c r="HBQ125" s="41"/>
      <c r="HBR125" s="41"/>
      <c r="HBS125" s="41"/>
      <c r="HBT125" s="41"/>
      <c r="HBU125" s="41"/>
      <c r="HBV125" s="41"/>
      <c r="HBW125" s="41"/>
      <c r="HBX125" s="41"/>
      <c r="HBY125" s="41"/>
      <c r="HBZ125" s="41"/>
      <c r="HCA125" s="41"/>
      <c r="HCB125" s="41"/>
      <c r="HCC125" s="41"/>
      <c r="HCD125" s="41"/>
      <c r="HCE125" s="41"/>
      <c r="HCF125" s="41"/>
      <c r="HCG125" s="41"/>
      <c r="HCH125" s="41"/>
      <c r="HCI125" s="41"/>
      <c r="HCJ125" s="41"/>
      <c r="HCK125" s="41"/>
      <c r="HCL125" s="41"/>
      <c r="HCM125" s="41"/>
      <c r="HCN125" s="41"/>
      <c r="HCO125" s="41"/>
      <c r="HCP125" s="41"/>
      <c r="HCQ125" s="41"/>
      <c r="HCR125" s="41"/>
      <c r="HCS125" s="41"/>
      <c r="HCT125" s="41"/>
      <c r="HCU125" s="41"/>
      <c r="HCV125" s="41"/>
      <c r="HCW125" s="41"/>
      <c r="HCX125" s="41"/>
      <c r="HCY125" s="41"/>
      <c r="HCZ125" s="41"/>
      <c r="HDA125" s="41"/>
      <c r="HDB125" s="41"/>
      <c r="HDC125" s="41"/>
      <c r="HDD125" s="41"/>
      <c r="HDE125" s="41"/>
      <c r="HDF125" s="41"/>
      <c r="HDG125" s="41"/>
      <c r="HDH125" s="41"/>
      <c r="HDI125" s="41"/>
      <c r="HDJ125" s="41"/>
      <c r="HDK125" s="41"/>
      <c r="HDL125" s="41"/>
      <c r="HDM125" s="41"/>
      <c r="HDN125" s="41"/>
      <c r="HDO125" s="41"/>
      <c r="HDP125" s="41"/>
      <c r="HDQ125" s="41"/>
      <c r="HDR125" s="41"/>
      <c r="HDS125" s="41"/>
      <c r="HDT125" s="41"/>
      <c r="HDU125" s="41"/>
      <c r="HDV125" s="41"/>
      <c r="HDW125" s="41"/>
      <c r="HDX125" s="41"/>
      <c r="HDY125" s="41"/>
      <c r="HDZ125" s="41"/>
      <c r="HEA125" s="41"/>
      <c r="HEB125" s="41"/>
      <c r="HEC125" s="41"/>
      <c r="HED125" s="41"/>
      <c r="HEE125" s="41"/>
      <c r="HEF125" s="41"/>
      <c r="HEG125" s="41"/>
      <c r="HEH125" s="41"/>
      <c r="HEI125" s="41"/>
      <c r="HEJ125" s="41"/>
      <c r="HEK125" s="41"/>
      <c r="HEL125" s="41"/>
      <c r="HEM125" s="41"/>
      <c r="HEN125" s="41"/>
      <c r="HEO125" s="41"/>
      <c r="HEP125" s="41"/>
      <c r="HEQ125" s="41"/>
      <c r="HER125" s="41"/>
      <c r="HES125" s="41"/>
      <c r="HET125" s="41"/>
      <c r="HEU125" s="41"/>
      <c r="HEV125" s="41"/>
      <c r="HEW125" s="41"/>
      <c r="HEX125" s="41"/>
      <c r="HEY125" s="41"/>
      <c r="HEZ125" s="41"/>
      <c r="HFA125" s="41"/>
      <c r="HFB125" s="41"/>
      <c r="HFC125" s="41"/>
      <c r="HFD125" s="41"/>
      <c r="HFE125" s="41"/>
      <c r="HFF125" s="41"/>
      <c r="HFG125" s="41"/>
      <c r="HFH125" s="41"/>
      <c r="HFI125" s="41"/>
      <c r="HFJ125" s="41"/>
      <c r="HFK125" s="41"/>
      <c r="HFL125" s="41"/>
      <c r="HFM125" s="41"/>
      <c r="HFN125" s="41"/>
      <c r="HFO125" s="41"/>
      <c r="HFP125" s="41"/>
      <c r="HFQ125" s="41"/>
      <c r="HFR125" s="41"/>
      <c r="HFS125" s="41"/>
      <c r="HFT125" s="41"/>
      <c r="HFU125" s="41"/>
      <c r="HFV125" s="41"/>
      <c r="HFW125" s="41"/>
      <c r="HFX125" s="41"/>
      <c r="HFY125" s="41"/>
      <c r="HFZ125" s="41"/>
      <c r="HGA125" s="41"/>
      <c r="HGB125" s="41"/>
      <c r="HGC125" s="41"/>
      <c r="HGD125" s="41"/>
      <c r="HGE125" s="41"/>
      <c r="HGF125" s="41"/>
      <c r="HGG125" s="41"/>
      <c r="HGH125" s="41"/>
      <c r="HGI125" s="41"/>
      <c r="HGJ125" s="41"/>
      <c r="HGK125" s="41"/>
      <c r="HGL125" s="41"/>
      <c r="HGM125" s="41"/>
      <c r="HGN125" s="41"/>
      <c r="HGO125" s="41"/>
      <c r="HGP125" s="41"/>
      <c r="HGQ125" s="41"/>
      <c r="HGR125" s="41"/>
      <c r="HGS125" s="41"/>
      <c r="HGT125" s="41"/>
      <c r="HGU125" s="41"/>
      <c r="HGV125" s="41"/>
      <c r="HGW125" s="41"/>
      <c r="HGX125" s="41"/>
      <c r="HGY125" s="41"/>
      <c r="HGZ125" s="41"/>
      <c r="HHA125" s="41"/>
      <c r="HHB125" s="41"/>
      <c r="HHC125" s="41"/>
      <c r="HHD125" s="41"/>
      <c r="HHE125" s="41"/>
      <c r="HHF125" s="41"/>
      <c r="HHG125" s="41"/>
      <c r="HHH125" s="41"/>
      <c r="HHI125" s="41"/>
      <c r="HHJ125" s="41"/>
      <c r="HHK125" s="41"/>
      <c r="HHL125" s="41"/>
      <c r="HHM125" s="41"/>
      <c r="HHN125" s="41"/>
      <c r="HHO125" s="41"/>
      <c r="HHP125" s="41"/>
      <c r="HHQ125" s="41"/>
      <c r="HHR125" s="41"/>
      <c r="HHS125" s="41"/>
      <c r="HHT125" s="41"/>
      <c r="HHU125" s="41"/>
      <c r="HHV125" s="41"/>
      <c r="HHW125" s="41"/>
      <c r="HHX125" s="41"/>
      <c r="HHY125" s="41"/>
      <c r="HHZ125" s="41"/>
      <c r="HIA125" s="41"/>
      <c r="HIB125" s="41"/>
      <c r="HIC125" s="41"/>
      <c r="HID125" s="41"/>
      <c r="HIE125" s="41"/>
      <c r="HIF125" s="41"/>
      <c r="HIG125" s="41"/>
      <c r="HIH125" s="41"/>
      <c r="HII125" s="41"/>
      <c r="HIJ125" s="41"/>
      <c r="HIK125" s="41"/>
      <c r="HIL125" s="41"/>
      <c r="HIM125" s="41"/>
      <c r="HIN125" s="41"/>
      <c r="HIO125" s="41"/>
      <c r="HIP125" s="41"/>
      <c r="HIQ125" s="41"/>
      <c r="HIR125" s="41"/>
      <c r="HIS125" s="41"/>
      <c r="HIT125" s="41"/>
      <c r="HIU125" s="41"/>
      <c r="HIV125" s="41"/>
      <c r="HIW125" s="41"/>
      <c r="HIX125" s="41"/>
      <c r="HIY125" s="41"/>
      <c r="HIZ125" s="41"/>
      <c r="HJA125" s="41"/>
      <c r="HJB125" s="41"/>
      <c r="HJC125" s="41"/>
      <c r="HJD125" s="41"/>
      <c r="HJE125" s="41"/>
      <c r="HJF125" s="41"/>
      <c r="HJG125" s="41"/>
      <c r="HJH125" s="41"/>
      <c r="HJI125" s="41"/>
      <c r="HJJ125" s="41"/>
      <c r="HJK125" s="41"/>
      <c r="HJL125" s="41"/>
      <c r="HJM125" s="41"/>
      <c r="HJN125" s="41"/>
      <c r="HJO125" s="41"/>
      <c r="HJP125" s="41"/>
      <c r="HJQ125" s="41"/>
      <c r="HJR125" s="41"/>
      <c r="HJS125" s="41"/>
      <c r="HJT125" s="41"/>
      <c r="HJU125" s="41"/>
      <c r="HJV125" s="41"/>
      <c r="HJW125" s="41"/>
      <c r="HJX125" s="41"/>
      <c r="HJY125" s="41"/>
      <c r="HJZ125" s="41"/>
      <c r="HKA125" s="41"/>
      <c r="HKB125" s="41"/>
      <c r="HKC125" s="41"/>
      <c r="HKD125" s="41"/>
      <c r="HKE125" s="41"/>
      <c r="HKF125" s="41"/>
      <c r="HKG125" s="41"/>
      <c r="HKH125" s="41"/>
      <c r="HKI125" s="41"/>
      <c r="HKJ125" s="41"/>
      <c r="HKK125" s="41"/>
      <c r="HKL125" s="41"/>
      <c r="HKM125" s="41"/>
      <c r="HKN125" s="41"/>
      <c r="HKO125" s="41"/>
      <c r="HKP125" s="41"/>
      <c r="HKQ125" s="41"/>
      <c r="HKR125" s="41"/>
      <c r="HKS125" s="41"/>
      <c r="HKT125" s="41"/>
      <c r="HKU125" s="41"/>
      <c r="HKV125" s="41"/>
      <c r="HKW125" s="41"/>
      <c r="HKX125" s="41"/>
      <c r="HKY125" s="41"/>
      <c r="HKZ125" s="41"/>
      <c r="HLA125" s="41"/>
      <c r="HLB125" s="41"/>
      <c r="HLC125" s="41"/>
      <c r="HLD125" s="41"/>
      <c r="HLE125" s="41"/>
      <c r="HLF125" s="41"/>
      <c r="HLG125" s="41"/>
      <c r="HLH125" s="41"/>
      <c r="HLI125" s="41"/>
      <c r="HLJ125" s="41"/>
      <c r="HLK125" s="41"/>
      <c r="HLL125" s="41"/>
      <c r="HLM125" s="41"/>
      <c r="HLN125" s="41"/>
      <c r="HLO125" s="41"/>
      <c r="HLP125" s="41"/>
      <c r="HLQ125" s="41"/>
      <c r="HLR125" s="41"/>
      <c r="HLS125" s="41"/>
      <c r="HLT125" s="41"/>
      <c r="HLU125" s="41"/>
      <c r="HLV125" s="41"/>
      <c r="HLW125" s="41"/>
      <c r="HLX125" s="41"/>
      <c r="HLY125" s="41"/>
      <c r="HLZ125" s="41"/>
      <c r="HMA125" s="41"/>
      <c r="HMB125" s="41"/>
      <c r="HMC125" s="41"/>
      <c r="HMD125" s="41"/>
      <c r="HME125" s="41"/>
      <c r="HMF125" s="41"/>
      <c r="HMG125" s="41"/>
      <c r="HMH125" s="41"/>
      <c r="HMI125" s="41"/>
      <c r="HMJ125" s="41"/>
      <c r="HMK125" s="41"/>
      <c r="HML125" s="41"/>
      <c r="HMM125" s="41"/>
      <c r="HMN125" s="41"/>
      <c r="HMO125" s="41"/>
      <c r="HMP125" s="41"/>
      <c r="HMQ125" s="41"/>
      <c r="HMR125" s="41"/>
      <c r="HMS125" s="41"/>
      <c r="HMT125" s="41"/>
      <c r="HMU125" s="41"/>
      <c r="HMV125" s="41"/>
      <c r="HMW125" s="41"/>
      <c r="HMX125" s="41"/>
      <c r="HMY125" s="41"/>
      <c r="HMZ125" s="41"/>
      <c r="HNA125" s="41"/>
      <c r="HNB125" s="41"/>
      <c r="HNC125" s="41"/>
      <c r="HND125" s="41"/>
      <c r="HNE125" s="41"/>
      <c r="HNF125" s="41"/>
      <c r="HNG125" s="41"/>
      <c r="HNH125" s="41"/>
      <c r="HNI125" s="41"/>
      <c r="HNJ125" s="41"/>
      <c r="HNK125" s="41"/>
      <c r="HNL125" s="41"/>
      <c r="HNM125" s="41"/>
      <c r="HNN125" s="41"/>
      <c r="HNO125" s="41"/>
      <c r="HNP125" s="41"/>
      <c r="HNQ125" s="41"/>
      <c r="HNR125" s="41"/>
      <c r="HNS125" s="41"/>
      <c r="HNT125" s="41"/>
      <c r="HNU125" s="41"/>
      <c r="HNV125" s="41"/>
      <c r="HNW125" s="41"/>
      <c r="HNX125" s="41"/>
      <c r="HNY125" s="41"/>
      <c r="HNZ125" s="41"/>
      <c r="HOA125" s="41"/>
      <c r="HOB125" s="41"/>
      <c r="HOC125" s="41"/>
      <c r="HOD125" s="41"/>
      <c r="HOE125" s="41"/>
      <c r="HOF125" s="41"/>
      <c r="HOG125" s="41"/>
      <c r="HOH125" s="41"/>
      <c r="HOI125" s="41"/>
      <c r="HOJ125" s="41"/>
      <c r="HOK125" s="41"/>
      <c r="HOL125" s="41"/>
      <c r="HOM125" s="41"/>
      <c r="HON125" s="41"/>
      <c r="HOO125" s="41"/>
      <c r="HOP125" s="41"/>
      <c r="HOQ125" s="41"/>
      <c r="HOR125" s="41"/>
      <c r="HOS125" s="41"/>
      <c r="HOT125" s="41"/>
      <c r="HOU125" s="41"/>
      <c r="HOV125" s="41"/>
      <c r="HOW125" s="41"/>
      <c r="HOX125" s="41"/>
      <c r="HOY125" s="41"/>
      <c r="HOZ125" s="41"/>
      <c r="HPA125" s="41"/>
      <c r="HPB125" s="41"/>
      <c r="HPC125" s="41"/>
      <c r="HPD125" s="41"/>
      <c r="HPE125" s="41"/>
      <c r="HPF125" s="41"/>
      <c r="HPG125" s="41"/>
      <c r="HPH125" s="41"/>
      <c r="HPI125" s="41"/>
      <c r="HPJ125" s="41"/>
      <c r="HPK125" s="41"/>
      <c r="HPL125" s="41"/>
      <c r="HPM125" s="41"/>
      <c r="HPN125" s="41"/>
      <c r="HPO125" s="41"/>
      <c r="HPP125" s="41"/>
      <c r="HPQ125" s="41"/>
      <c r="HPR125" s="41"/>
      <c r="HPS125" s="41"/>
      <c r="HPT125" s="41"/>
      <c r="HPU125" s="41"/>
      <c r="HPV125" s="41"/>
      <c r="HPW125" s="41"/>
      <c r="HPX125" s="41"/>
      <c r="HPY125" s="41"/>
      <c r="HPZ125" s="41"/>
      <c r="HQA125" s="41"/>
      <c r="HQB125" s="41"/>
      <c r="HQC125" s="41"/>
      <c r="HQD125" s="41"/>
      <c r="HQE125" s="41"/>
      <c r="HQF125" s="41"/>
      <c r="HQG125" s="41"/>
      <c r="HQH125" s="41"/>
      <c r="HQI125" s="41"/>
      <c r="HQJ125" s="41"/>
      <c r="HQK125" s="41"/>
      <c r="HQL125" s="41"/>
      <c r="HQM125" s="41"/>
      <c r="HQN125" s="41"/>
      <c r="HQO125" s="41"/>
      <c r="HQP125" s="41"/>
      <c r="HQQ125" s="41"/>
      <c r="HQR125" s="41"/>
      <c r="HQS125" s="41"/>
      <c r="HQT125" s="41"/>
      <c r="HQU125" s="41"/>
      <c r="HQV125" s="41"/>
      <c r="HQW125" s="41"/>
      <c r="HQX125" s="41"/>
      <c r="HQY125" s="41"/>
      <c r="HQZ125" s="41"/>
      <c r="HRA125" s="41"/>
      <c r="HRB125" s="41"/>
      <c r="HRC125" s="41"/>
      <c r="HRD125" s="41"/>
      <c r="HRE125" s="41"/>
      <c r="HRF125" s="41"/>
      <c r="HRG125" s="41"/>
      <c r="HRH125" s="41"/>
      <c r="HRI125" s="41"/>
      <c r="HRJ125" s="41"/>
      <c r="HRK125" s="41"/>
      <c r="HRL125" s="41"/>
      <c r="HRM125" s="41"/>
      <c r="HRN125" s="41"/>
      <c r="HRO125" s="41"/>
      <c r="HRP125" s="41"/>
      <c r="HRQ125" s="41"/>
      <c r="HRR125" s="41"/>
      <c r="HRS125" s="41"/>
      <c r="HRT125" s="41"/>
      <c r="HRU125" s="41"/>
      <c r="HRV125" s="41"/>
      <c r="HRW125" s="41"/>
      <c r="HRX125" s="41"/>
      <c r="HRY125" s="41"/>
      <c r="HRZ125" s="41"/>
      <c r="HSA125" s="41"/>
      <c r="HSB125" s="41"/>
      <c r="HSC125" s="41"/>
      <c r="HSD125" s="41"/>
      <c r="HSE125" s="41"/>
      <c r="HSF125" s="41"/>
      <c r="HSG125" s="41"/>
      <c r="HSH125" s="41"/>
      <c r="HSI125" s="41"/>
      <c r="HSJ125" s="41"/>
      <c r="HSK125" s="41"/>
      <c r="HSL125" s="41"/>
      <c r="HSM125" s="41"/>
      <c r="HSN125" s="41"/>
      <c r="HSO125" s="41"/>
      <c r="HSP125" s="41"/>
      <c r="HSQ125" s="41"/>
      <c r="HSR125" s="41"/>
      <c r="HSS125" s="41"/>
      <c r="HST125" s="41"/>
      <c r="HSU125" s="41"/>
      <c r="HSV125" s="41"/>
      <c r="HSW125" s="41"/>
      <c r="HSX125" s="41"/>
      <c r="HSY125" s="41"/>
      <c r="HSZ125" s="41"/>
      <c r="HTA125" s="41"/>
      <c r="HTB125" s="41"/>
      <c r="HTC125" s="41"/>
      <c r="HTD125" s="41"/>
      <c r="HTE125" s="41"/>
      <c r="HTF125" s="41"/>
      <c r="HTG125" s="41"/>
      <c r="HTH125" s="41"/>
      <c r="HTI125" s="41"/>
      <c r="HTJ125" s="41"/>
      <c r="HTK125" s="41"/>
      <c r="HTL125" s="41"/>
      <c r="HTM125" s="41"/>
      <c r="HTN125" s="41"/>
      <c r="HTO125" s="41"/>
      <c r="HTP125" s="41"/>
      <c r="HTQ125" s="41"/>
      <c r="HTR125" s="41"/>
      <c r="HTS125" s="41"/>
      <c r="HTT125" s="41"/>
      <c r="HTU125" s="41"/>
      <c r="HTV125" s="41"/>
      <c r="HTW125" s="41"/>
      <c r="HTX125" s="41"/>
      <c r="HTY125" s="41"/>
      <c r="HTZ125" s="41"/>
      <c r="HUA125" s="41"/>
      <c r="HUB125" s="41"/>
      <c r="HUC125" s="41"/>
      <c r="HUD125" s="41"/>
      <c r="HUE125" s="41"/>
      <c r="HUF125" s="41"/>
      <c r="HUG125" s="41"/>
      <c r="HUH125" s="41"/>
      <c r="HUI125" s="41"/>
      <c r="HUJ125" s="41"/>
      <c r="HUK125" s="41"/>
      <c r="HUL125" s="41"/>
      <c r="HUM125" s="41"/>
      <c r="HUN125" s="41"/>
      <c r="HUO125" s="41"/>
      <c r="HUP125" s="41"/>
      <c r="HUQ125" s="41"/>
      <c r="HUR125" s="41"/>
      <c r="HUS125" s="41"/>
      <c r="HUT125" s="41"/>
      <c r="HUU125" s="41"/>
      <c r="HUV125" s="41"/>
      <c r="HUW125" s="41"/>
      <c r="HUX125" s="41"/>
      <c r="HUY125" s="41"/>
      <c r="HUZ125" s="41"/>
      <c r="HVA125" s="41"/>
      <c r="HVB125" s="41"/>
      <c r="HVC125" s="41"/>
      <c r="HVD125" s="41"/>
      <c r="HVE125" s="41"/>
      <c r="HVF125" s="41"/>
      <c r="HVG125" s="41"/>
      <c r="HVH125" s="41"/>
      <c r="HVI125" s="41"/>
      <c r="HVJ125" s="41"/>
      <c r="HVK125" s="41"/>
      <c r="HVL125" s="41"/>
      <c r="HVM125" s="41"/>
      <c r="HVN125" s="41"/>
      <c r="HVO125" s="41"/>
      <c r="HVP125" s="41"/>
      <c r="HVQ125" s="41"/>
      <c r="HVR125" s="41"/>
      <c r="HVS125" s="41"/>
      <c r="HVT125" s="41"/>
      <c r="HVU125" s="41"/>
      <c r="HVV125" s="41"/>
      <c r="HVW125" s="41"/>
      <c r="HVX125" s="41"/>
      <c r="HVY125" s="41"/>
      <c r="HVZ125" s="41"/>
      <c r="HWA125" s="41"/>
      <c r="HWB125" s="41"/>
      <c r="HWC125" s="41"/>
      <c r="HWD125" s="41"/>
      <c r="HWE125" s="41"/>
      <c r="HWF125" s="41"/>
      <c r="HWG125" s="41"/>
      <c r="HWH125" s="41"/>
      <c r="HWI125" s="41"/>
      <c r="HWJ125" s="41"/>
      <c r="HWK125" s="41"/>
      <c r="HWL125" s="41"/>
      <c r="HWM125" s="41"/>
      <c r="HWN125" s="41"/>
      <c r="HWO125" s="41"/>
      <c r="HWP125" s="41"/>
      <c r="HWQ125" s="41"/>
      <c r="HWR125" s="41"/>
      <c r="HWS125" s="41"/>
      <c r="HWT125" s="41"/>
      <c r="HWU125" s="41"/>
      <c r="HWV125" s="41"/>
      <c r="HWW125" s="41"/>
      <c r="HWX125" s="41"/>
      <c r="HWY125" s="41"/>
      <c r="HWZ125" s="41"/>
      <c r="HXA125" s="41"/>
      <c r="HXB125" s="41"/>
      <c r="HXC125" s="41"/>
      <c r="HXD125" s="41"/>
      <c r="HXE125" s="41"/>
      <c r="HXF125" s="41"/>
      <c r="HXG125" s="41"/>
      <c r="HXH125" s="41"/>
      <c r="HXI125" s="41"/>
      <c r="HXJ125" s="41"/>
      <c r="HXK125" s="41"/>
      <c r="HXL125" s="41"/>
      <c r="HXM125" s="41"/>
      <c r="HXN125" s="41"/>
      <c r="HXO125" s="41"/>
      <c r="HXP125" s="41"/>
      <c r="HXQ125" s="41"/>
      <c r="HXR125" s="41"/>
      <c r="HXS125" s="41"/>
      <c r="HXT125" s="41"/>
      <c r="HXU125" s="41"/>
      <c r="HXV125" s="41"/>
      <c r="HXW125" s="41"/>
      <c r="HXX125" s="41"/>
      <c r="HXY125" s="41"/>
      <c r="HXZ125" s="41"/>
      <c r="HYA125" s="41"/>
      <c r="HYB125" s="41"/>
      <c r="HYC125" s="41"/>
      <c r="HYD125" s="41"/>
      <c r="HYE125" s="41"/>
      <c r="HYF125" s="41"/>
      <c r="HYG125" s="41"/>
      <c r="HYH125" s="41"/>
      <c r="HYI125" s="41"/>
      <c r="HYJ125" s="41"/>
      <c r="HYK125" s="41"/>
      <c r="HYL125" s="41"/>
      <c r="HYM125" s="41"/>
      <c r="HYN125" s="41"/>
      <c r="HYO125" s="41"/>
      <c r="HYP125" s="41"/>
      <c r="HYQ125" s="41"/>
      <c r="HYR125" s="41"/>
      <c r="HYS125" s="41"/>
      <c r="HYT125" s="41"/>
      <c r="HYU125" s="41"/>
      <c r="HYV125" s="41"/>
      <c r="HYW125" s="41"/>
      <c r="HYX125" s="41"/>
      <c r="HYY125" s="41"/>
      <c r="HYZ125" s="41"/>
      <c r="HZA125" s="41"/>
      <c r="HZB125" s="41"/>
      <c r="HZC125" s="41"/>
      <c r="HZD125" s="41"/>
      <c r="HZE125" s="41"/>
      <c r="HZF125" s="41"/>
      <c r="HZG125" s="41"/>
      <c r="HZH125" s="41"/>
      <c r="HZI125" s="41"/>
      <c r="HZJ125" s="41"/>
      <c r="HZK125" s="41"/>
      <c r="HZL125" s="41"/>
      <c r="HZM125" s="41"/>
      <c r="HZN125" s="41"/>
      <c r="HZO125" s="41"/>
      <c r="HZP125" s="41"/>
      <c r="HZQ125" s="41"/>
      <c r="HZR125" s="41"/>
      <c r="HZS125" s="41"/>
      <c r="HZT125" s="41"/>
      <c r="HZU125" s="41"/>
      <c r="HZV125" s="41"/>
      <c r="HZW125" s="41"/>
      <c r="HZX125" s="41"/>
      <c r="HZY125" s="41"/>
      <c r="HZZ125" s="41"/>
      <c r="IAA125" s="41"/>
      <c r="IAB125" s="41"/>
      <c r="IAC125" s="41"/>
      <c r="IAD125" s="41"/>
      <c r="IAE125" s="41"/>
      <c r="IAF125" s="41"/>
      <c r="IAG125" s="41"/>
      <c r="IAH125" s="41"/>
      <c r="IAI125" s="41"/>
      <c r="IAJ125" s="41"/>
      <c r="IAK125" s="41"/>
      <c r="IAL125" s="41"/>
      <c r="IAM125" s="41"/>
      <c r="IAN125" s="41"/>
      <c r="IAO125" s="41"/>
      <c r="IAP125" s="41"/>
      <c r="IAQ125" s="41"/>
      <c r="IAR125" s="41"/>
      <c r="IAS125" s="41"/>
      <c r="IAT125" s="41"/>
      <c r="IAU125" s="41"/>
      <c r="IAV125" s="41"/>
      <c r="IAW125" s="41"/>
      <c r="IAX125" s="41"/>
      <c r="IAY125" s="41"/>
      <c r="IAZ125" s="41"/>
      <c r="IBA125" s="41"/>
      <c r="IBB125" s="41"/>
      <c r="IBC125" s="41"/>
      <c r="IBD125" s="41"/>
      <c r="IBE125" s="41"/>
      <c r="IBF125" s="41"/>
      <c r="IBG125" s="41"/>
      <c r="IBH125" s="41"/>
      <c r="IBI125" s="41"/>
      <c r="IBJ125" s="41"/>
      <c r="IBK125" s="41"/>
      <c r="IBL125" s="41"/>
      <c r="IBM125" s="41"/>
      <c r="IBN125" s="41"/>
      <c r="IBO125" s="41"/>
      <c r="IBP125" s="41"/>
      <c r="IBQ125" s="41"/>
      <c r="IBR125" s="41"/>
      <c r="IBS125" s="41"/>
      <c r="IBT125" s="41"/>
      <c r="IBU125" s="41"/>
      <c r="IBV125" s="41"/>
      <c r="IBW125" s="41"/>
      <c r="IBX125" s="41"/>
      <c r="IBY125" s="41"/>
      <c r="IBZ125" s="41"/>
      <c r="ICA125" s="41"/>
      <c r="ICB125" s="41"/>
      <c r="ICC125" s="41"/>
      <c r="ICD125" s="41"/>
      <c r="ICE125" s="41"/>
      <c r="ICF125" s="41"/>
      <c r="ICG125" s="41"/>
      <c r="ICH125" s="41"/>
      <c r="ICI125" s="41"/>
      <c r="ICJ125" s="41"/>
      <c r="ICK125" s="41"/>
      <c r="ICL125" s="41"/>
      <c r="ICM125" s="41"/>
      <c r="ICN125" s="41"/>
      <c r="ICO125" s="41"/>
      <c r="ICP125" s="41"/>
      <c r="ICQ125" s="41"/>
      <c r="ICR125" s="41"/>
      <c r="ICS125" s="41"/>
      <c r="ICT125" s="41"/>
      <c r="ICU125" s="41"/>
      <c r="ICV125" s="41"/>
      <c r="ICW125" s="41"/>
      <c r="ICX125" s="41"/>
      <c r="ICY125" s="41"/>
      <c r="ICZ125" s="41"/>
      <c r="IDA125" s="41"/>
      <c r="IDB125" s="41"/>
      <c r="IDC125" s="41"/>
      <c r="IDD125" s="41"/>
      <c r="IDE125" s="41"/>
      <c r="IDF125" s="41"/>
      <c r="IDG125" s="41"/>
      <c r="IDH125" s="41"/>
      <c r="IDI125" s="41"/>
      <c r="IDJ125" s="41"/>
      <c r="IDK125" s="41"/>
      <c r="IDL125" s="41"/>
      <c r="IDM125" s="41"/>
      <c r="IDN125" s="41"/>
      <c r="IDO125" s="41"/>
      <c r="IDP125" s="41"/>
      <c r="IDQ125" s="41"/>
      <c r="IDR125" s="41"/>
      <c r="IDS125" s="41"/>
      <c r="IDT125" s="41"/>
      <c r="IDU125" s="41"/>
      <c r="IDV125" s="41"/>
      <c r="IDW125" s="41"/>
      <c r="IDX125" s="41"/>
      <c r="IDY125" s="41"/>
      <c r="IDZ125" s="41"/>
      <c r="IEA125" s="41"/>
      <c r="IEB125" s="41"/>
      <c r="IEC125" s="41"/>
      <c r="IED125" s="41"/>
      <c r="IEE125" s="41"/>
      <c r="IEF125" s="41"/>
      <c r="IEG125" s="41"/>
      <c r="IEH125" s="41"/>
      <c r="IEI125" s="41"/>
      <c r="IEJ125" s="41"/>
      <c r="IEK125" s="41"/>
      <c r="IEL125" s="41"/>
      <c r="IEM125" s="41"/>
      <c r="IEN125" s="41"/>
      <c r="IEO125" s="41"/>
      <c r="IEP125" s="41"/>
      <c r="IEQ125" s="41"/>
      <c r="IER125" s="41"/>
      <c r="IES125" s="41"/>
      <c r="IET125" s="41"/>
      <c r="IEU125" s="41"/>
      <c r="IEV125" s="41"/>
      <c r="IEW125" s="41"/>
      <c r="IEX125" s="41"/>
      <c r="IEY125" s="41"/>
      <c r="IEZ125" s="41"/>
      <c r="IFA125" s="41"/>
      <c r="IFB125" s="41"/>
      <c r="IFC125" s="41"/>
      <c r="IFD125" s="41"/>
      <c r="IFE125" s="41"/>
      <c r="IFF125" s="41"/>
      <c r="IFG125" s="41"/>
      <c r="IFH125" s="41"/>
      <c r="IFI125" s="41"/>
      <c r="IFJ125" s="41"/>
      <c r="IFK125" s="41"/>
      <c r="IFL125" s="41"/>
      <c r="IFM125" s="41"/>
      <c r="IFN125" s="41"/>
      <c r="IFO125" s="41"/>
      <c r="IFP125" s="41"/>
      <c r="IFQ125" s="41"/>
      <c r="IFR125" s="41"/>
      <c r="IFS125" s="41"/>
      <c r="IFT125" s="41"/>
      <c r="IFU125" s="41"/>
      <c r="IFV125" s="41"/>
      <c r="IFW125" s="41"/>
      <c r="IFX125" s="41"/>
      <c r="IFY125" s="41"/>
      <c r="IFZ125" s="41"/>
      <c r="IGA125" s="41"/>
      <c r="IGB125" s="41"/>
      <c r="IGC125" s="41"/>
      <c r="IGD125" s="41"/>
      <c r="IGE125" s="41"/>
      <c r="IGF125" s="41"/>
      <c r="IGG125" s="41"/>
      <c r="IGH125" s="41"/>
      <c r="IGI125" s="41"/>
      <c r="IGJ125" s="41"/>
      <c r="IGK125" s="41"/>
      <c r="IGL125" s="41"/>
      <c r="IGM125" s="41"/>
      <c r="IGN125" s="41"/>
      <c r="IGO125" s="41"/>
      <c r="IGP125" s="41"/>
      <c r="IGQ125" s="41"/>
      <c r="IGR125" s="41"/>
      <c r="IGS125" s="41"/>
      <c r="IGT125" s="41"/>
      <c r="IGU125" s="41"/>
      <c r="IGV125" s="41"/>
      <c r="IGW125" s="41"/>
      <c r="IGX125" s="41"/>
      <c r="IGY125" s="41"/>
      <c r="IGZ125" s="41"/>
      <c r="IHA125" s="41"/>
      <c r="IHB125" s="41"/>
      <c r="IHC125" s="41"/>
      <c r="IHD125" s="41"/>
      <c r="IHE125" s="41"/>
      <c r="IHF125" s="41"/>
      <c r="IHG125" s="41"/>
      <c r="IHH125" s="41"/>
      <c r="IHI125" s="41"/>
      <c r="IHJ125" s="41"/>
      <c r="IHK125" s="41"/>
      <c r="IHL125" s="41"/>
      <c r="IHM125" s="41"/>
      <c r="IHN125" s="41"/>
      <c r="IHO125" s="41"/>
      <c r="IHP125" s="41"/>
      <c r="IHQ125" s="41"/>
      <c r="IHR125" s="41"/>
      <c r="IHS125" s="41"/>
      <c r="IHT125" s="41"/>
      <c r="IHU125" s="41"/>
      <c r="IHV125" s="41"/>
      <c r="IHW125" s="41"/>
      <c r="IHX125" s="41"/>
      <c r="IHY125" s="41"/>
      <c r="IHZ125" s="41"/>
      <c r="IIA125" s="41"/>
      <c r="IIB125" s="41"/>
      <c r="IIC125" s="41"/>
      <c r="IID125" s="41"/>
      <c r="IIE125" s="41"/>
      <c r="IIF125" s="41"/>
      <c r="IIG125" s="41"/>
      <c r="IIH125" s="41"/>
      <c r="III125" s="41"/>
      <c r="IIJ125" s="41"/>
      <c r="IIK125" s="41"/>
      <c r="IIL125" s="41"/>
      <c r="IIM125" s="41"/>
      <c r="IIN125" s="41"/>
      <c r="IIO125" s="41"/>
      <c r="IIP125" s="41"/>
      <c r="IIQ125" s="41"/>
      <c r="IIR125" s="41"/>
      <c r="IIS125" s="41"/>
      <c r="IIT125" s="41"/>
      <c r="IIU125" s="41"/>
      <c r="IIV125" s="41"/>
      <c r="IIW125" s="41"/>
      <c r="IIX125" s="41"/>
      <c r="IIY125" s="41"/>
      <c r="IIZ125" s="41"/>
      <c r="IJA125" s="41"/>
      <c r="IJB125" s="41"/>
      <c r="IJC125" s="41"/>
      <c r="IJD125" s="41"/>
      <c r="IJE125" s="41"/>
      <c r="IJF125" s="41"/>
      <c r="IJG125" s="41"/>
      <c r="IJH125" s="41"/>
      <c r="IJI125" s="41"/>
      <c r="IJJ125" s="41"/>
      <c r="IJK125" s="41"/>
      <c r="IJL125" s="41"/>
      <c r="IJM125" s="41"/>
      <c r="IJN125" s="41"/>
      <c r="IJO125" s="41"/>
      <c r="IJP125" s="41"/>
      <c r="IJQ125" s="41"/>
      <c r="IJR125" s="41"/>
      <c r="IJS125" s="41"/>
      <c r="IJT125" s="41"/>
      <c r="IJU125" s="41"/>
      <c r="IJV125" s="41"/>
      <c r="IJW125" s="41"/>
      <c r="IJX125" s="41"/>
      <c r="IJY125" s="41"/>
      <c r="IJZ125" s="41"/>
      <c r="IKA125" s="41"/>
      <c r="IKB125" s="41"/>
      <c r="IKC125" s="41"/>
      <c r="IKD125" s="41"/>
      <c r="IKE125" s="41"/>
      <c r="IKF125" s="41"/>
      <c r="IKG125" s="41"/>
      <c r="IKH125" s="41"/>
      <c r="IKI125" s="41"/>
      <c r="IKJ125" s="41"/>
      <c r="IKK125" s="41"/>
      <c r="IKL125" s="41"/>
      <c r="IKM125" s="41"/>
      <c r="IKN125" s="41"/>
      <c r="IKO125" s="41"/>
      <c r="IKP125" s="41"/>
      <c r="IKQ125" s="41"/>
      <c r="IKR125" s="41"/>
      <c r="IKS125" s="41"/>
      <c r="IKT125" s="41"/>
      <c r="IKU125" s="41"/>
      <c r="IKV125" s="41"/>
      <c r="IKW125" s="41"/>
      <c r="IKX125" s="41"/>
      <c r="IKY125" s="41"/>
      <c r="IKZ125" s="41"/>
      <c r="ILA125" s="41"/>
      <c r="ILB125" s="41"/>
      <c r="ILC125" s="41"/>
      <c r="ILD125" s="41"/>
      <c r="ILE125" s="41"/>
      <c r="ILF125" s="41"/>
      <c r="ILG125" s="41"/>
      <c r="ILH125" s="41"/>
      <c r="ILI125" s="41"/>
      <c r="ILJ125" s="41"/>
      <c r="ILK125" s="41"/>
      <c r="ILL125" s="41"/>
      <c r="ILM125" s="41"/>
      <c r="ILN125" s="41"/>
      <c r="ILO125" s="41"/>
      <c r="ILP125" s="41"/>
      <c r="ILQ125" s="41"/>
      <c r="ILR125" s="41"/>
      <c r="ILS125" s="41"/>
      <c r="ILT125" s="41"/>
      <c r="ILU125" s="41"/>
      <c r="ILV125" s="41"/>
      <c r="ILW125" s="41"/>
      <c r="ILX125" s="41"/>
      <c r="ILY125" s="41"/>
      <c r="ILZ125" s="41"/>
      <c r="IMA125" s="41"/>
      <c r="IMB125" s="41"/>
      <c r="IMC125" s="41"/>
      <c r="IMD125" s="41"/>
      <c r="IME125" s="41"/>
      <c r="IMF125" s="41"/>
      <c r="IMG125" s="41"/>
      <c r="IMH125" s="41"/>
      <c r="IMI125" s="41"/>
      <c r="IMJ125" s="41"/>
      <c r="IMK125" s="41"/>
      <c r="IML125" s="41"/>
      <c r="IMM125" s="41"/>
      <c r="IMN125" s="41"/>
      <c r="IMO125" s="41"/>
      <c r="IMP125" s="41"/>
      <c r="IMQ125" s="41"/>
      <c r="IMR125" s="41"/>
      <c r="IMS125" s="41"/>
      <c r="IMT125" s="41"/>
      <c r="IMU125" s="41"/>
      <c r="IMV125" s="41"/>
      <c r="IMW125" s="41"/>
      <c r="IMX125" s="41"/>
      <c r="IMY125" s="41"/>
      <c r="IMZ125" s="41"/>
      <c r="INA125" s="41"/>
      <c r="INB125" s="41"/>
      <c r="INC125" s="41"/>
      <c r="IND125" s="41"/>
      <c r="INE125" s="41"/>
      <c r="INF125" s="41"/>
      <c r="ING125" s="41"/>
      <c r="INH125" s="41"/>
      <c r="INI125" s="41"/>
      <c r="INJ125" s="41"/>
      <c r="INK125" s="41"/>
      <c r="INL125" s="41"/>
      <c r="INM125" s="41"/>
      <c r="INN125" s="41"/>
      <c r="INO125" s="41"/>
      <c r="INP125" s="41"/>
      <c r="INQ125" s="41"/>
      <c r="INR125" s="41"/>
      <c r="INS125" s="41"/>
      <c r="INT125" s="41"/>
      <c r="INU125" s="41"/>
      <c r="INV125" s="41"/>
      <c r="INW125" s="41"/>
      <c r="INX125" s="41"/>
      <c r="INY125" s="41"/>
      <c r="INZ125" s="41"/>
      <c r="IOA125" s="41"/>
      <c r="IOB125" s="41"/>
      <c r="IOC125" s="41"/>
      <c r="IOD125" s="41"/>
      <c r="IOE125" s="41"/>
      <c r="IOF125" s="41"/>
      <c r="IOG125" s="41"/>
      <c r="IOH125" s="41"/>
      <c r="IOI125" s="41"/>
      <c r="IOJ125" s="41"/>
      <c r="IOK125" s="41"/>
      <c r="IOL125" s="41"/>
      <c r="IOM125" s="41"/>
      <c r="ION125" s="41"/>
      <c r="IOO125" s="41"/>
      <c r="IOP125" s="41"/>
      <c r="IOQ125" s="41"/>
      <c r="IOR125" s="41"/>
      <c r="IOS125" s="41"/>
      <c r="IOT125" s="41"/>
      <c r="IOU125" s="41"/>
      <c r="IOV125" s="41"/>
      <c r="IOW125" s="41"/>
      <c r="IOX125" s="41"/>
      <c r="IOY125" s="41"/>
      <c r="IOZ125" s="41"/>
      <c r="IPA125" s="41"/>
      <c r="IPB125" s="41"/>
      <c r="IPC125" s="41"/>
      <c r="IPD125" s="41"/>
      <c r="IPE125" s="41"/>
      <c r="IPF125" s="41"/>
      <c r="IPG125" s="41"/>
      <c r="IPH125" s="41"/>
      <c r="IPI125" s="41"/>
      <c r="IPJ125" s="41"/>
      <c r="IPK125" s="41"/>
      <c r="IPL125" s="41"/>
      <c r="IPM125" s="41"/>
      <c r="IPN125" s="41"/>
      <c r="IPO125" s="41"/>
      <c r="IPP125" s="41"/>
      <c r="IPQ125" s="41"/>
      <c r="IPR125" s="41"/>
      <c r="IPS125" s="41"/>
      <c r="IPT125" s="41"/>
      <c r="IPU125" s="41"/>
      <c r="IPV125" s="41"/>
      <c r="IPW125" s="41"/>
      <c r="IPX125" s="41"/>
      <c r="IPY125" s="41"/>
      <c r="IPZ125" s="41"/>
      <c r="IQA125" s="41"/>
      <c r="IQB125" s="41"/>
      <c r="IQC125" s="41"/>
      <c r="IQD125" s="41"/>
      <c r="IQE125" s="41"/>
      <c r="IQF125" s="41"/>
      <c r="IQG125" s="41"/>
      <c r="IQH125" s="41"/>
      <c r="IQI125" s="41"/>
      <c r="IQJ125" s="41"/>
      <c r="IQK125" s="41"/>
      <c r="IQL125" s="41"/>
      <c r="IQM125" s="41"/>
      <c r="IQN125" s="41"/>
      <c r="IQO125" s="41"/>
      <c r="IQP125" s="41"/>
      <c r="IQQ125" s="41"/>
      <c r="IQR125" s="41"/>
      <c r="IQS125" s="41"/>
      <c r="IQT125" s="41"/>
      <c r="IQU125" s="41"/>
      <c r="IQV125" s="41"/>
      <c r="IQW125" s="41"/>
      <c r="IQX125" s="41"/>
      <c r="IQY125" s="41"/>
      <c r="IQZ125" s="41"/>
      <c r="IRA125" s="41"/>
      <c r="IRB125" s="41"/>
      <c r="IRC125" s="41"/>
      <c r="IRD125" s="41"/>
      <c r="IRE125" s="41"/>
      <c r="IRF125" s="41"/>
      <c r="IRG125" s="41"/>
      <c r="IRH125" s="41"/>
      <c r="IRI125" s="41"/>
      <c r="IRJ125" s="41"/>
      <c r="IRK125" s="41"/>
      <c r="IRL125" s="41"/>
      <c r="IRM125" s="41"/>
      <c r="IRN125" s="41"/>
      <c r="IRO125" s="41"/>
      <c r="IRP125" s="41"/>
      <c r="IRQ125" s="41"/>
      <c r="IRR125" s="41"/>
      <c r="IRS125" s="41"/>
      <c r="IRT125" s="41"/>
      <c r="IRU125" s="41"/>
      <c r="IRV125" s="41"/>
      <c r="IRW125" s="41"/>
      <c r="IRX125" s="41"/>
      <c r="IRY125" s="41"/>
      <c r="IRZ125" s="41"/>
      <c r="ISA125" s="41"/>
      <c r="ISB125" s="41"/>
      <c r="ISC125" s="41"/>
      <c r="ISD125" s="41"/>
      <c r="ISE125" s="41"/>
      <c r="ISF125" s="41"/>
      <c r="ISG125" s="41"/>
      <c r="ISH125" s="41"/>
      <c r="ISI125" s="41"/>
      <c r="ISJ125" s="41"/>
      <c r="ISK125" s="41"/>
      <c r="ISL125" s="41"/>
      <c r="ISM125" s="41"/>
      <c r="ISN125" s="41"/>
      <c r="ISO125" s="41"/>
      <c r="ISP125" s="41"/>
      <c r="ISQ125" s="41"/>
      <c r="ISR125" s="41"/>
      <c r="ISS125" s="41"/>
      <c r="IST125" s="41"/>
      <c r="ISU125" s="41"/>
      <c r="ISV125" s="41"/>
      <c r="ISW125" s="41"/>
      <c r="ISX125" s="41"/>
      <c r="ISY125" s="41"/>
      <c r="ISZ125" s="41"/>
      <c r="ITA125" s="41"/>
      <c r="ITB125" s="41"/>
      <c r="ITC125" s="41"/>
      <c r="ITD125" s="41"/>
      <c r="ITE125" s="41"/>
      <c r="ITF125" s="41"/>
      <c r="ITG125" s="41"/>
      <c r="ITH125" s="41"/>
      <c r="ITI125" s="41"/>
      <c r="ITJ125" s="41"/>
      <c r="ITK125" s="41"/>
      <c r="ITL125" s="41"/>
      <c r="ITM125" s="41"/>
      <c r="ITN125" s="41"/>
      <c r="ITO125" s="41"/>
      <c r="ITP125" s="41"/>
      <c r="ITQ125" s="41"/>
      <c r="ITR125" s="41"/>
      <c r="ITS125" s="41"/>
      <c r="ITT125" s="41"/>
      <c r="ITU125" s="41"/>
      <c r="ITV125" s="41"/>
      <c r="ITW125" s="41"/>
      <c r="ITX125" s="41"/>
      <c r="ITY125" s="41"/>
      <c r="ITZ125" s="41"/>
      <c r="IUA125" s="41"/>
      <c r="IUB125" s="41"/>
      <c r="IUC125" s="41"/>
      <c r="IUD125" s="41"/>
      <c r="IUE125" s="41"/>
      <c r="IUF125" s="41"/>
      <c r="IUG125" s="41"/>
      <c r="IUH125" s="41"/>
      <c r="IUI125" s="41"/>
      <c r="IUJ125" s="41"/>
      <c r="IUK125" s="41"/>
      <c r="IUL125" s="41"/>
      <c r="IUM125" s="41"/>
      <c r="IUN125" s="41"/>
      <c r="IUO125" s="41"/>
      <c r="IUP125" s="41"/>
      <c r="IUQ125" s="41"/>
      <c r="IUR125" s="41"/>
      <c r="IUS125" s="41"/>
      <c r="IUT125" s="41"/>
      <c r="IUU125" s="41"/>
      <c r="IUV125" s="41"/>
      <c r="IUW125" s="41"/>
      <c r="IUX125" s="41"/>
      <c r="IUY125" s="41"/>
      <c r="IUZ125" s="41"/>
      <c r="IVA125" s="41"/>
      <c r="IVB125" s="41"/>
      <c r="IVC125" s="41"/>
      <c r="IVD125" s="41"/>
      <c r="IVE125" s="41"/>
      <c r="IVF125" s="41"/>
      <c r="IVG125" s="41"/>
      <c r="IVH125" s="41"/>
      <c r="IVI125" s="41"/>
      <c r="IVJ125" s="41"/>
      <c r="IVK125" s="41"/>
      <c r="IVL125" s="41"/>
      <c r="IVM125" s="41"/>
      <c r="IVN125" s="41"/>
      <c r="IVO125" s="41"/>
      <c r="IVP125" s="41"/>
      <c r="IVQ125" s="41"/>
      <c r="IVR125" s="41"/>
      <c r="IVS125" s="41"/>
      <c r="IVT125" s="41"/>
      <c r="IVU125" s="41"/>
      <c r="IVV125" s="41"/>
      <c r="IVW125" s="41"/>
      <c r="IVX125" s="41"/>
      <c r="IVY125" s="41"/>
      <c r="IVZ125" s="41"/>
      <c r="IWA125" s="41"/>
      <c r="IWB125" s="41"/>
      <c r="IWC125" s="41"/>
      <c r="IWD125" s="41"/>
      <c r="IWE125" s="41"/>
      <c r="IWF125" s="41"/>
      <c r="IWG125" s="41"/>
      <c r="IWH125" s="41"/>
      <c r="IWI125" s="41"/>
      <c r="IWJ125" s="41"/>
      <c r="IWK125" s="41"/>
      <c r="IWL125" s="41"/>
      <c r="IWM125" s="41"/>
      <c r="IWN125" s="41"/>
      <c r="IWO125" s="41"/>
      <c r="IWP125" s="41"/>
      <c r="IWQ125" s="41"/>
      <c r="IWR125" s="41"/>
      <c r="IWS125" s="41"/>
      <c r="IWT125" s="41"/>
      <c r="IWU125" s="41"/>
      <c r="IWV125" s="41"/>
      <c r="IWW125" s="41"/>
      <c r="IWX125" s="41"/>
      <c r="IWY125" s="41"/>
      <c r="IWZ125" s="41"/>
      <c r="IXA125" s="41"/>
      <c r="IXB125" s="41"/>
      <c r="IXC125" s="41"/>
      <c r="IXD125" s="41"/>
      <c r="IXE125" s="41"/>
      <c r="IXF125" s="41"/>
      <c r="IXG125" s="41"/>
      <c r="IXH125" s="41"/>
      <c r="IXI125" s="41"/>
      <c r="IXJ125" s="41"/>
      <c r="IXK125" s="41"/>
      <c r="IXL125" s="41"/>
      <c r="IXM125" s="41"/>
      <c r="IXN125" s="41"/>
      <c r="IXO125" s="41"/>
      <c r="IXP125" s="41"/>
      <c r="IXQ125" s="41"/>
      <c r="IXR125" s="41"/>
      <c r="IXS125" s="41"/>
      <c r="IXT125" s="41"/>
      <c r="IXU125" s="41"/>
      <c r="IXV125" s="41"/>
      <c r="IXW125" s="41"/>
      <c r="IXX125" s="41"/>
      <c r="IXY125" s="41"/>
      <c r="IXZ125" s="41"/>
      <c r="IYA125" s="41"/>
      <c r="IYB125" s="41"/>
      <c r="IYC125" s="41"/>
      <c r="IYD125" s="41"/>
      <c r="IYE125" s="41"/>
      <c r="IYF125" s="41"/>
      <c r="IYG125" s="41"/>
      <c r="IYH125" s="41"/>
      <c r="IYI125" s="41"/>
      <c r="IYJ125" s="41"/>
      <c r="IYK125" s="41"/>
      <c r="IYL125" s="41"/>
      <c r="IYM125" s="41"/>
      <c r="IYN125" s="41"/>
      <c r="IYO125" s="41"/>
      <c r="IYP125" s="41"/>
      <c r="IYQ125" s="41"/>
      <c r="IYR125" s="41"/>
      <c r="IYS125" s="41"/>
      <c r="IYT125" s="41"/>
      <c r="IYU125" s="41"/>
      <c r="IYV125" s="41"/>
      <c r="IYW125" s="41"/>
      <c r="IYX125" s="41"/>
      <c r="IYY125" s="41"/>
      <c r="IYZ125" s="41"/>
      <c r="IZA125" s="41"/>
      <c r="IZB125" s="41"/>
      <c r="IZC125" s="41"/>
      <c r="IZD125" s="41"/>
      <c r="IZE125" s="41"/>
      <c r="IZF125" s="41"/>
      <c r="IZG125" s="41"/>
      <c r="IZH125" s="41"/>
      <c r="IZI125" s="41"/>
      <c r="IZJ125" s="41"/>
      <c r="IZK125" s="41"/>
      <c r="IZL125" s="41"/>
      <c r="IZM125" s="41"/>
      <c r="IZN125" s="41"/>
      <c r="IZO125" s="41"/>
      <c r="IZP125" s="41"/>
      <c r="IZQ125" s="41"/>
      <c r="IZR125" s="41"/>
      <c r="IZS125" s="41"/>
      <c r="IZT125" s="41"/>
      <c r="IZU125" s="41"/>
      <c r="IZV125" s="41"/>
      <c r="IZW125" s="41"/>
      <c r="IZX125" s="41"/>
      <c r="IZY125" s="41"/>
      <c r="IZZ125" s="41"/>
      <c r="JAA125" s="41"/>
      <c r="JAB125" s="41"/>
      <c r="JAC125" s="41"/>
      <c r="JAD125" s="41"/>
      <c r="JAE125" s="41"/>
      <c r="JAF125" s="41"/>
      <c r="JAG125" s="41"/>
      <c r="JAH125" s="41"/>
      <c r="JAI125" s="41"/>
      <c r="JAJ125" s="41"/>
      <c r="JAK125" s="41"/>
      <c r="JAL125" s="41"/>
      <c r="JAM125" s="41"/>
      <c r="JAN125" s="41"/>
      <c r="JAO125" s="41"/>
      <c r="JAP125" s="41"/>
      <c r="JAQ125" s="41"/>
      <c r="JAR125" s="41"/>
      <c r="JAS125" s="41"/>
      <c r="JAT125" s="41"/>
      <c r="JAU125" s="41"/>
      <c r="JAV125" s="41"/>
      <c r="JAW125" s="41"/>
      <c r="JAX125" s="41"/>
      <c r="JAY125" s="41"/>
      <c r="JAZ125" s="41"/>
      <c r="JBA125" s="41"/>
      <c r="JBB125" s="41"/>
      <c r="JBC125" s="41"/>
      <c r="JBD125" s="41"/>
      <c r="JBE125" s="41"/>
      <c r="JBF125" s="41"/>
      <c r="JBG125" s="41"/>
      <c r="JBH125" s="41"/>
      <c r="JBI125" s="41"/>
      <c r="JBJ125" s="41"/>
      <c r="JBK125" s="41"/>
      <c r="JBL125" s="41"/>
      <c r="JBM125" s="41"/>
      <c r="JBN125" s="41"/>
      <c r="JBO125" s="41"/>
      <c r="JBP125" s="41"/>
      <c r="JBQ125" s="41"/>
      <c r="JBR125" s="41"/>
      <c r="JBS125" s="41"/>
      <c r="JBT125" s="41"/>
      <c r="JBU125" s="41"/>
      <c r="JBV125" s="41"/>
      <c r="JBW125" s="41"/>
      <c r="JBX125" s="41"/>
      <c r="JBY125" s="41"/>
      <c r="JBZ125" s="41"/>
      <c r="JCA125" s="41"/>
      <c r="JCB125" s="41"/>
      <c r="JCC125" s="41"/>
      <c r="JCD125" s="41"/>
      <c r="JCE125" s="41"/>
      <c r="JCF125" s="41"/>
      <c r="JCG125" s="41"/>
      <c r="JCH125" s="41"/>
      <c r="JCI125" s="41"/>
      <c r="JCJ125" s="41"/>
      <c r="JCK125" s="41"/>
      <c r="JCL125" s="41"/>
      <c r="JCM125" s="41"/>
      <c r="JCN125" s="41"/>
      <c r="JCO125" s="41"/>
      <c r="JCP125" s="41"/>
      <c r="JCQ125" s="41"/>
      <c r="JCR125" s="41"/>
      <c r="JCS125" s="41"/>
      <c r="JCT125" s="41"/>
      <c r="JCU125" s="41"/>
      <c r="JCV125" s="41"/>
      <c r="JCW125" s="41"/>
      <c r="JCX125" s="41"/>
      <c r="JCY125" s="41"/>
      <c r="JCZ125" s="41"/>
      <c r="JDA125" s="41"/>
      <c r="JDB125" s="41"/>
      <c r="JDC125" s="41"/>
      <c r="JDD125" s="41"/>
      <c r="JDE125" s="41"/>
      <c r="JDF125" s="41"/>
      <c r="JDG125" s="41"/>
      <c r="JDH125" s="41"/>
      <c r="JDI125" s="41"/>
      <c r="JDJ125" s="41"/>
      <c r="JDK125" s="41"/>
      <c r="JDL125" s="41"/>
      <c r="JDM125" s="41"/>
      <c r="JDN125" s="41"/>
      <c r="JDO125" s="41"/>
      <c r="JDP125" s="41"/>
      <c r="JDQ125" s="41"/>
      <c r="JDR125" s="41"/>
      <c r="JDS125" s="41"/>
      <c r="JDT125" s="41"/>
      <c r="JDU125" s="41"/>
      <c r="JDV125" s="41"/>
      <c r="JDW125" s="41"/>
      <c r="JDX125" s="41"/>
      <c r="JDY125" s="41"/>
      <c r="JDZ125" s="41"/>
      <c r="JEA125" s="41"/>
      <c r="JEB125" s="41"/>
      <c r="JEC125" s="41"/>
      <c r="JED125" s="41"/>
      <c r="JEE125" s="41"/>
      <c r="JEF125" s="41"/>
      <c r="JEG125" s="41"/>
      <c r="JEH125" s="41"/>
      <c r="JEI125" s="41"/>
      <c r="JEJ125" s="41"/>
      <c r="JEK125" s="41"/>
      <c r="JEL125" s="41"/>
      <c r="JEM125" s="41"/>
      <c r="JEN125" s="41"/>
      <c r="JEO125" s="41"/>
      <c r="JEP125" s="41"/>
      <c r="JEQ125" s="41"/>
      <c r="JER125" s="41"/>
      <c r="JES125" s="41"/>
      <c r="JET125" s="41"/>
      <c r="JEU125" s="41"/>
      <c r="JEV125" s="41"/>
      <c r="JEW125" s="41"/>
      <c r="JEX125" s="41"/>
      <c r="JEY125" s="41"/>
      <c r="JEZ125" s="41"/>
      <c r="JFA125" s="41"/>
      <c r="JFB125" s="41"/>
      <c r="JFC125" s="41"/>
      <c r="JFD125" s="41"/>
      <c r="JFE125" s="41"/>
      <c r="JFF125" s="41"/>
      <c r="JFG125" s="41"/>
      <c r="JFH125" s="41"/>
      <c r="JFI125" s="41"/>
      <c r="JFJ125" s="41"/>
      <c r="JFK125" s="41"/>
      <c r="JFL125" s="41"/>
      <c r="JFM125" s="41"/>
      <c r="JFN125" s="41"/>
      <c r="JFO125" s="41"/>
      <c r="JFP125" s="41"/>
      <c r="JFQ125" s="41"/>
      <c r="JFR125" s="41"/>
      <c r="JFS125" s="41"/>
      <c r="JFT125" s="41"/>
      <c r="JFU125" s="41"/>
      <c r="JFV125" s="41"/>
      <c r="JFW125" s="41"/>
      <c r="JFX125" s="41"/>
      <c r="JFY125" s="41"/>
      <c r="JFZ125" s="41"/>
      <c r="JGA125" s="41"/>
      <c r="JGB125" s="41"/>
      <c r="JGC125" s="41"/>
      <c r="JGD125" s="41"/>
      <c r="JGE125" s="41"/>
      <c r="JGF125" s="41"/>
      <c r="JGG125" s="41"/>
      <c r="JGH125" s="41"/>
      <c r="JGI125" s="41"/>
      <c r="JGJ125" s="41"/>
      <c r="JGK125" s="41"/>
      <c r="JGL125" s="41"/>
      <c r="JGM125" s="41"/>
      <c r="JGN125" s="41"/>
      <c r="JGO125" s="41"/>
      <c r="JGP125" s="41"/>
      <c r="JGQ125" s="41"/>
      <c r="JGR125" s="41"/>
      <c r="JGS125" s="41"/>
      <c r="JGT125" s="41"/>
      <c r="JGU125" s="41"/>
      <c r="JGV125" s="41"/>
      <c r="JGW125" s="41"/>
      <c r="JGX125" s="41"/>
      <c r="JGY125" s="41"/>
      <c r="JGZ125" s="41"/>
      <c r="JHA125" s="41"/>
      <c r="JHB125" s="41"/>
      <c r="JHC125" s="41"/>
      <c r="JHD125" s="41"/>
      <c r="JHE125" s="41"/>
      <c r="JHF125" s="41"/>
      <c r="JHG125" s="41"/>
      <c r="JHH125" s="41"/>
      <c r="JHI125" s="41"/>
      <c r="JHJ125" s="41"/>
      <c r="JHK125" s="41"/>
      <c r="JHL125" s="41"/>
      <c r="JHM125" s="41"/>
      <c r="JHN125" s="41"/>
      <c r="JHO125" s="41"/>
      <c r="JHP125" s="41"/>
      <c r="JHQ125" s="41"/>
      <c r="JHR125" s="41"/>
      <c r="JHS125" s="41"/>
      <c r="JHT125" s="41"/>
      <c r="JHU125" s="41"/>
      <c r="JHV125" s="41"/>
      <c r="JHW125" s="41"/>
      <c r="JHX125" s="41"/>
      <c r="JHY125" s="41"/>
      <c r="JHZ125" s="41"/>
      <c r="JIA125" s="41"/>
      <c r="JIB125" s="41"/>
      <c r="JIC125" s="41"/>
      <c r="JID125" s="41"/>
      <c r="JIE125" s="41"/>
      <c r="JIF125" s="41"/>
      <c r="JIG125" s="41"/>
      <c r="JIH125" s="41"/>
      <c r="JII125" s="41"/>
      <c r="JIJ125" s="41"/>
      <c r="JIK125" s="41"/>
      <c r="JIL125" s="41"/>
      <c r="JIM125" s="41"/>
      <c r="JIN125" s="41"/>
      <c r="JIO125" s="41"/>
      <c r="JIP125" s="41"/>
      <c r="JIQ125" s="41"/>
      <c r="JIR125" s="41"/>
      <c r="JIS125" s="41"/>
      <c r="JIT125" s="41"/>
      <c r="JIU125" s="41"/>
      <c r="JIV125" s="41"/>
      <c r="JIW125" s="41"/>
      <c r="JIX125" s="41"/>
      <c r="JIY125" s="41"/>
      <c r="JIZ125" s="41"/>
      <c r="JJA125" s="41"/>
      <c r="JJB125" s="41"/>
      <c r="JJC125" s="41"/>
      <c r="JJD125" s="41"/>
      <c r="JJE125" s="41"/>
      <c r="JJF125" s="41"/>
      <c r="JJG125" s="41"/>
      <c r="JJH125" s="41"/>
      <c r="JJI125" s="41"/>
      <c r="JJJ125" s="41"/>
      <c r="JJK125" s="41"/>
      <c r="JJL125" s="41"/>
      <c r="JJM125" s="41"/>
      <c r="JJN125" s="41"/>
      <c r="JJO125" s="41"/>
      <c r="JJP125" s="41"/>
      <c r="JJQ125" s="41"/>
      <c r="JJR125" s="41"/>
      <c r="JJS125" s="41"/>
      <c r="JJT125" s="41"/>
      <c r="JJU125" s="41"/>
      <c r="JJV125" s="41"/>
      <c r="JJW125" s="41"/>
      <c r="JJX125" s="41"/>
      <c r="JJY125" s="41"/>
      <c r="JJZ125" s="41"/>
      <c r="JKA125" s="41"/>
      <c r="JKB125" s="41"/>
      <c r="JKC125" s="41"/>
      <c r="JKD125" s="41"/>
      <c r="JKE125" s="41"/>
      <c r="JKF125" s="41"/>
      <c r="JKG125" s="41"/>
      <c r="JKH125" s="41"/>
      <c r="JKI125" s="41"/>
      <c r="JKJ125" s="41"/>
      <c r="JKK125" s="41"/>
      <c r="JKL125" s="41"/>
      <c r="JKM125" s="41"/>
      <c r="JKN125" s="41"/>
      <c r="JKO125" s="41"/>
      <c r="JKP125" s="41"/>
      <c r="JKQ125" s="41"/>
      <c r="JKR125" s="41"/>
      <c r="JKS125" s="41"/>
      <c r="JKT125" s="41"/>
      <c r="JKU125" s="41"/>
      <c r="JKV125" s="41"/>
      <c r="JKW125" s="41"/>
      <c r="JKX125" s="41"/>
      <c r="JKY125" s="41"/>
      <c r="JKZ125" s="41"/>
      <c r="JLA125" s="41"/>
      <c r="JLB125" s="41"/>
      <c r="JLC125" s="41"/>
      <c r="JLD125" s="41"/>
      <c r="JLE125" s="41"/>
      <c r="JLF125" s="41"/>
      <c r="JLG125" s="41"/>
      <c r="JLH125" s="41"/>
      <c r="JLI125" s="41"/>
      <c r="JLJ125" s="41"/>
      <c r="JLK125" s="41"/>
      <c r="JLL125" s="41"/>
      <c r="JLM125" s="41"/>
      <c r="JLN125" s="41"/>
      <c r="JLO125" s="41"/>
      <c r="JLP125" s="41"/>
      <c r="JLQ125" s="41"/>
      <c r="JLR125" s="41"/>
      <c r="JLS125" s="41"/>
      <c r="JLT125" s="41"/>
      <c r="JLU125" s="41"/>
      <c r="JLV125" s="41"/>
      <c r="JLW125" s="41"/>
      <c r="JLX125" s="41"/>
      <c r="JLY125" s="41"/>
      <c r="JLZ125" s="41"/>
      <c r="JMA125" s="41"/>
      <c r="JMB125" s="41"/>
      <c r="JMC125" s="41"/>
      <c r="JMD125" s="41"/>
      <c r="JME125" s="41"/>
      <c r="JMF125" s="41"/>
      <c r="JMG125" s="41"/>
      <c r="JMH125" s="41"/>
      <c r="JMI125" s="41"/>
      <c r="JMJ125" s="41"/>
      <c r="JMK125" s="41"/>
      <c r="JML125" s="41"/>
      <c r="JMM125" s="41"/>
      <c r="JMN125" s="41"/>
      <c r="JMO125" s="41"/>
      <c r="JMP125" s="41"/>
      <c r="JMQ125" s="41"/>
      <c r="JMR125" s="41"/>
      <c r="JMS125" s="41"/>
      <c r="JMT125" s="41"/>
      <c r="JMU125" s="41"/>
      <c r="JMV125" s="41"/>
      <c r="JMW125" s="41"/>
      <c r="JMX125" s="41"/>
      <c r="JMY125" s="41"/>
      <c r="JMZ125" s="41"/>
      <c r="JNA125" s="41"/>
      <c r="JNB125" s="41"/>
      <c r="JNC125" s="41"/>
      <c r="JND125" s="41"/>
      <c r="JNE125" s="41"/>
      <c r="JNF125" s="41"/>
      <c r="JNG125" s="41"/>
      <c r="JNH125" s="41"/>
      <c r="JNI125" s="41"/>
      <c r="JNJ125" s="41"/>
      <c r="JNK125" s="41"/>
      <c r="JNL125" s="41"/>
      <c r="JNM125" s="41"/>
      <c r="JNN125" s="41"/>
      <c r="JNO125" s="41"/>
      <c r="JNP125" s="41"/>
      <c r="JNQ125" s="41"/>
      <c r="JNR125" s="41"/>
      <c r="JNS125" s="41"/>
      <c r="JNT125" s="41"/>
      <c r="JNU125" s="41"/>
      <c r="JNV125" s="41"/>
      <c r="JNW125" s="41"/>
      <c r="JNX125" s="41"/>
      <c r="JNY125" s="41"/>
      <c r="JNZ125" s="41"/>
      <c r="JOA125" s="41"/>
      <c r="JOB125" s="41"/>
      <c r="JOC125" s="41"/>
      <c r="JOD125" s="41"/>
      <c r="JOE125" s="41"/>
      <c r="JOF125" s="41"/>
      <c r="JOG125" s="41"/>
      <c r="JOH125" s="41"/>
      <c r="JOI125" s="41"/>
      <c r="JOJ125" s="41"/>
      <c r="JOK125" s="41"/>
      <c r="JOL125" s="41"/>
      <c r="JOM125" s="41"/>
      <c r="JON125" s="41"/>
      <c r="JOO125" s="41"/>
      <c r="JOP125" s="41"/>
      <c r="JOQ125" s="41"/>
      <c r="JOR125" s="41"/>
      <c r="JOS125" s="41"/>
      <c r="JOT125" s="41"/>
      <c r="JOU125" s="41"/>
      <c r="JOV125" s="41"/>
      <c r="JOW125" s="41"/>
      <c r="JOX125" s="41"/>
      <c r="JOY125" s="41"/>
      <c r="JOZ125" s="41"/>
      <c r="JPA125" s="41"/>
      <c r="JPB125" s="41"/>
      <c r="JPC125" s="41"/>
      <c r="JPD125" s="41"/>
      <c r="JPE125" s="41"/>
      <c r="JPF125" s="41"/>
      <c r="JPG125" s="41"/>
      <c r="JPH125" s="41"/>
      <c r="JPI125" s="41"/>
      <c r="JPJ125" s="41"/>
      <c r="JPK125" s="41"/>
      <c r="JPL125" s="41"/>
      <c r="JPM125" s="41"/>
      <c r="JPN125" s="41"/>
      <c r="JPO125" s="41"/>
      <c r="JPP125" s="41"/>
      <c r="JPQ125" s="41"/>
      <c r="JPR125" s="41"/>
      <c r="JPS125" s="41"/>
      <c r="JPT125" s="41"/>
      <c r="JPU125" s="41"/>
      <c r="JPV125" s="41"/>
      <c r="JPW125" s="41"/>
      <c r="JPX125" s="41"/>
      <c r="JPY125" s="41"/>
      <c r="JPZ125" s="41"/>
      <c r="JQA125" s="41"/>
      <c r="JQB125" s="41"/>
      <c r="JQC125" s="41"/>
      <c r="JQD125" s="41"/>
      <c r="JQE125" s="41"/>
      <c r="JQF125" s="41"/>
      <c r="JQG125" s="41"/>
      <c r="JQH125" s="41"/>
      <c r="JQI125" s="41"/>
      <c r="JQJ125" s="41"/>
      <c r="JQK125" s="41"/>
      <c r="JQL125" s="41"/>
      <c r="JQM125" s="41"/>
      <c r="JQN125" s="41"/>
      <c r="JQO125" s="41"/>
      <c r="JQP125" s="41"/>
      <c r="JQQ125" s="41"/>
      <c r="JQR125" s="41"/>
      <c r="JQS125" s="41"/>
      <c r="JQT125" s="41"/>
      <c r="JQU125" s="41"/>
      <c r="JQV125" s="41"/>
      <c r="JQW125" s="41"/>
      <c r="JQX125" s="41"/>
      <c r="JQY125" s="41"/>
      <c r="JQZ125" s="41"/>
      <c r="JRA125" s="41"/>
      <c r="JRB125" s="41"/>
      <c r="JRC125" s="41"/>
      <c r="JRD125" s="41"/>
      <c r="JRE125" s="41"/>
      <c r="JRF125" s="41"/>
      <c r="JRG125" s="41"/>
      <c r="JRH125" s="41"/>
      <c r="JRI125" s="41"/>
      <c r="JRJ125" s="41"/>
      <c r="JRK125" s="41"/>
      <c r="JRL125" s="41"/>
      <c r="JRM125" s="41"/>
      <c r="JRN125" s="41"/>
      <c r="JRO125" s="41"/>
      <c r="JRP125" s="41"/>
      <c r="JRQ125" s="41"/>
      <c r="JRR125" s="41"/>
      <c r="JRS125" s="41"/>
      <c r="JRT125" s="41"/>
      <c r="JRU125" s="41"/>
      <c r="JRV125" s="41"/>
      <c r="JRW125" s="41"/>
      <c r="JRX125" s="41"/>
      <c r="JRY125" s="41"/>
      <c r="JRZ125" s="41"/>
      <c r="JSA125" s="41"/>
      <c r="JSB125" s="41"/>
      <c r="JSC125" s="41"/>
      <c r="JSD125" s="41"/>
      <c r="JSE125" s="41"/>
      <c r="JSF125" s="41"/>
      <c r="JSG125" s="41"/>
      <c r="JSH125" s="41"/>
      <c r="JSI125" s="41"/>
      <c r="JSJ125" s="41"/>
      <c r="JSK125" s="41"/>
      <c r="JSL125" s="41"/>
      <c r="JSM125" s="41"/>
      <c r="JSN125" s="41"/>
      <c r="JSO125" s="41"/>
      <c r="JSP125" s="41"/>
      <c r="JSQ125" s="41"/>
      <c r="JSR125" s="41"/>
      <c r="JSS125" s="41"/>
      <c r="JST125" s="41"/>
      <c r="JSU125" s="41"/>
      <c r="JSV125" s="41"/>
      <c r="JSW125" s="41"/>
      <c r="JSX125" s="41"/>
      <c r="JSY125" s="41"/>
      <c r="JSZ125" s="41"/>
      <c r="JTA125" s="41"/>
      <c r="JTB125" s="41"/>
      <c r="JTC125" s="41"/>
      <c r="JTD125" s="41"/>
      <c r="JTE125" s="41"/>
      <c r="JTF125" s="41"/>
      <c r="JTG125" s="41"/>
      <c r="JTH125" s="41"/>
      <c r="JTI125" s="41"/>
      <c r="JTJ125" s="41"/>
      <c r="JTK125" s="41"/>
      <c r="JTL125" s="41"/>
      <c r="JTM125" s="41"/>
      <c r="JTN125" s="41"/>
      <c r="JTO125" s="41"/>
      <c r="JTP125" s="41"/>
      <c r="JTQ125" s="41"/>
      <c r="JTR125" s="41"/>
      <c r="JTS125" s="41"/>
      <c r="JTT125" s="41"/>
      <c r="JTU125" s="41"/>
      <c r="JTV125" s="41"/>
      <c r="JTW125" s="41"/>
      <c r="JTX125" s="41"/>
      <c r="JTY125" s="41"/>
      <c r="JTZ125" s="41"/>
      <c r="JUA125" s="41"/>
      <c r="JUB125" s="41"/>
      <c r="JUC125" s="41"/>
      <c r="JUD125" s="41"/>
      <c r="JUE125" s="41"/>
      <c r="JUF125" s="41"/>
      <c r="JUG125" s="41"/>
      <c r="JUH125" s="41"/>
      <c r="JUI125" s="41"/>
      <c r="JUJ125" s="41"/>
      <c r="JUK125" s="41"/>
      <c r="JUL125" s="41"/>
      <c r="JUM125" s="41"/>
      <c r="JUN125" s="41"/>
      <c r="JUO125" s="41"/>
      <c r="JUP125" s="41"/>
      <c r="JUQ125" s="41"/>
      <c r="JUR125" s="41"/>
      <c r="JUS125" s="41"/>
      <c r="JUT125" s="41"/>
      <c r="JUU125" s="41"/>
      <c r="JUV125" s="41"/>
      <c r="JUW125" s="41"/>
      <c r="JUX125" s="41"/>
      <c r="JUY125" s="41"/>
      <c r="JUZ125" s="41"/>
      <c r="JVA125" s="41"/>
      <c r="JVB125" s="41"/>
      <c r="JVC125" s="41"/>
      <c r="JVD125" s="41"/>
      <c r="JVE125" s="41"/>
      <c r="JVF125" s="41"/>
      <c r="JVG125" s="41"/>
      <c r="JVH125" s="41"/>
      <c r="JVI125" s="41"/>
      <c r="JVJ125" s="41"/>
      <c r="JVK125" s="41"/>
      <c r="JVL125" s="41"/>
      <c r="JVM125" s="41"/>
      <c r="JVN125" s="41"/>
      <c r="JVO125" s="41"/>
      <c r="JVP125" s="41"/>
      <c r="JVQ125" s="41"/>
      <c r="JVR125" s="41"/>
      <c r="JVS125" s="41"/>
      <c r="JVT125" s="41"/>
      <c r="JVU125" s="41"/>
      <c r="JVV125" s="41"/>
      <c r="JVW125" s="41"/>
      <c r="JVX125" s="41"/>
      <c r="JVY125" s="41"/>
      <c r="JVZ125" s="41"/>
      <c r="JWA125" s="41"/>
      <c r="JWB125" s="41"/>
      <c r="JWC125" s="41"/>
      <c r="JWD125" s="41"/>
      <c r="JWE125" s="41"/>
      <c r="JWF125" s="41"/>
      <c r="JWG125" s="41"/>
      <c r="JWH125" s="41"/>
      <c r="JWI125" s="41"/>
      <c r="JWJ125" s="41"/>
      <c r="JWK125" s="41"/>
      <c r="JWL125" s="41"/>
      <c r="JWM125" s="41"/>
      <c r="JWN125" s="41"/>
      <c r="JWO125" s="41"/>
      <c r="JWP125" s="41"/>
      <c r="JWQ125" s="41"/>
      <c r="JWR125" s="41"/>
      <c r="JWS125" s="41"/>
      <c r="JWT125" s="41"/>
      <c r="JWU125" s="41"/>
      <c r="JWV125" s="41"/>
      <c r="JWW125" s="41"/>
      <c r="JWX125" s="41"/>
      <c r="JWY125" s="41"/>
      <c r="JWZ125" s="41"/>
      <c r="JXA125" s="41"/>
      <c r="JXB125" s="41"/>
      <c r="JXC125" s="41"/>
      <c r="JXD125" s="41"/>
      <c r="JXE125" s="41"/>
      <c r="JXF125" s="41"/>
      <c r="JXG125" s="41"/>
      <c r="JXH125" s="41"/>
      <c r="JXI125" s="41"/>
      <c r="JXJ125" s="41"/>
      <c r="JXK125" s="41"/>
      <c r="JXL125" s="41"/>
      <c r="JXM125" s="41"/>
      <c r="JXN125" s="41"/>
      <c r="JXO125" s="41"/>
      <c r="JXP125" s="41"/>
      <c r="JXQ125" s="41"/>
      <c r="JXR125" s="41"/>
      <c r="JXS125" s="41"/>
      <c r="JXT125" s="41"/>
      <c r="JXU125" s="41"/>
      <c r="JXV125" s="41"/>
      <c r="JXW125" s="41"/>
      <c r="JXX125" s="41"/>
      <c r="JXY125" s="41"/>
      <c r="JXZ125" s="41"/>
      <c r="JYA125" s="41"/>
      <c r="JYB125" s="41"/>
      <c r="JYC125" s="41"/>
      <c r="JYD125" s="41"/>
      <c r="JYE125" s="41"/>
      <c r="JYF125" s="41"/>
      <c r="JYG125" s="41"/>
      <c r="JYH125" s="41"/>
      <c r="JYI125" s="41"/>
      <c r="JYJ125" s="41"/>
      <c r="JYK125" s="41"/>
      <c r="JYL125" s="41"/>
      <c r="JYM125" s="41"/>
      <c r="JYN125" s="41"/>
      <c r="JYO125" s="41"/>
      <c r="JYP125" s="41"/>
      <c r="JYQ125" s="41"/>
      <c r="JYR125" s="41"/>
      <c r="JYS125" s="41"/>
      <c r="JYT125" s="41"/>
      <c r="JYU125" s="41"/>
      <c r="JYV125" s="41"/>
      <c r="JYW125" s="41"/>
      <c r="JYX125" s="41"/>
      <c r="JYY125" s="41"/>
      <c r="JYZ125" s="41"/>
      <c r="JZA125" s="41"/>
      <c r="JZB125" s="41"/>
      <c r="JZC125" s="41"/>
      <c r="JZD125" s="41"/>
      <c r="JZE125" s="41"/>
      <c r="JZF125" s="41"/>
      <c r="JZG125" s="41"/>
      <c r="JZH125" s="41"/>
      <c r="JZI125" s="41"/>
      <c r="JZJ125" s="41"/>
      <c r="JZK125" s="41"/>
      <c r="JZL125" s="41"/>
      <c r="JZM125" s="41"/>
      <c r="JZN125" s="41"/>
      <c r="JZO125" s="41"/>
      <c r="JZP125" s="41"/>
      <c r="JZQ125" s="41"/>
      <c r="JZR125" s="41"/>
      <c r="JZS125" s="41"/>
      <c r="JZT125" s="41"/>
      <c r="JZU125" s="41"/>
      <c r="JZV125" s="41"/>
      <c r="JZW125" s="41"/>
      <c r="JZX125" s="41"/>
      <c r="JZY125" s="41"/>
      <c r="JZZ125" s="41"/>
      <c r="KAA125" s="41"/>
      <c r="KAB125" s="41"/>
      <c r="KAC125" s="41"/>
      <c r="KAD125" s="41"/>
      <c r="KAE125" s="41"/>
      <c r="KAF125" s="41"/>
      <c r="KAG125" s="41"/>
      <c r="KAH125" s="41"/>
      <c r="KAI125" s="41"/>
      <c r="KAJ125" s="41"/>
      <c r="KAK125" s="41"/>
      <c r="KAL125" s="41"/>
      <c r="KAM125" s="41"/>
      <c r="KAN125" s="41"/>
      <c r="KAO125" s="41"/>
      <c r="KAP125" s="41"/>
      <c r="KAQ125" s="41"/>
      <c r="KAR125" s="41"/>
      <c r="KAS125" s="41"/>
      <c r="KAT125" s="41"/>
      <c r="KAU125" s="41"/>
      <c r="KAV125" s="41"/>
      <c r="KAW125" s="41"/>
      <c r="KAX125" s="41"/>
      <c r="KAY125" s="41"/>
      <c r="KAZ125" s="41"/>
      <c r="KBA125" s="41"/>
      <c r="KBB125" s="41"/>
      <c r="KBC125" s="41"/>
      <c r="KBD125" s="41"/>
      <c r="KBE125" s="41"/>
      <c r="KBF125" s="41"/>
      <c r="KBG125" s="41"/>
      <c r="KBH125" s="41"/>
      <c r="KBI125" s="41"/>
      <c r="KBJ125" s="41"/>
      <c r="KBK125" s="41"/>
      <c r="KBL125" s="41"/>
      <c r="KBM125" s="41"/>
      <c r="KBN125" s="41"/>
      <c r="KBO125" s="41"/>
      <c r="KBP125" s="41"/>
      <c r="KBQ125" s="41"/>
      <c r="KBR125" s="41"/>
      <c r="KBS125" s="41"/>
      <c r="KBT125" s="41"/>
      <c r="KBU125" s="41"/>
      <c r="KBV125" s="41"/>
      <c r="KBW125" s="41"/>
      <c r="KBX125" s="41"/>
      <c r="KBY125" s="41"/>
      <c r="KBZ125" s="41"/>
      <c r="KCA125" s="41"/>
      <c r="KCB125" s="41"/>
      <c r="KCC125" s="41"/>
      <c r="KCD125" s="41"/>
      <c r="KCE125" s="41"/>
      <c r="KCF125" s="41"/>
      <c r="KCG125" s="41"/>
      <c r="KCH125" s="41"/>
      <c r="KCI125" s="41"/>
      <c r="KCJ125" s="41"/>
      <c r="KCK125" s="41"/>
      <c r="KCL125" s="41"/>
      <c r="KCM125" s="41"/>
      <c r="KCN125" s="41"/>
      <c r="KCO125" s="41"/>
      <c r="KCP125" s="41"/>
      <c r="KCQ125" s="41"/>
      <c r="KCR125" s="41"/>
      <c r="KCS125" s="41"/>
      <c r="KCT125" s="41"/>
      <c r="KCU125" s="41"/>
      <c r="KCV125" s="41"/>
      <c r="KCW125" s="41"/>
      <c r="KCX125" s="41"/>
      <c r="KCY125" s="41"/>
      <c r="KCZ125" s="41"/>
      <c r="KDA125" s="41"/>
      <c r="KDB125" s="41"/>
      <c r="KDC125" s="41"/>
      <c r="KDD125" s="41"/>
      <c r="KDE125" s="41"/>
      <c r="KDF125" s="41"/>
      <c r="KDG125" s="41"/>
      <c r="KDH125" s="41"/>
      <c r="KDI125" s="41"/>
      <c r="KDJ125" s="41"/>
      <c r="KDK125" s="41"/>
      <c r="KDL125" s="41"/>
      <c r="KDM125" s="41"/>
      <c r="KDN125" s="41"/>
      <c r="KDO125" s="41"/>
      <c r="KDP125" s="41"/>
      <c r="KDQ125" s="41"/>
      <c r="KDR125" s="41"/>
      <c r="KDS125" s="41"/>
      <c r="KDT125" s="41"/>
      <c r="KDU125" s="41"/>
      <c r="KDV125" s="41"/>
      <c r="KDW125" s="41"/>
      <c r="KDX125" s="41"/>
      <c r="KDY125" s="41"/>
      <c r="KDZ125" s="41"/>
      <c r="KEA125" s="41"/>
      <c r="KEB125" s="41"/>
      <c r="KEC125" s="41"/>
      <c r="KED125" s="41"/>
      <c r="KEE125" s="41"/>
      <c r="KEF125" s="41"/>
      <c r="KEG125" s="41"/>
      <c r="KEH125" s="41"/>
      <c r="KEI125" s="41"/>
      <c r="KEJ125" s="41"/>
      <c r="KEK125" s="41"/>
      <c r="KEL125" s="41"/>
      <c r="KEM125" s="41"/>
      <c r="KEN125" s="41"/>
      <c r="KEO125" s="41"/>
      <c r="KEP125" s="41"/>
      <c r="KEQ125" s="41"/>
      <c r="KER125" s="41"/>
      <c r="KES125" s="41"/>
      <c r="KET125" s="41"/>
      <c r="KEU125" s="41"/>
      <c r="KEV125" s="41"/>
      <c r="KEW125" s="41"/>
      <c r="KEX125" s="41"/>
      <c r="KEY125" s="41"/>
      <c r="KEZ125" s="41"/>
      <c r="KFA125" s="41"/>
      <c r="KFB125" s="41"/>
      <c r="KFC125" s="41"/>
      <c r="KFD125" s="41"/>
      <c r="KFE125" s="41"/>
      <c r="KFF125" s="41"/>
      <c r="KFG125" s="41"/>
      <c r="KFH125" s="41"/>
      <c r="KFI125" s="41"/>
      <c r="KFJ125" s="41"/>
      <c r="KFK125" s="41"/>
      <c r="KFL125" s="41"/>
      <c r="KFM125" s="41"/>
      <c r="KFN125" s="41"/>
      <c r="KFO125" s="41"/>
      <c r="KFP125" s="41"/>
      <c r="KFQ125" s="41"/>
      <c r="KFR125" s="41"/>
      <c r="KFS125" s="41"/>
      <c r="KFT125" s="41"/>
      <c r="KFU125" s="41"/>
      <c r="KFV125" s="41"/>
      <c r="KFW125" s="41"/>
      <c r="KFX125" s="41"/>
      <c r="KFY125" s="41"/>
      <c r="KFZ125" s="41"/>
      <c r="KGA125" s="41"/>
      <c r="KGB125" s="41"/>
      <c r="KGC125" s="41"/>
      <c r="KGD125" s="41"/>
      <c r="KGE125" s="41"/>
      <c r="KGF125" s="41"/>
      <c r="KGG125" s="41"/>
      <c r="KGH125" s="41"/>
      <c r="KGI125" s="41"/>
      <c r="KGJ125" s="41"/>
      <c r="KGK125" s="41"/>
      <c r="KGL125" s="41"/>
      <c r="KGM125" s="41"/>
      <c r="KGN125" s="41"/>
      <c r="KGO125" s="41"/>
      <c r="KGP125" s="41"/>
      <c r="KGQ125" s="41"/>
      <c r="KGR125" s="41"/>
      <c r="KGS125" s="41"/>
      <c r="KGT125" s="41"/>
      <c r="KGU125" s="41"/>
      <c r="KGV125" s="41"/>
      <c r="KGW125" s="41"/>
      <c r="KGX125" s="41"/>
      <c r="KGY125" s="41"/>
      <c r="KGZ125" s="41"/>
      <c r="KHA125" s="41"/>
      <c r="KHB125" s="41"/>
      <c r="KHC125" s="41"/>
      <c r="KHD125" s="41"/>
      <c r="KHE125" s="41"/>
      <c r="KHF125" s="41"/>
      <c r="KHG125" s="41"/>
      <c r="KHH125" s="41"/>
      <c r="KHI125" s="41"/>
      <c r="KHJ125" s="41"/>
      <c r="KHK125" s="41"/>
      <c r="KHL125" s="41"/>
      <c r="KHM125" s="41"/>
      <c r="KHN125" s="41"/>
      <c r="KHO125" s="41"/>
      <c r="KHP125" s="41"/>
      <c r="KHQ125" s="41"/>
      <c r="KHR125" s="41"/>
      <c r="KHS125" s="41"/>
      <c r="KHT125" s="41"/>
      <c r="KHU125" s="41"/>
      <c r="KHV125" s="41"/>
      <c r="KHW125" s="41"/>
      <c r="KHX125" s="41"/>
      <c r="KHY125" s="41"/>
      <c r="KHZ125" s="41"/>
      <c r="KIA125" s="41"/>
      <c r="KIB125" s="41"/>
      <c r="KIC125" s="41"/>
      <c r="KID125" s="41"/>
      <c r="KIE125" s="41"/>
      <c r="KIF125" s="41"/>
      <c r="KIG125" s="41"/>
      <c r="KIH125" s="41"/>
      <c r="KII125" s="41"/>
      <c r="KIJ125" s="41"/>
      <c r="KIK125" s="41"/>
      <c r="KIL125" s="41"/>
      <c r="KIM125" s="41"/>
      <c r="KIN125" s="41"/>
      <c r="KIO125" s="41"/>
      <c r="KIP125" s="41"/>
      <c r="KIQ125" s="41"/>
      <c r="KIR125" s="41"/>
      <c r="KIS125" s="41"/>
      <c r="KIT125" s="41"/>
      <c r="KIU125" s="41"/>
      <c r="KIV125" s="41"/>
      <c r="KIW125" s="41"/>
      <c r="KIX125" s="41"/>
      <c r="KIY125" s="41"/>
      <c r="KIZ125" s="41"/>
      <c r="KJA125" s="41"/>
      <c r="KJB125" s="41"/>
      <c r="KJC125" s="41"/>
      <c r="KJD125" s="41"/>
      <c r="KJE125" s="41"/>
      <c r="KJF125" s="41"/>
      <c r="KJG125" s="41"/>
      <c r="KJH125" s="41"/>
      <c r="KJI125" s="41"/>
      <c r="KJJ125" s="41"/>
      <c r="KJK125" s="41"/>
      <c r="KJL125" s="41"/>
      <c r="KJM125" s="41"/>
      <c r="KJN125" s="41"/>
      <c r="KJO125" s="41"/>
      <c r="KJP125" s="41"/>
      <c r="KJQ125" s="41"/>
      <c r="KJR125" s="41"/>
      <c r="KJS125" s="41"/>
      <c r="KJT125" s="41"/>
      <c r="KJU125" s="41"/>
      <c r="KJV125" s="41"/>
      <c r="KJW125" s="41"/>
      <c r="KJX125" s="41"/>
      <c r="KJY125" s="41"/>
      <c r="KJZ125" s="41"/>
      <c r="KKA125" s="41"/>
      <c r="KKB125" s="41"/>
      <c r="KKC125" s="41"/>
      <c r="KKD125" s="41"/>
      <c r="KKE125" s="41"/>
      <c r="KKF125" s="41"/>
      <c r="KKG125" s="41"/>
      <c r="KKH125" s="41"/>
      <c r="KKI125" s="41"/>
      <c r="KKJ125" s="41"/>
      <c r="KKK125" s="41"/>
      <c r="KKL125" s="41"/>
      <c r="KKM125" s="41"/>
      <c r="KKN125" s="41"/>
      <c r="KKO125" s="41"/>
      <c r="KKP125" s="41"/>
      <c r="KKQ125" s="41"/>
      <c r="KKR125" s="41"/>
      <c r="KKS125" s="41"/>
      <c r="KKT125" s="41"/>
      <c r="KKU125" s="41"/>
      <c r="KKV125" s="41"/>
      <c r="KKW125" s="41"/>
      <c r="KKX125" s="41"/>
      <c r="KKY125" s="41"/>
      <c r="KKZ125" s="41"/>
      <c r="KLA125" s="41"/>
      <c r="KLB125" s="41"/>
      <c r="KLC125" s="41"/>
      <c r="KLD125" s="41"/>
      <c r="KLE125" s="41"/>
      <c r="KLF125" s="41"/>
      <c r="KLG125" s="41"/>
      <c r="KLH125" s="41"/>
      <c r="KLI125" s="41"/>
      <c r="KLJ125" s="41"/>
      <c r="KLK125" s="41"/>
      <c r="KLL125" s="41"/>
      <c r="KLM125" s="41"/>
      <c r="KLN125" s="41"/>
      <c r="KLO125" s="41"/>
      <c r="KLP125" s="41"/>
      <c r="KLQ125" s="41"/>
      <c r="KLR125" s="41"/>
      <c r="KLS125" s="41"/>
      <c r="KLT125" s="41"/>
      <c r="KLU125" s="41"/>
      <c r="KLV125" s="41"/>
      <c r="KLW125" s="41"/>
      <c r="KLX125" s="41"/>
      <c r="KLY125" s="41"/>
      <c r="KLZ125" s="41"/>
      <c r="KMA125" s="41"/>
      <c r="KMB125" s="41"/>
      <c r="KMC125" s="41"/>
      <c r="KMD125" s="41"/>
      <c r="KME125" s="41"/>
      <c r="KMF125" s="41"/>
      <c r="KMG125" s="41"/>
      <c r="KMH125" s="41"/>
      <c r="KMI125" s="41"/>
      <c r="KMJ125" s="41"/>
      <c r="KMK125" s="41"/>
      <c r="KML125" s="41"/>
      <c r="KMM125" s="41"/>
      <c r="KMN125" s="41"/>
      <c r="KMO125" s="41"/>
      <c r="KMP125" s="41"/>
      <c r="KMQ125" s="41"/>
      <c r="KMR125" s="41"/>
      <c r="KMS125" s="41"/>
      <c r="KMT125" s="41"/>
      <c r="KMU125" s="41"/>
      <c r="KMV125" s="41"/>
      <c r="KMW125" s="41"/>
      <c r="KMX125" s="41"/>
      <c r="KMY125" s="41"/>
      <c r="KMZ125" s="41"/>
      <c r="KNA125" s="41"/>
      <c r="KNB125" s="41"/>
      <c r="KNC125" s="41"/>
      <c r="KND125" s="41"/>
      <c r="KNE125" s="41"/>
      <c r="KNF125" s="41"/>
      <c r="KNG125" s="41"/>
      <c r="KNH125" s="41"/>
      <c r="KNI125" s="41"/>
      <c r="KNJ125" s="41"/>
      <c r="KNK125" s="41"/>
      <c r="KNL125" s="41"/>
      <c r="KNM125" s="41"/>
      <c r="KNN125" s="41"/>
      <c r="KNO125" s="41"/>
      <c r="KNP125" s="41"/>
      <c r="KNQ125" s="41"/>
      <c r="KNR125" s="41"/>
      <c r="KNS125" s="41"/>
      <c r="KNT125" s="41"/>
      <c r="KNU125" s="41"/>
      <c r="KNV125" s="41"/>
      <c r="KNW125" s="41"/>
      <c r="KNX125" s="41"/>
      <c r="KNY125" s="41"/>
      <c r="KNZ125" s="41"/>
      <c r="KOA125" s="41"/>
      <c r="KOB125" s="41"/>
      <c r="KOC125" s="41"/>
      <c r="KOD125" s="41"/>
      <c r="KOE125" s="41"/>
      <c r="KOF125" s="41"/>
      <c r="KOG125" s="41"/>
      <c r="KOH125" s="41"/>
      <c r="KOI125" s="41"/>
      <c r="KOJ125" s="41"/>
      <c r="KOK125" s="41"/>
      <c r="KOL125" s="41"/>
      <c r="KOM125" s="41"/>
      <c r="KON125" s="41"/>
      <c r="KOO125" s="41"/>
      <c r="KOP125" s="41"/>
      <c r="KOQ125" s="41"/>
      <c r="KOR125" s="41"/>
      <c r="KOS125" s="41"/>
      <c r="KOT125" s="41"/>
      <c r="KOU125" s="41"/>
      <c r="KOV125" s="41"/>
      <c r="KOW125" s="41"/>
      <c r="KOX125" s="41"/>
      <c r="KOY125" s="41"/>
      <c r="KOZ125" s="41"/>
      <c r="KPA125" s="41"/>
      <c r="KPB125" s="41"/>
      <c r="KPC125" s="41"/>
      <c r="KPD125" s="41"/>
      <c r="KPE125" s="41"/>
      <c r="KPF125" s="41"/>
      <c r="KPG125" s="41"/>
      <c r="KPH125" s="41"/>
      <c r="KPI125" s="41"/>
      <c r="KPJ125" s="41"/>
      <c r="KPK125" s="41"/>
      <c r="KPL125" s="41"/>
      <c r="KPM125" s="41"/>
      <c r="KPN125" s="41"/>
      <c r="KPO125" s="41"/>
      <c r="KPP125" s="41"/>
      <c r="KPQ125" s="41"/>
      <c r="KPR125" s="41"/>
      <c r="KPS125" s="41"/>
      <c r="KPT125" s="41"/>
      <c r="KPU125" s="41"/>
      <c r="KPV125" s="41"/>
      <c r="KPW125" s="41"/>
      <c r="KPX125" s="41"/>
      <c r="KPY125" s="41"/>
      <c r="KPZ125" s="41"/>
      <c r="KQA125" s="41"/>
      <c r="KQB125" s="41"/>
      <c r="KQC125" s="41"/>
      <c r="KQD125" s="41"/>
      <c r="KQE125" s="41"/>
      <c r="KQF125" s="41"/>
      <c r="KQG125" s="41"/>
      <c r="KQH125" s="41"/>
      <c r="KQI125" s="41"/>
      <c r="KQJ125" s="41"/>
      <c r="KQK125" s="41"/>
      <c r="KQL125" s="41"/>
      <c r="KQM125" s="41"/>
      <c r="KQN125" s="41"/>
      <c r="KQO125" s="41"/>
      <c r="KQP125" s="41"/>
      <c r="KQQ125" s="41"/>
      <c r="KQR125" s="41"/>
      <c r="KQS125" s="41"/>
      <c r="KQT125" s="41"/>
      <c r="KQU125" s="41"/>
      <c r="KQV125" s="41"/>
      <c r="KQW125" s="41"/>
      <c r="KQX125" s="41"/>
      <c r="KQY125" s="41"/>
      <c r="KQZ125" s="41"/>
      <c r="KRA125" s="41"/>
      <c r="KRB125" s="41"/>
      <c r="KRC125" s="41"/>
      <c r="KRD125" s="41"/>
      <c r="KRE125" s="41"/>
      <c r="KRF125" s="41"/>
      <c r="KRG125" s="41"/>
      <c r="KRH125" s="41"/>
      <c r="KRI125" s="41"/>
      <c r="KRJ125" s="41"/>
      <c r="KRK125" s="41"/>
      <c r="KRL125" s="41"/>
      <c r="KRM125" s="41"/>
      <c r="KRN125" s="41"/>
      <c r="KRO125" s="41"/>
      <c r="KRP125" s="41"/>
      <c r="KRQ125" s="41"/>
      <c r="KRR125" s="41"/>
      <c r="KRS125" s="41"/>
      <c r="KRT125" s="41"/>
      <c r="KRU125" s="41"/>
      <c r="KRV125" s="41"/>
      <c r="KRW125" s="41"/>
      <c r="KRX125" s="41"/>
      <c r="KRY125" s="41"/>
      <c r="KRZ125" s="41"/>
      <c r="KSA125" s="41"/>
      <c r="KSB125" s="41"/>
      <c r="KSC125" s="41"/>
      <c r="KSD125" s="41"/>
      <c r="KSE125" s="41"/>
      <c r="KSF125" s="41"/>
      <c r="KSG125" s="41"/>
      <c r="KSH125" s="41"/>
      <c r="KSI125" s="41"/>
      <c r="KSJ125" s="41"/>
      <c r="KSK125" s="41"/>
      <c r="KSL125" s="41"/>
      <c r="KSM125" s="41"/>
      <c r="KSN125" s="41"/>
      <c r="KSO125" s="41"/>
      <c r="KSP125" s="41"/>
      <c r="KSQ125" s="41"/>
      <c r="KSR125" s="41"/>
      <c r="KSS125" s="41"/>
      <c r="KST125" s="41"/>
      <c r="KSU125" s="41"/>
      <c r="KSV125" s="41"/>
      <c r="KSW125" s="41"/>
      <c r="KSX125" s="41"/>
      <c r="KSY125" s="41"/>
      <c r="KSZ125" s="41"/>
      <c r="KTA125" s="41"/>
      <c r="KTB125" s="41"/>
      <c r="KTC125" s="41"/>
      <c r="KTD125" s="41"/>
      <c r="KTE125" s="41"/>
      <c r="KTF125" s="41"/>
      <c r="KTG125" s="41"/>
      <c r="KTH125" s="41"/>
      <c r="KTI125" s="41"/>
      <c r="KTJ125" s="41"/>
      <c r="KTK125" s="41"/>
      <c r="KTL125" s="41"/>
      <c r="KTM125" s="41"/>
      <c r="KTN125" s="41"/>
      <c r="KTO125" s="41"/>
      <c r="KTP125" s="41"/>
      <c r="KTQ125" s="41"/>
      <c r="KTR125" s="41"/>
      <c r="KTS125" s="41"/>
      <c r="KTT125" s="41"/>
      <c r="KTU125" s="41"/>
      <c r="KTV125" s="41"/>
      <c r="KTW125" s="41"/>
      <c r="KTX125" s="41"/>
      <c r="KTY125" s="41"/>
      <c r="KTZ125" s="41"/>
      <c r="KUA125" s="41"/>
      <c r="KUB125" s="41"/>
      <c r="KUC125" s="41"/>
      <c r="KUD125" s="41"/>
      <c r="KUE125" s="41"/>
      <c r="KUF125" s="41"/>
      <c r="KUG125" s="41"/>
      <c r="KUH125" s="41"/>
      <c r="KUI125" s="41"/>
      <c r="KUJ125" s="41"/>
      <c r="KUK125" s="41"/>
      <c r="KUL125" s="41"/>
      <c r="KUM125" s="41"/>
      <c r="KUN125" s="41"/>
      <c r="KUO125" s="41"/>
      <c r="KUP125" s="41"/>
      <c r="KUQ125" s="41"/>
      <c r="KUR125" s="41"/>
      <c r="KUS125" s="41"/>
      <c r="KUT125" s="41"/>
      <c r="KUU125" s="41"/>
      <c r="KUV125" s="41"/>
      <c r="KUW125" s="41"/>
      <c r="KUX125" s="41"/>
      <c r="KUY125" s="41"/>
      <c r="KUZ125" s="41"/>
      <c r="KVA125" s="41"/>
      <c r="KVB125" s="41"/>
      <c r="KVC125" s="41"/>
      <c r="KVD125" s="41"/>
      <c r="KVE125" s="41"/>
      <c r="KVF125" s="41"/>
      <c r="KVG125" s="41"/>
      <c r="KVH125" s="41"/>
      <c r="KVI125" s="41"/>
      <c r="KVJ125" s="41"/>
      <c r="KVK125" s="41"/>
      <c r="KVL125" s="41"/>
      <c r="KVM125" s="41"/>
      <c r="KVN125" s="41"/>
      <c r="KVO125" s="41"/>
      <c r="KVP125" s="41"/>
      <c r="KVQ125" s="41"/>
      <c r="KVR125" s="41"/>
      <c r="KVS125" s="41"/>
      <c r="KVT125" s="41"/>
      <c r="KVU125" s="41"/>
      <c r="KVV125" s="41"/>
      <c r="KVW125" s="41"/>
      <c r="KVX125" s="41"/>
      <c r="KVY125" s="41"/>
      <c r="KVZ125" s="41"/>
      <c r="KWA125" s="41"/>
      <c r="KWB125" s="41"/>
      <c r="KWC125" s="41"/>
      <c r="KWD125" s="41"/>
      <c r="KWE125" s="41"/>
      <c r="KWF125" s="41"/>
      <c r="KWG125" s="41"/>
      <c r="KWH125" s="41"/>
      <c r="KWI125" s="41"/>
      <c r="KWJ125" s="41"/>
      <c r="KWK125" s="41"/>
      <c r="KWL125" s="41"/>
      <c r="KWM125" s="41"/>
      <c r="KWN125" s="41"/>
      <c r="KWO125" s="41"/>
      <c r="KWP125" s="41"/>
      <c r="KWQ125" s="41"/>
      <c r="KWR125" s="41"/>
      <c r="KWS125" s="41"/>
      <c r="KWT125" s="41"/>
      <c r="KWU125" s="41"/>
      <c r="KWV125" s="41"/>
      <c r="KWW125" s="41"/>
      <c r="KWX125" s="41"/>
      <c r="KWY125" s="41"/>
      <c r="KWZ125" s="41"/>
      <c r="KXA125" s="41"/>
      <c r="KXB125" s="41"/>
      <c r="KXC125" s="41"/>
      <c r="KXD125" s="41"/>
      <c r="KXE125" s="41"/>
      <c r="KXF125" s="41"/>
      <c r="KXG125" s="41"/>
      <c r="KXH125" s="41"/>
      <c r="KXI125" s="41"/>
      <c r="KXJ125" s="41"/>
      <c r="KXK125" s="41"/>
      <c r="KXL125" s="41"/>
      <c r="KXM125" s="41"/>
      <c r="KXN125" s="41"/>
      <c r="KXO125" s="41"/>
      <c r="KXP125" s="41"/>
      <c r="KXQ125" s="41"/>
      <c r="KXR125" s="41"/>
      <c r="KXS125" s="41"/>
      <c r="KXT125" s="41"/>
      <c r="KXU125" s="41"/>
      <c r="KXV125" s="41"/>
      <c r="KXW125" s="41"/>
      <c r="KXX125" s="41"/>
      <c r="KXY125" s="41"/>
      <c r="KXZ125" s="41"/>
      <c r="KYA125" s="41"/>
      <c r="KYB125" s="41"/>
      <c r="KYC125" s="41"/>
      <c r="KYD125" s="41"/>
      <c r="KYE125" s="41"/>
      <c r="KYF125" s="41"/>
      <c r="KYG125" s="41"/>
      <c r="KYH125" s="41"/>
      <c r="KYI125" s="41"/>
      <c r="KYJ125" s="41"/>
      <c r="KYK125" s="41"/>
      <c r="KYL125" s="41"/>
      <c r="KYM125" s="41"/>
      <c r="KYN125" s="41"/>
      <c r="KYO125" s="41"/>
      <c r="KYP125" s="41"/>
      <c r="KYQ125" s="41"/>
      <c r="KYR125" s="41"/>
      <c r="KYS125" s="41"/>
      <c r="KYT125" s="41"/>
      <c r="KYU125" s="41"/>
      <c r="KYV125" s="41"/>
      <c r="KYW125" s="41"/>
      <c r="KYX125" s="41"/>
      <c r="KYY125" s="41"/>
      <c r="KYZ125" s="41"/>
      <c r="KZA125" s="41"/>
      <c r="KZB125" s="41"/>
      <c r="KZC125" s="41"/>
      <c r="KZD125" s="41"/>
      <c r="KZE125" s="41"/>
      <c r="KZF125" s="41"/>
      <c r="KZG125" s="41"/>
      <c r="KZH125" s="41"/>
      <c r="KZI125" s="41"/>
      <c r="KZJ125" s="41"/>
      <c r="KZK125" s="41"/>
      <c r="KZL125" s="41"/>
      <c r="KZM125" s="41"/>
      <c r="KZN125" s="41"/>
      <c r="KZO125" s="41"/>
      <c r="KZP125" s="41"/>
      <c r="KZQ125" s="41"/>
      <c r="KZR125" s="41"/>
      <c r="KZS125" s="41"/>
      <c r="KZT125" s="41"/>
      <c r="KZU125" s="41"/>
      <c r="KZV125" s="41"/>
      <c r="KZW125" s="41"/>
      <c r="KZX125" s="41"/>
      <c r="KZY125" s="41"/>
      <c r="KZZ125" s="41"/>
      <c r="LAA125" s="41"/>
      <c r="LAB125" s="41"/>
      <c r="LAC125" s="41"/>
      <c r="LAD125" s="41"/>
      <c r="LAE125" s="41"/>
      <c r="LAF125" s="41"/>
      <c r="LAG125" s="41"/>
      <c r="LAH125" s="41"/>
      <c r="LAI125" s="41"/>
      <c r="LAJ125" s="41"/>
      <c r="LAK125" s="41"/>
      <c r="LAL125" s="41"/>
      <c r="LAM125" s="41"/>
      <c r="LAN125" s="41"/>
      <c r="LAO125" s="41"/>
      <c r="LAP125" s="41"/>
      <c r="LAQ125" s="41"/>
      <c r="LAR125" s="41"/>
      <c r="LAS125" s="41"/>
      <c r="LAT125" s="41"/>
      <c r="LAU125" s="41"/>
      <c r="LAV125" s="41"/>
      <c r="LAW125" s="41"/>
      <c r="LAX125" s="41"/>
      <c r="LAY125" s="41"/>
      <c r="LAZ125" s="41"/>
      <c r="LBA125" s="41"/>
      <c r="LBB125" s="41"/>
      <c r="LBC125" s="41"/>
      <c r="LBD125" s="41"/>
      <c r="LBE125" s="41"/>
      <c r="LBF125" s="41"/>
      <c r="LBG125" s="41"/>
      <c r="LBH125" s="41"/>
      <c r="LBI125" s="41"/>
      <c r="LBJ125" s="41"/>
      <c r="LBK125" s="41"/>
      <c r="LBL125" s="41"/>
      <c r="LBM125" s="41"/>
      <c r="LBN125" s="41"/>
      <c r="LBO125" s="41"/>
      <c r="LBP125" s="41"/>
      <c r="LBQ125" s="41"/>
      <c r="LBR125" s="41"/>
      <c r="LBS125" s="41"/>
      <c r="LBT125" s="41"/>
      <c r="LBU125" s="41"/>
      <c r="LBV125" s="41"/>
      <c r="LBW125" s="41"/>
      <c r="LBX125" s="41"/>
      <c r="LBY125" s="41"/>
      <c r="LBZ125" s="41"/>
      <c r="LCA125" s="41"/>
      <c r="LCB125" s="41"/>
      <c r="LCC125" s="41"/>
      <c r="LCD125" s="41"/>
      <c r="LCE125" s="41"/>
      <c r="LCF125" s="41"/>
      <c r="LCG125" s="41"/>
      <c r="LCH125" s="41"/>
      <c r="LCI125" s="41"/>
      <c r="LCJ125" s="41"/>
      <c r="LCK125" s="41"/>
      <c r="LCL125" s="41"/>
      <c r="LCM125" s="41"/>
      <c r="LCN125" s="41"/>
      <c r="LCO125" s="41"/>
      <c r="LCP125" s="41"/>
      <c r="LCQ125" s="41"/>
      <c r="LCR125" s="41"/>
      <c r="LCS125" s="41"/>
      <c r="LCT125" s="41"/>
      <c r="LCU125" s="41"/>
      <c r="LCV125" s="41"/>
      <c r="LCW125" s="41"/>
      <c r="LCX125" s="41"/>
      <c r="LCY125" s="41"/>
      <c r="LCZ125" s="41"/>
      <c r="LDA125" s="41"/>
      <c r="LDB125" s="41"/>
      <c r="LDC125" s="41"/>
      <c r="LDD125" s="41"/>
      <c r="LDE125" s="41"/>
      <c r="LDF125" s="41"/>
      <c r="LDG125" s="41"/>
      <c r="LDH125" s="41"/>
      <c r="LDI125" s="41"/>
      <c r="LDJ125" s="41"/>
      <c r="LDK125" s="41"/>
      <c r="LDL125" s="41"/>
      <c r="LDM125" s="41"/>
      <c r="LDN125" s="41"/>
      <c r="LDO125" s="41"/>
      <c r="LDP125" s="41"/>
      <c r="LDQ125" s="41"/>
      <c r="LDR125" s="41"/>
      <c r="LDS125" s="41"/>
      <c r="LDT125" s="41"/>
      <c r="LDU125" s="41"/>
      <c r="LDV125" s="41"/>
      <c r="LDW125" s="41"/>
      <c r="LDX125" s="41"/>
      <c r="LDY125" s="41"/>
      <c r="LDZ125" s="41"/>
      <c r="LEA125" s="41"/>
      <c r="LEB125" s="41"/>
      <c r="LEC125" s="41"/>
      <c r="LED125" s="41"/>
      <c r="LEE125" s="41"/>
      <c r="LEF125" s="41"/>
      <c r="LEG125" s="41"/>
      <c r="LEH125" s="41"/>
      <c r="LEI125" s="41"/>
      <c r="LEJ125" s="41"/>
      <c r="LEK125" s="41"/>
      <c r="LEL125" s="41"/>
      <c r="LEM125" s="41"/>
      <c r="LEN125" s="41"/>
      <c r="LEO125" s="41"/>
      <c r="LEP125" s="41"/>
      <c r="LEQ125" s="41"/>
      <c r="LER125" s="41"/>
      <c r="LES125" s="41"/>
      <c r="LET125" s="41"/>
      <c r="LEU125" s="41"/>
      <c r="LEV125" s="41"/>
      <c r="LEW125" s="41"/>
      <c r="LEX125" s="41"/>
      <c r="LEY125" s="41"/>
      <c r="LEZ125" s="41"/>
      <c r="LFA125" s="41"/>
      <c r="LFB125" s="41"/>
      <c r="LFC125" s="41"/>
      <c r="LFD125" s="41"/>
      <c r="LFE125" s="41"/>
      <c r="LFF125" s="41"/>
      <c r="LFG125" s="41"/>
      <c r="LFH125" s="41"/>
      <c r="LFI125" s="41"/>
      <c r="LFJ125" s="41"/>
      <c r="LFK125" s="41"/>
      <c r="LFL125" s="41"/>
      <c r="LFM125" s="41"/>
      <c r="LFN125" s="41"/>
      <c r="LFO125" s="41"/>
      <c r="LFP125" s="41"/>
      <c r="LFQ125" s="41"/>
      <c r="LFR125" s="41"/>
      <c r="LFS125" s="41"/>
      <c r="LFT125" s="41"/>
      <c r="LFU125" s="41"/>
      <c r="LFV125" s="41"/>
      <c r="LFW125" s="41"/>
      <c r="LFX125" s="41"/>
      <c r="LFY125" s="41"/>
      <c r="LFZ125" s="41"/>
      <c r="LGA125" s="41"/>
      <c r="LGB125" s="41"/>
      <c r="LGC125" s="41"/>
      <c r="LGD125" s="41"/>
      <c r="LGE125" s="41"/>
      <c r="LGF125" s="41"/>
      <c r="LGG125" s="41"/>
      <c r="LGH125" s="41"/>
      <c r="LGI125" s="41"/>
      <c r="LGJ125" s="41"/>
      <c r="LGK125" s="41"/>
      <c r="LGL125" s="41"/>
      <c r="LGM125" s="41"/>
      <c r="LGN125" s="41"/>
      <c r="LGO125" s="41"/>
      <c r="LGP125" s="41"/>
      <c r="LGQ125" s="41"/>
      <c r="LGR125" s="41"/>
      <c r="LGS125" s="41"/>
      <c r="LGT125" s="41"/>
      <c r="LGU125" s="41"/>
      <c r="LGV125" s="41"/>
      <c r="LGW125" s="41"/>
      <c r="LGX125" s="41"/>
      <c r="LGY125" s="41"/>
      <c r="LGZ125" s="41"/>
      <c r="LHA125" s="41"/>
      <c r="LHB125" s="41"/>
      <c r="LHC125" s="41"/>
      <c r="LHD125" s="41"/>
      <c r="LHE125" s="41"/>
      <c r="LHF125" s="41"/>
      <c r="LHG125" s="41"/>
      <c r="LHH125" s="41"/>
      <c r="LHI125" s="41"/>
      <c r="LHJ125" s="41"/>
      <c r="LHK125" s="41"/>
      <c r="LHL125" s="41"/>
      <c r="LHM125" s="41"/>
      <c r="LHN125" s="41"/>
      <c r="LHO125" s="41"/>
      <c r="LHP125" s="41"/>
      <c r="LHQ125" s="41"/>
      <c r="LHR125" s="41"/>
      <c r="LHS125" s="41"/>
      <c r="LHT125" s="41"/>
      <c r="LHU125" s="41"/>
      <c r="LHV125" s="41"/>
      <c r="LHW125" s="41"/>
      <c r="LHX125" s="41"/>
      <c r="LHY125" s="41"/>
      <c r="LHZ125" s="41"/>
      <c r="LIA125" s="41"/>
      <c r="LIB125" s="41"/>
      <c r="LIC125" s="41"/>
      <c r="LID125" s="41"/>
      <c r="LIE125" s="41"/>
      <c r="LIF125" s="41"/>
      <c r="LIG125" s="41"/>
      <c r="LIH125" s="41"/>
      <c r="LII125" s="41"/>
      <c r="LIJ125" s="41"/>
      <c r="LIK125" s="41"/>
      <c r="LIL125" s="41"/>
      <c r="LIM125" s="41"/>
      <c r="LIN125" s="41"/>
      <c r="LIO125" s="41"/>
      <c r="LIP125" s="41"/>
      <c r="LIQ125" s="41"/>
      <c r="LIR125" s="41"/>
      <c r="LIS125" s="41"/>
      <c r="LIT125" s="41"/>
      <c r="LIU125" s="41"/>
      <c r="LIV125" s="41"/>
      <c r="LIW125" s="41"/>
      <c r="LIX125" s="41"/>
      <c r="LIY125" s="41"/>
      <c r="LIZ125" s="41"/>
      <c r="LJA125" s="41"/>
      <c r="LJB125" s="41"/>
      <c r="LJC125" s="41"/>
      <c r="LJD125" s="41"/>
      <c r="LJE125" s="41"/>
      <c r="LJF125" s="41"/>
      <c r="LJG125" s="41"/>
      <c r="LJH125" s="41"/>
      <c r="LJI125" s="41"/>
      <c r="LJJ125" s="41"/>
      <c r="LJK125" s="41"/>
      <c r="LJL125" s="41"/>
      <c r="LJM125" s="41"/>
      <c r="LJN125" s="41"/>
      <c r="LJO125" s="41"/>
      <c r="LJP125" s="41"/>
      <c r="LJQ125" s="41"/>
      <c r="LJR125" s="41"/>
      <c r="LJS125" s="41"/>
      <c r="LJT125" s="41"/>
      <c r="LJU125" s="41"/>
      <c r="LJV125" s="41"/>
      <c r="LJW125" s="41"/>
      <c r="LJX125" s="41"/>
      <c r="LJY125" s="41"/>
      <c r="LJZ125" s="41"/>
      <c r="LKA125" s="41"/>
      <c r="LKB125" s="41"/>
      <c r="LKC125" s="41"/>
      <c r="LKD125" s="41"/>
      <c r="LKE125" s="41"/>
      <c r="LKF125" s="41"/>
      <c r="LKG125" s="41"/>
      <c r="LKH125" s="41"/>
      <c r="LKI125" s="41"/>
      <c r="LKJ125" s="41"/>
      <c r="LKK125" s="41"/>
      <c r="LKL125" s="41"/>
      <c r="LKM125" s="41"/>
      <c r="LKN125" s="41"/>
      <c r="LKO125" s="41"/>
      <c r="LKP125" s="41"/>
      <c r="LKQ125" s="41"/>
      <c r="LKR125" s="41"/>
      <c r="LKS125" s="41"/>
      <c r="LKT125" s="41"/>
      <c r="LKU125" s="41"/>
      <c r="LKV125" s="41"/>
      <c r="LKW125" s="41"/>
      <c r="LKX125" s="41"/>
      <c r="LKY125" s="41"/>
      <c r="LKZ125" s="41"/>
      <c r="LLA125" s="41"/>
      <c r="LLB125" s="41"/>
      <c r="LLC125" s="41"/>
      <c r="LLD125" s="41"/>
      <c r="LLE125" s="41"/>
      <c r="LLF125" s="41"/>
      <c r="LLG125" s="41"/>
      <c r="LLH125" s="41"/>
      <c r="LLI125" s="41"/>
      <c r="LLJ125" s="41"/>
      <c r="LLK125" s="41"/>
      <c r="LLL125" s="41"/>
      <c r="LLM125" s="41"/>
      <c r="LLN125" s="41"/>
      <c r="LLO125" s="41"/>
      <c r="LLP125" s="41"/>
      <c r="LLQ125" s="41"/>
      <c r="LLR125" s="41"/>
      <c r="LLS125" s="41"/>
      <c r="LLT125" s="41"/>
      <c r="LLU125" s="41"/>
      <c r="LLV125" s="41"/>
      <c r="LLW125" s="41"/>
      <c r="LLX125" s="41"/>
      <c r="LLY125" s="41"/>
      <c r="LLZ125" s="41"/>
      <c r="LMA125" s="41"/>
      <c r="LMB125" s="41"/>
      <c r="LMC125" s="41"/>
      <c r="LMD125" s="41"/>
      <c r="LME125" s="41"/>
      <c r="LMF125" s="41"/>
      <c r="LMG125" s="41"/>
      <c r="LMH125" s="41"/>
      <c r="LMI125" s="41"/>
      <c r="LMJ125" s="41"/>
      <c r="LMK125" s="41"/>
      <c r="LML125" s="41"/>
      <c r="LMM125" s="41"/>
      <c r="LMN125" s="41"/>
      <c r="LMO125" s="41"/>
      <c r="LMP125" s="41"/>
      <c r="LMQ125" s="41"/>
      <c r="LMR125" s="41"/>
      <c r="LMS125" s="41"/>
      <c r="LMT125" s="41"/>
      <c r="LMU125" s="41"/>
      <c r="LMV125" s="41"/>
      <c r="LMW125" s="41"/>
      <c r="LMX125" s="41"/>
      <c r="LMY125" s="41"/>
      <c r="LMZ125" s="41"/>
      <c r="LNA125" s="41"/>
      <c r="LNB125" s="41"/>
      <c r="LNC125" s="41"/>
      <c r="LND125" s="41"/>
      <c r="LNE125" s="41"/>
      <c r="LNF125" s="41"/>
      <c r="LNG125" s="41"/>
      <c r="LNH125" s="41"/>
      <c r="LNI125" s="41"/>
      <c r="LNJ125" s="41"/>
      <c r="LNK125" s="41"/>
      <c r="LNL125" s="41"/>
      <c r="LNM125" s="41"/>
      <c r="LNN125" s="41"/>
      <c r="LNO125" s="41"/>
      <c r="LNP125" s="41"/>
      <c r="LNQ125" s="41"/>
      <c r="LNR125" s="41"/>
      <c r="LNS125" s="41"/>
      <c r="LNT125" s="41"/>
      <c r="LNU125" s="41"/>
      <c r="LNV125" s="41"/>
      <c r="LNW125" s="41"/>
      <c r="LNX125" s="41"/>
      <c r="LNY125" s="41"/>
      <c r="LNZ125" s="41"/>
      <c r="LOA125" s="41"/>
      <c r="LOB125" s="41"/>
      <c r="LOC125" s="41"/>
      <c r="LOD125" s="41"/>
      <c r="LOE125" s="41"/>
      <c r="LOF125" s="41"/>
      <c r="LOG125" s="41"/>
      <c r="LOH125" s="41"/>
      <c r="LOI125" s="41"/>
      <c r="LOJ125" s="41"/>
      <c r="LOK125" s="41"/>
      <c r="LOL125" s="41"/>
      <c r="LOM125" s="41"/>
      <c r="LON125" s="41"/>
      <c r="LOO125" s="41"/>
      <c r="LOP125" s="41"/>
      <c r="LOQ125" s="41"/>
      <c r="LOR125" s="41"/>
      <c r="LOS125" s="41"/>
      <c r="LOT125" s="41"/>
      <c r="LOU125" s="41"/>
      <c r="LOV125" s="41"/>
      <c r="LOW125" s="41"/>
      <c r="LOX125" s="41"/>
      <c r="LOY125" s="41"/>
      <c r="LOZ125" s="41"/>
      <c r="LPA125" s="41"/>
      <c r="LPB125" s="41"/>
      <c r="LPC125" s="41"/>
      <c r="LPD125" s="41"/>
      <c r="LPE125" s="41"/>
      <c r="LPF125" s="41"/>
      <c r="LPG125" s="41"/>
      <c r="LPH125" s="41"/>
      <c r="LPI125" s="41"/>
      <c r="LPJ125" s="41"/>
      <c r="LPK125" s="41"/>
      <c r="LPL125" s="41"/>
      <c r="LPM125" s="41"/>
      <c r="LPN125" s="41"/>
      <c r="LPO125" s="41"/>
      <c r="LPP125" s="41"/>
      <c r="LPQ125" s="41"/>
      <c r="LPR125" s="41"/>
      <c r="LPS125" s="41"/>
      <c r="LPT125" s="41"/>
      <c r="LPU125" s="41"/>
      <c r="LPV125" s="41"/>
      <c r="LPW125" s="41"/>
      <c r="LPX125" s="41"/>
      <c r="LPY125" s="41"/>
      <c r="LPZ125" s="41"/>
      <c r="LQA125" s="41"/>
      <c r="LQB125" s="41"/>
      <c r="LQC125" s="41"/>
      <c r="LQD125" s="41"/>
      <c r="LQE125" s="41"/>
      <c r="LQF125" s="41"/>
      <c r="LQG125" s="41"/>
      <c r="LQH125" s="41"/>
      <c r="LQI125" s="41"/>
      <c r="LQJ125" s="41"/>
      <c r="LQK125" s="41"/>
      <c r="LQL125" s="41"/>
      <c r="LQM125" s="41"/>
      <c r="LQN125" s="41"/>
      <c r="LQO125" s="41"/>
      <c r="LQP125" s="41"/>
      <c r="LQQ125" s="41"/>
      <c r="LQR125" s="41"/>
      <c r="LQS125" s="41"/>
      <c r="LQT125" s="41"/>
      <c r="LQU125" s="41"/>
      <c r="LQV125" s="41"/>
      <c r="LQW125" s="41"/>
      <c r="LQX125" s="41"/>
      <c r="LQY125" s="41"/>
      <c r="LQZ125" s="41"/>
      <c r="LRA125" s="41"/>
      <c r="LRB125" s="41"/>
      <c r="LRC125" s="41"/>
      <c r="LRD125" s="41"/>
      <c r="LRE125" s="41"/>
      <c r="LRF125" s="41"/>
      <c r="LRG125" s="41"/>
      <c r="LRH125" s="41"/>
      <c r="LRI125" s="41"/>
      <c r="LRJ125" s="41"/>
      <c r="LRK125" s="41"/>
      <c r="LRL125" s="41"/>
      <c r="LRM125" s="41"/>
      <c r="LRN125" s="41"/>
      <c r="LRO125" s="41"/>
      <c r="LRP125" s="41"/>
      <c r="LRQ125" s="41"/>
      <c r="LRR125" s="41"/>
      <c r="LRS125" s="41"/>
      <c r="LRT125" s="41"/>
      <c r="LRU125" s="41"/>
      <c r="LRV125" s="41"/>
      <c r="LRW125" s="41"/>
      <c r="LRX125" s="41"/>
      <c r="LRY125" s="41"/>
      <c r="LRZ125" s="41"/>
      <c r="LSA125" s="41"/>
      <c r="LSB125" s="41"/>
      <c r="LSC125" s="41"/>
      <c r="LSD125" s="41"/>
      <c r="LSE125" s="41"/>
      <c r="LSF125" s="41"/>
      <c r="LSG125" s="41"/>
      <c r="LSH125" s="41"/>
      <c r="LSI125" s="41"/>
      <c r="LSJ125" s="41"/>
      <c r="LSK125" s="41"/>
      <c r="LSL125" s="41"/>
      <c r="LSM125" s="41"/>
      <c r="LSN125" s="41"/>
      <c r="LSO125" s="41"/>
      <c r="LSP125" s="41"/>
      <c r="LSQ125" s="41"/>
      <c r="LSR125" s="41"/>
      <c r="LSS125" s="41"/>
      <c r="LST125" s="41"/>
      <c r="LSU125" s="41"/>
      <c r="LSV125" s="41"/>
      <c r="LSW125" s="41"/>
      <c r="LSX125" s="41"/>
      <c r="LSY125" s="41"/>
      <c r="LSZ125" s="41"/>
      <c r="LTA125" s="41"/>
      <c r="LTB125" s="41"/>
      <c r="LTC125" s="41"/>
      <c r="LTD125" s="41"/>
      <c r="LTE125" s="41"/>
      <c r="LTF125" s="41"/>
      <c r="LTG125" s="41"/>
      <c r="LTH125" s="41"/>
      <c r="LTI125" s="41"/>
      <c r="LTJ125" s="41"/>
      <c r="LTK125" s="41"/>
      <c r="LTL125" s="41"/>
      <c r="LTM125" s="41"/>
      <c r="LTN125" s="41"/>
      <c r="LTO125" s="41"/>
      <c r="LTP125" s="41"/>
      <c r="LTQ125" s="41"/>
      <c r="LTR125" s="41"/>
      <c r="LTS125" s="41"/>
      <c r="LTT125" s="41"/>
      <c r="LTU125" s="41"/>
      <c r="LTV125" s="41"/>
      <c r="LTW125" s="41"/>
      <c r="LTX125" s="41"/>
      <c r="LTY125" s="41"/>
      <c r="LTZ125" s="41"/>
      <c r="LUA125" s="41"/>
      <c r="LUB125" s="41"/>
      <c r="LUC125" s="41"/>
      <c r="LUD125" s="41"/>
      <c r="LUE125" s="41"/>
      <c r="LUF125" s="41"/>
      <c r="LUG125" s="41"/>
      <c r="LUH125" s="41"/>
      <c r="LUI125" s="41"/>
      <c r="LUJ125" s="41"/>
      <c r="LUK125" s="41"/>
      <c r="LUL125" s="41"/>
      <c r="LUM125" s="41"/>
      <c r="LUN125" s="41"/>
      <c r="LUO125" s="41"/>
      <c r="LUP125" s="41"/>
      <c r="LUQ125" s="41"/>
      <c r="LUR125" s="41"/>
      <c r="LUS125" s="41"/>
      <c r="LUT125" s="41"/>
      <c r="LUU125" s="41"/>
      <c r="LUV125" s="41"/>
      <c r="LUW125" s="41"/>
      <c r="LUX125" s="41"/>
      <c r="LUY125" s="41"/>
      <c r="LUZ125" s="41"/>
      <c r="LVA125" s="41"/>
      <c r="LVB125" s="41"/>
      <c r="LVC125" s="41"/>
      <c r="LVD125" s="41"/>
      <c r="LVE125" s="41"/>
      <c r="LVF125" s="41"/>
      <c r="LVG125" s="41"/>
      <c r="LVH125" s="41"/>
      <c r="LVI125" s="41"/>
      <c r="LVJ125" s="41"/>
      <c r="LVK125" s="41"/>
      <c r="LVL125" s="41"/>
      <c r="LVM125" s="41"/>
      <c r="LVN125" s="41"/>
      <c r="LVO125" s="41"/>
      <c r="LVP125" s="41"/>
      <c r="LVQ125" s="41"/>
      <c r="LVR125" s="41"/>
      <c r="LVS125" s="41"/>
      <c r="LVT125" s="41"/>
      <c r="LVU125" s="41"/>
      <c r="LVV125" s="41"/>
      <c r="LVW125" s="41"/>
      <c r="LVX125" s="41"/>
      <c r="LVY125" s="41"/>
      <c r="LVZ125" s="41"/>
      <c r="LWA125" s="41"/>
      <c r="LWB125" s="41"/>
      <c r="LWC125" s="41"/>
      <c r="LWD125" s="41"/>
      <c r="LWE125" s="41"/>
      <c r="LWF125" s="41"/>
      <c r="LWG125" s="41"/>
      <c r="LWH125" s="41"/>
      <c r="LWI125" s="41"/>
      <c r="LWJ125" s="41"/>
      <c r="LWK125" s="41"/>
      <c r="LWL125" s="41"/>
      <c r="LWM125" s="41"/>
      <c r="LWN125" s="41"/>
      <c r="LWO125" s="41"/>
      <c r="LWP125" s="41"/>
      <c r="LWQ125" s="41"/>
      <c r="LWR125" s="41"/>
      <c r="LWS125" s="41"/>
      <c r="LWT125" s="41"/>
      <c r="LWU125" s="41"/>
      <c r="LWV125" s="41"/>
      <c r="LWW125" s="41"/>
      <c r="LWX125" s="41"/>
      <c r="LWY125" s="41"/>
      <c r="LWZ125" s="41"/>
      <c r="LXA125" s="41"/>
      <c r="LXB125" s="41"/>
      <c r="LXC125" s="41"/>
      <c r="LXD125" s="41"/>
      <c r="LXE125" s="41"/>
      <c r="LXF125" s="41"/>
      <c r="LXG125" s="41"/>
      <c r="LXH125" s="41"/>
      <c r="LXI125" s="41"/>
      <c r="LXJ125" s="41"/>
      <c r="LXK125" s="41"/>
      <c r="LXL125" s="41"/>
      <c r="LXM125" s="41"/>
      <c r="LXN125" s="41"/>
      <c r="LXO125" s="41"/>
      <c r="LXP125" s="41"/>
      <c r="LXQ125" s="41"/>
      <c r="LXR125" s="41"/>
      <c r="LXS125" s="41"/>
      <c r="LXT125" s="41"/>
      <c r="LXU125" s="41"/>
      <c r="LXV125" s="41"/>
      <c r="LXW125" s="41"/>
      <c r="LXX125" s="41"/>
      <c r="LXY125" s="41"/>
      <c r="LXZ125" s="41"/>
      <c r="LYA125" s="41"/>
      <c r="LYB125" s="41"/>
      <c r="LYC125" s="41"/>
      <c r="LYD125" s="41"/>
      <c r="LYE125" s="41"/>
      <c r="LYF125" s="41"/>
      <c r="LYG125" s="41"/>
      <c r="LYH125" s="41"/>
      <c r="LYI125" s="41"/>
      <c r="LYJ125" s="41"/>
      <c r="LYK125" s="41"/>
      <c r="LYL125" s="41"/>
      <c r="LYM125" s="41"/>
      <c r="LYN125" s="41"/>
      <c r="LYO125" s="41"/>
      <c r="LYP125" s="41"/>
      <c r="LYQ125" s="41"/>
      <c r="LYR125" s="41"/>
      <c r="LYS125" s="41"/>
      <c r="LYT125" s="41"/>
      <c r="LYU125" s="41"/>
      <c r="LYV125" s="41"/>
      <c r="LYW125" s="41"/>
      <c r="LYX125" s="41"/>
      <c r="LYY125" s="41"/>
      <c r="LYZ125" s="41"/>
      <c r="LZA125" s="41"/>
      <c r="LZB125" s="41"/>
      <c r="LZC125" s="41"/>
      <c r="LZD125" s="41"/>
      <c r="LZE125" s="41"/>
      <c r="LZF125" s="41"/>
      <c r="LZG125" s="41"/>
      <c r="LZH125" s="41"/>
      <c r="LZI125" s="41"/>
      <c r="LZJ125" s="41"/>
      <c r="LZK125" s="41"/>
      <c r="LZL125" s="41"/>
      <c r="LZM125" s="41"/>
      <c r="LZN125" s="41"/>
      <c r="LZO125" s="41"/>
      <c r="LZP125" s="41"/>
      <c r="LZQ125" s="41"/>
      <c r="LZR125" s="41"/>
      <c r="LZS125" s="41"/>
      <c r="LZT125" s="41"/>
      <c r="LZU125" s="41"/>
      <c r="LZV125" s="41"/>
      <c r="LZW125" s="41"/>
      <c r="LZX125" s="41"/>
      <c r="LZY125" s="41"/>
      <c r="LZZ125" s="41"/>
      <c r="MAA125" s="41"/>
      <c r="MAB125" s="41"/>
      <c r="MAC125" s="41"/>
      <c r="MAD125" s="41"/>
      <c r="MAE125" s="41"/>
      <c r="MAF125" s="41"/>
      <c r="MAG125" s="41"/>
      <c r="MAH125" s="41"/>
      <c r="MAI125" s="41"/>
      <c r="MAJ125" s="41"/>
      <c r="MAK125" s="41"/>
      <c r="MAL125" s="41"/>
      <c r="MAM125" s="41"/>
      <c r="MAN125" s="41"/>
      <c r="MAO125" s="41"/>
      <c r="MAP125" s="41"/>
      <c r="MAQ125" s="41"/>
      <c r="MAR125" s="41"/>
      <c r="MAS125" s="41"/>
      <c r="MAT125" s="41"/>
      <c r="MAU125" s="41"/>
      <c r="MAV125" s="41"/>
      <c r="MAW125" s="41"/>
      <c r="MAX125" s="41"/>
      <c r="MAY125" s="41"/>
      <c r="MAZ125" s="41"/>
      <c r="MBA125" s="41"/>
      <c r="MBB125" s="41"/>
      <c r="MBC125" s="41"/>
      <c r="MBD125" s="41"/>
      <c r="MBE125" s="41"/>
      <c r="MBF125" s="41"/>
      <c r="MBG125" s="41"/>
      <c r="MBH125" s="41"/>
      <c r="MBI125" s="41"/>
      <c r="MBJ125" s="41"/>
      <c r="MBK125" s="41"/>
      <c r="MBL125" s="41"/>
      <c r="MBM125" s="41"/>
      <c r="MBN125" s="41"/>
      <c r="MBO125" s="41"/>
      <c r="MBP125" s="41"/>
      <c r="MBQ125" s="41"/>
      <c r="MBR125" s="41"/>
      <c r="MBS125" s="41"/>
      <c r="MBT125" s="41"/>
      <c r="MBU125" s="41"/>
      <c r="MBV125" s="41"/>
      <c r="MBW125" s="41"/>
      <c r="MBX125" s="41"/>
      <c r="MBY125" s="41"/>
      <c r="MBZ125" s="41"/>
      <c r="MCA125" s="41"/>
      <c r="MCB125" s="41"/>
      <c r="MCC125" s="41"/>
      <c r="MCD125" s="41"/>
      <c r="MCE125" s="41"/>
      <c r="MCF125" s="41"/>
      <c r="MCG125" s="41"/>
      <c r="MCH125" s="41"/>
      <c r="MCI125" s="41"/>
      <c r="MCJ125" s="41"/>
      <c r="MCK125" s="41"/>
      <c r="MCL125" s="41"/>
      <c r="MCM125" s="41"/>
      <c r="MCN125" s="41"/>
      <c r="MCO125" s="41"/>
      <c r="MCP125" s="41"/>
      <c r="MCQ125" s="41"/>
      <c r="MCR125" s="41"/>
      <c r="MCS125" s="41"/>
      <c r="MCT125" s="41"/>
      <c r="MCU125" s="41"/>
      <c r="MCV125" s="41"/>
      <c r="MCW125" s="41"/>
      <c r="MCX125" s="41"/>
      <c r="MCY125" s="41"/>
      <c r="MCZ125" s="41"/>
      <c r="MDA125" s="41"/>
      <c r="MDB125" s="41"/>
      <c r="MDC125" s="41"/>
      <c r="MDD125" s="41"/>
      <c r="MDE125" s="41"/>
      <c r="MDF125" s="41"/>
      <c r="MDG125" s="41"/>
      <c r="MDH125" s="41"/>
      <c r="MDI125" s="41"/>
      <c r="MDJ125" s="41"/>
      <c r="MDK125" s="41"/>
      <c r="MDL125" s="41"/>
      <c r="MDM125" s="41"/>
      <c r="MDN125" s="41"/>
      <c r="MDO125" s="41"/>
      <c r="MDP125" s="41"/>
      <c r="MDQ125" s="41"/>
      <c r="MDR125" s="41"/>
      <c r="MDS125" s="41"/>
      <c r="MDT125" s="41"/>
      <c r="MDU125" s="41"/>
      <c r="MDV125" s="41"/>
      <c r="MDW125" s="41"/>
      <c r="MDX125" s="41"/>
      <c r="MDY125" s="41"/>
      <c r="MDZ125" s="41"/>
      <c r="MEA125" s="41"/>
      <c r="MEB125" s="41"/>
      <c r="MEC125" s="41"/>
      <c r="MED125" s="41"/>
      <c r="MEE125" s="41"/>
      <c r="MEF125" s="41"/>
      <c r="MEG125" s="41"/>
      <c r="MEH125" s="41"/>
      <c r="MEI125" s="41"/>
      <c r="MEJ125" s="41"/>
      <c r="MEK125" s="41"/>
      <c r="MEL125" s="41"/>
      <c r="MEM125" s="41"/>
      <c r="MEN125" s="41"/>
      <c r="MEO125" s="41"/>
      <c r="MEP125" s="41"/>
      <c r="MEQ125" s="41"/>
      <c r="MER125" s="41"/>
      <c r="MES125" s="41"/>
      <c r="MET125" s="41"/>
      <c r="MEU125" s="41"/>
      <c r="MEV125" s="41"/>
      <c r="MEW125" s="41"/>
      <c r="MEX125" s="41"/>
      <c r="MEY125" s="41"/>
      <c r="MEZ125" s="41"/>
      <c r="MFA125" s="41"/>
      <c r="MFB125" s="41"/>
      <c r="MFC125" s="41"/>
      <c r="MFD125" s="41"/>
      <c r="MFE125" s="41"/>
      <c r="MFF125" s="41"/>
      <c r="MFG125" s="41"/>
      <c r="MFH125" s="41"/>
      <c r="MFI125" s="41"/>
      <c r="MFJ125" s="41"/>
      <c r="MFK125" s="41"/>
      <c r="MFL125" s="41"/>
      <c r="MFM125" s="41"/>
      <c r="MFN125" s="41"/>
      <c r="MFO125" s="41"/>
      <c r="MFP125" s="41"/>
      <c r="MFQ125" s="41"/>
      <c r="MFR125" s="41"/>
      <c r="MFS125" s="41"/>
      <c r="MFT125" s="41"/>
      <c r="MFU125" s="41"/>
      <c r="MFV125" s="41"/>
      <c r="MFW125" s="41"/>
      <c r="MFX125" s="41"/>
      <c r="MFY125" s="41"/>
      <c r="MFZ125" s="41"/>
      <c r="MGA125" s="41"/>
      <c r="MGB125" s="41"/>
      <c r="MGC125" s="41"/>
      <c r="MGD125" s="41"/>
      <c r="MGE125" s="41"/>
      <c r="MGF125" s="41"/>
      <c r="MGG125" s="41"/>
      <c r="MGH125" s="41"/>
      <c r="MGI125" s="41"/>
      <c r="MGJ125" s="41"/>
      <c r="MGK125" s="41"/>
      <c r="MGL125" s="41"/>
      <c r="MGM125" s="41"/>
      <c r="MGN125" s="41"/>
      <c r="MGO125" s="41"/>
      <c r="MGP125" s="41"/>
      <c r="MGQ125" s="41"/>
      <c r="MGR125" s="41"/>
      <c r="MGS125" s="41"/>
      <c r="MGT125" s="41"/>
      <c r="MGU125" s="41"/>
      <c r="MGV125" s="41"/>
      <c r="MGW125" s="41"/>
      <c r="MGX125" s="41"/>
      <c r="MGY125" s="41"/>
      <c r="MGZ125" s="41"/>
      <c r="MHA125" s="41"/>
      <c r="MHB125" s="41"/>
      <c r="MHC125" s="41"/>
      <c r="MHD125" s="41"/>
      <c r="MHE125" s="41"/>
      <c r="MHF125" s="41"/>
      <c r="MHG125" s="41"/>
      <c r="MHH125" s="41"/>
      <c r="MHI125" s="41"/>
      <c r="MHJ125" s="41"/>
      <c r="MHK125" s="41"/>
      <c r="MHL125" s="41"/>
      <c r="MHM125" s="41"/>
      <c r="MHN125" s="41"/>
      <c r="MHO125" s="41"/>
      <c r="MHP125" s="41"/>
      <c r="MHQ125" s="41"/>
      <c r="MHR125" s="41"/>
      <c r="MHS125" s="41"/>
      <c r="MHT125" s="41"/>
      <c r="MHU125" s="41"/>
      <c r="MHV125" s="41"/>
      <c r="MHW125" s="41"/>
      <c r="MHX125" s="41"/>
      <c r="MHY125" s="41"/>
      <c r="MHZ125" s="41"/>
      <c r="MIA125" s="41"/>
      <c r="MIB125" s="41"/>
      <c r="MIC125" s="41"/>
      <c r="MID125" s="41"/>
      <c r="MIE125" s="41"/>
      <c r="MIF125" s="41"/>
      <c r="MIG125" s="41"/>
      <c r="MIH125" s="41"/>
      <c r="MII125" s="41"/>
      <c r="MIJ125" s="41"/>
      <c r="MIK125" s="41"/>
      <c r="MIL125" s="41"/>
      <c r="MIM125" s="41"/>
      <c r="MIN125" s="41"/>
      <c r="MIO125" s="41"/>
      <c r="MIP125" s="41"/>
      <c r="MIQ125" s="41"/>
      <c r="MIR125" s="41"/>
      <c r="MIS125" s="41"/>
      <c r="MIT125" s="41"/>
      <c r="MIU125" s="41"/>
      <c r="MIV125" s="41"/>
      <c r="MIW125" s="41"/>
      <c r="MIX125" s="41"/>
      <c r="MIY125" s="41"/>
      <c r="MIZ125" s="41"/>
      <c r="MJA125" s="41"/>
      <c r="MJB125" s="41"/>
      <c r="MJC125" s="41"/>
      <c r="MJD125" s="41"/>
      <c r="MJE125" s="41"/>
      <c r="MJF125" s="41"/>
      <c r="MJG125" s="41"/>
      <c r="MJH125" s="41"/>
      <c r="MJI125" s="41"/>
      <c r="MJJ125" s="41"/>
      <c r="MJK125" s="41"/>
      <c r="MJL125" s="41"/>
      <c r="MJM125" s="41"/>
      <c r="MJN125" s="41"/>
      <c r="MJO125" s="41"/>
      <c r="MJP125" s="41"/>
      <c r="MJQ125" s="41"/>
      <c r="MJR125" s="41"/>
      <c r="MJS125" s="41"/>
      <c r="MJT125" s="41"/>
      <c r="MJU125" s="41"/>
      <c r="MJV125" s="41"/>
      <c r="MJW125" s="41"/>
      <c r="MJX125" s="41"/>
      <c r="MJY125" s="41"/>
      <c r="MJZ125" s="41"/>
      <c r="MKA125" s="41"/>
      <c r="MKB125" s="41"/>
      <c r="MKC125" s="41"/>
      <c r="MKD125" s="41"/>
      <c r="MKE125" s="41"/>
      <c r="MKF125" s="41"/>
      <c r="MKG125" s="41"/>
      <c r="MKH125" s="41"/>
      <c r="MKI125" s="41"/>
      <c r="MKJ125" s="41"/>
      <c r="MKK125" s="41"/>
      <c r="MKL125" s="41"/>
      <c r="MKM125" s="41"/>
      <c r="MKN125" s="41"/>
      <c r="MKO125" s="41"/>
      <c r="MKP125" s="41"/>
      <c r="MKQ125" s="41"/>
      <c r="MKR125" s="41"/>
      <c r="MKS125" s="41"/>
      <c r="MKT125" s="41"/>
      <c r="MKU125" s="41"/>
      <c r="MKV125" s="41"/>
      <c r="MKW125" s="41"/>
      <c r="MKX125" s="41"/>
      <c r="MKY125" s="41"/>
      <c r="MKZ125" s="41"/>
      <c r="MLA125" s="41"/>
      <c r="MLB125" s="41"/>
      <c r="MLC125" s="41"/>
      <c r="MLD125" s="41"/>
      <c r="MLE125" s="41"/>
      <c r="MLF125" s="41"/>
      <c r="MLG125" s="41"/>
      <c r="MLH125" s="41"/>
      <c r="MLI125" s="41"/>
      <c r="MLJ125" s="41"/>
      <c r="MLK125" s="41"/>
      <c r="MLL125" s="41"/>
      <c r="MLM125" s="41"/>
      <c r="MLN125" s="41"/>
      <c r="MLO125" s="41"/>
      <c r="MLP125" s="41"/>
      <c r="MLQ125" s="41"/>
      <c r="MLR125" s="41"/>
      <c r="MLS125" s="41"/>
      <c r="MLT125" s="41"/>
      <c r="MLU125" s="41"/>
      <c r="MLV125" s="41"/>
      <c r="MLW125" s="41"/>
      <c r="MLX125" s="41"/>
      <c r="MLY125" s="41"/>
      <c r="MLZ125" s="41"/>
      <c r="MMA125" s="41"/>
      <c r="MMB125" s="41"/>
      <c r="MMC125" s="41"/>
      <c r="MMD125" s="41"/>
      <c r="MME125" s="41"/>
      <c r="MMF125" s="41"/>
      <c r="MMG125" s="41"/>
      <c r="MMH125" s="41"/>
      <c r="MMI125" s="41"/>
      <c r="MMJ125" s="41"/>
      <c r="MMK125" s="41"/>
      <c r="MML125" s="41"/>
      <c r="MMM125" s="41"/>
      <c r="MMN125" s="41"/>
      <c r="MMO125" s="41"/>
      <c r="MMP125" s="41"/>
      <c r="MMQ125" s="41"/>
      <c r="MMR125" s="41"/>
      <c r="MMS125" s="41"/>
      <c r="MMT125" s="41"/>
      <c r="MMU125" s="41"/>
      <c r="MMV125" s="41"/>
      <c r="MMW125" s="41"/>
      <c r="MMX125" s="41"/>
      <c r="MMY125" s="41"/>
      <c r="MMZ125" s="41"/>
      <c r="MNA125" s="41"/>
      <c r="MNB125" s="41"/>
      <c r="MNC125" s="41"/>
      <c r="MND125" s="41"/>
      <c r="MNE125" s="41"/>
      <c r="MNF125" s="41"/>
      <c r="MNG125" s="41"/>
      <c r="MNH125" s="41"/>
      <c r="MNI125" s="41"/>
      <c r="MNJ125" s="41"/>
      <c r="MNK125" s="41"/>
      <c r="MNL125" s="41"/>
      <c r="MNM125" s="41"/>
      <c r="MNN125" s="41"/>
      <c r="MNO125" s="41"/>
      <c r="MNP125" s="41"/>
      <c r="MNQ125" s="41"/>
      <c r="MNR125" s="41"/>
      <c r="MNS125" s="41"/>
      <c r="MNT125" s="41"/>
      <c r="MNU125" s="41"/>
      <c r="MNV125" s="41"/>
      <c r="MNW125" s="41"/>
      <c r="MNX125" s="41"/>
      <c r="MNY125" s="41"/>
      <c r="MNZ125" s="41"/>
      <c r="MOA125" s="41"/>
      <c r="MOB125" s="41"/>
      <c r="MOC125" s="41"/>
      <c r="MOD125" s="41"/>
      <c r="MOE125" s="41"/>
      <c r="MOF125" s="41"/>
      <c r="MOG125" s="41"/>
      <c r="MOH125" s="41"/>
      <c r="MOI125" s="41"/>
      <c r="MOJ125" s="41"/>
      <c r="MOK125" s="41"/>
      <c r="MOL125" s="41"/>
      <c r="MOM125" s="41"/>
      <c r="MON125" s="41"/>
      <c r="MOO125" s="41"/>
      <c r="MOP125" s="41"/>
      <c r="MOQ125" s="41"/>
      <c r="MOR125" s="41"/>
      <c r="MOS125" s="41"/>
      <c r="MOT125" s="41"/>
      <c r="MOU125" s="41"/>
      <c r="MOV125" s="41"/>
      <c r="MOW125" s="41"/>
      <c r="MOX125" s="41"/>
      <c r="MOY125" s="41"/>
      <c r="MOZ125" s="41"/>
      <c r="MPA125" s="41"/>
      <c r="MPB125" s="41"/>
      <c r="MPC125" s="41"/>
      <c r="MPD125" s="41"/>
      <c r="MPE125" s="41"/>
      <c r="MPF125" s="41"/>
      <c r="MPG125" s="41"/>
      <c r="MPH125" s="41"/>
      <c r="MPI125" s="41"/>
      <c r="MPJ125" s="41"/>
      <c r="MPK125" s="41"/>
      <c r="MPL125" s="41"/>
      <c r="MPM125" s="41"/>
      <c r="MPN125" s="41"/>
      <c r="MPO125" s="41"/>
      <c r="MPP125" s="41"/>
      <c r="MPQ125" s="41"/>
      <c r="MPR125" s="41"/>
      <c r="MPS125" s="41"/>
      <c r="MPT125" s="41"/>
      <c r="MPU125" s="41"/>
      <c r="MPV125" s="41"/>
      <c r="MPW125" s="41"/>
      <c r="MPX125" s="41"/>
      <c r="MPY125" s="41"/>
      <c r="MPZ125" s="41"/>
      <c r="MQA125" s="41"/>
      <c r="MQB125" s="41"/>
      <c r="MQC125" s="41"/>
      <c r="MQD125" s="41"/>
      <c r="MQE125" s="41"/>
      <c r="MQF125" s="41"/>
      <c r="MQG125" s="41"/>
      <c r="MQH125" s="41"/>
      <c r="MQI125" s="41"/>
      <c r="MQJ125" s="41"/>
      <c r="MQK125" s="41"/>
      <c r="MQL125" s="41"/>
      <c r="MQM125" s="41"/>
      <c r="MQN125" s="41"/>
      <c r="MQO125" s="41"/>
      <c r="MQP125" s="41"/>
      <c r="MQQ125" s="41"/>
      <c r="MQR125" s="41"/>
      <c r="MQS125" s="41"/>
      <c r="MQT125" s="41"/>
      <c r="MQU125" s="41"/>
      <c r="MQV125" s="41"/>
      <c r="MQW125" s="41"/>
      <c r="MQX125" s="41"/>
      <c r="MQY125" s="41"/>
      <c r="MQZ125" s="41"/>
      <c r="MRA125" s="41"/>
      <c r="MRB125" s="41"/>
      <c r="MRC125" s="41"/>
      <c r="MRD125" s="41"/>
      <c r="MRE125" s="41"/>
      <c r="MRF125" s="41"/>
      <c r="MRG125" s="41"/>
      <c r="MRH125" s="41"/>
      <c r="MRI125" s="41"/>
      <c r="MRJ125" s="41"/>
      <c r="MRK125" s="41"/>
      <c r="MRL125" s="41"/>
      <c r="MRM125" s="41"/>
      <c r="MRN125" s="41"/>
      <c r="MRO125" s="41"/>
      <c r="MRP125" s="41"/>
      <c r="MRQ125" s="41"/>
      <c r="MRR125" s="41"/>
      <c r="MRS125" s="41"/>
      <c r="MRT125" s="41"/>
      <c r="MRU125" s="41"/>
      <c r="MRV125" s="41"/>
      <c r="MRW125" s="41"/>
      <c r="MRX125" s="41"/>
      <c r="MRY125" s="41"/>
      <c r="MRZ125" s="41"/>
      <c r="MSA125" s="41"/>
      <c r="MSB125" s="41"/>
      <c r="MSC125" s="41"/>
      <c r="MSD125" s="41"/>
      <c r="MSE125" s="41"/>
      <c r="MSF125" s="41"/>
      <c r="MSG125" s="41"/>
      <c r="MSH125" s="41"/>
      <c r="MSI125" s="41"/>
      <c r="MSJ125" s="41"/>
      <c r="MSK125" s="41"/>
      <c r="MSL125" s="41"/>
      <c r="MSM125" s="41"/>
      <c r="MSN125" s="41"/>
      <c r="MSO125" s="41"/>
      <c r="MSP125" s="41"/>
      <c r="MSQ125" s="41"/>
      <c r="MSR125" s="41"/>
      <c r="MSS125" s="41"/>
      <c r="MST125" s="41"/>
      <c r="MSU125" s="41"/>
      <c r="MSV125" s="41"/>
      <c r="MSW125" s="41"/>
      <c r="MSX125" s="41"/>
      <c r="MSY125" s="41"/>
      <c r="MSZ125" s="41"/>
      <c r="MTA125" s="41"/>
      <c r="MTB125" s="41"/>
      <c r="MTC125" s="41"/>
      <c r="MTD125" s="41"/>
      <c r="MTE125" s="41"/>
      <c r="MTF125" s="41"/>
      <c r="MTG125" s="41"/>
      <c r="MTH125" s="41"/>
      <c r="MTI125" s="41"/>
      <c r="MTJ125" s="41"/>
      <c r="MTK125" s="41"/>
      <c r="MTL125" s="41"/>
      <c r="MTM125" s="41"/>
      <c r="MTN125" s="41"/>
      <c r="MTO125" s="41"/>
      <c r="MTP125" s="41"/>
      <c r="MTQ125" s="41"/>
      <c r="MTR125" s="41"/>
      <c r="MTS125" s="41"/>
      <c r="MTT125" s="41"/>
      <c r="MTU125" s="41"/>
      <c r="MTV125" s="41"/>
      <c r="MTW125" s="41"/>
      <c r="MTX125" s="41"/>
      <c r="MTY125" s="41"/>
      <c r="MTZ125" s="41"/>
      <c r="MUA125" s="41"/>
      <c r="MUB125" s="41"/>
      <c r="MUC125" s="41"/>
      <c r="MUD125" s="41"/>
      <c r="MUE125" s="41"/>
      <c r="MUF125" s="41"/>
      <c r="MUG125" s="41"/>
      <c r="MUH125" s="41"/>
      <c r="MUI125" s="41"/>
      <c r="MUJ125" s="41"/>
      <c r="MUK125" s="41"/>
      <c r="MUL125" s="41"/>
      <c r="MUM125" s="41"/>
      <c r="MUN125" s="41"/>
      <c r="MUO125" s="41"/>
      <c r="MUP125" s="41"/>
      <c r="MUQ125" s="41"/>
      <c r="MUR125" s="41"/>
      <c r="MUS125" s="41"/>
      <c r="MUT125" s="41"/>
      <c r="MUU125" s="41"/>
      <c r="MUV125" s="41"/>
      <c r="MUW125" s="41"/>
      <c r="MUX125" s="41"/>
      <c r="MUY125" s="41"/>
      <c r="MUZ125" s="41"/>
      <c r="MVA125" s="41"/>
      <c r="MVB125" s="41"/>
      <c r="MVC125" s="41"/>
      <c r="MVD125" s="41"/>
      <c r="MVE125" s="41"/>
      <c r="MVF125" s="41"/>
      <c r="MVG125" s="41"/>
      <c r="MVH125" s="41"/>
      <c r="MVI125" s="41"/>
      <c r="MVJ125" s="41"/>
      <c r="MVK125" s="41"/>
      <c r="MVL125" s="41"/>
      <c r="MVM125" s="41"/>
      <c r="MVN125" s="41"/>
      <c r="MVO125" s="41"/>
      <c r="MVP125" s="41"/>
      <c r="MVQ125" s="41"/>
      <c r="MVR125" s="41"/>
      <c r="MVS125" s="41"/>
      <c r="MVT125" s="41"/>
      <c r="MVU125" s="41"/>
      <c r="MVV125" s="41"/>
      <c r="MVW125" s="41"/>
      <c r="MVX125" s="41"/>
      <c r="MVY125" s="41"/>
      <c r="MVZ125" s="41"/>
      <c r="MWA125" s="41"/>
      <c r="MWB125" s="41"/>
      <c r="MWC125" s="41"/>
      <c r="MWD125" s="41"/>
      <c r="MWE125" s="41"/>
      <c r="MWF125" s="41"/>
      <c r="MWG125" s="41"/>
      <c r="MWH125" s="41"/>
      <c r="MWI125" s="41"/>
      <c r="MWJ125" s="41"/>
      <c r="MWK125" s="41"/>
      <c r="MWL125" s="41"/>
      <c r="MWM125" s="41"/>
      <c r="MWN125" s="41"/>
      <c r="MWO125" s="41"/>
      <c r="MWP125" s="41"/>
      <c r="MWQ125" s="41"/>
      <c r="MWR125" s="41"/>
      <c r="MWS125" s="41"/>
      <c r="MWT125" s="41"/>
      <c r="MWU125" s="41"/>
      <c r="MWV125" s="41"/>
      <c r="MWW125" s="41"/>
      <c r="MWX125" s="41"/>
      <c r="MWY125" s="41"/>
      <c r="MWZ125" s="41"/>
      <c r="MXA125" s="41"/>
      <c r="MXB125" s="41"/>
      <c r="MXC125" s="41"/>
      <c r="MXD125" s="41"/>
      <c r="MXE125" s="41"/>
      <c r="MXF125" s="41"/>
      <c r="MXG125" s="41"/>
      <c r="MXH125" s="41"/>
      <c r="MXI125" s="41"/>
      <c r="MXJ125" s="41"/>
      <c r="MXK125" s="41"/>
      <c r="MXL125" s="41"/>
      <c r="MXM125" s="41"/>
      <c r="MXN125" s="41"/>
      <c r="MXO125" s="41"/>
      <c r="MXP125" s="41"/>
      <c r="MXQ125" s="41"/>
      <c r="MXR125" s="41"/>
      <c r="MXS125" s="41"/>
      <c r="MXT125" s="41"/>
      <c r="MXU125" s="41"/>
      <c r="MXV125" s="41"/>
      <c r="MXW125" s="41"/>
      <c r="MXX125" s="41"/>
      <c r="MXY125" s="41"/>
      <c r="MXZ125" s="41"/>
      <c r="MYA125" s="41"/>
      <c r="MYB125" s="41"/>
      <c r="MYC125" s="41"/>
      <c r="MYD125" s="41"/>
      <c r="MYE125" s="41"/>
      <c r="MYF125" s="41"/>
      <c r="MYG125" s="41"/>
      <c r="MYH125" s="41"/>
      <c r="MYI125" s="41"/>
      <c r="MYJ125" s="41"/>
      <c r="MYK125" s="41"/>
      <c r="MYL125" s="41"/>
      <c r="MYM125" s="41"/>
      <c r="MYN125" s="41"/>
      <c r="MYO125" s="41"/>
      <c r="MYP125" s="41"/>
      <c r="MYQ125" s="41"/>
      <c r="MYR125" s="41"/>
      <c r="MYS125" s="41"/>
      <c r="MYT125" s="41"/>
      <c r="MYU125" s="41"/>
      <c r="MYV125" s="41"/>
      <c r="MYW125" s="41"/>
      <c r="MYX125" s="41"/>
      <c r="MYY125" s="41"/>
      <c r="MYZ125" s="41"/>
      <c r="MZA125" s="41"/>
      <c r="MZB125" s="41"/>
      <c r="MZC125" s="41"/>
      <c r="MZD125" s="41"/>
      <c r="MZE125" s="41"/>
      <c r="MZF125" s="41"/>
      <c r="MZG125" s="41"/>
      <c r="MZH125" s="41"/>
      <c r="MZI125" s="41"/>
      <c r="MZJ125" s="41"/>
      <c r="MZK125" s="41"/>
      <c r="MZL125" s="41"/>
      <c r="MZM125" s="41"/>
      <c r="MZN125" s="41"/>
      <c r="MZO125" s="41"/>
      <c r="MZP125" s="41"/>
      <c r="MZQ125" s="41"/>
      <c r="MZR125" s="41"/>
      <c r="MZS125" s="41"/>
      <c r="MZT125" s="41"/>
      <c r="MZU125" s="41"/>
      <c r="MZV125" s="41"/>
      <c r="MZW125" s="41"/>
      <c r="MZX125" s="41"/>
      <c r="MZY125" s="41"/>
      <c r="MZZ125" s="41"/>
      <c r="NAA125" s="41"/>
      <c r="NAB125" s="41"/>
      <c r="NAC125" s="41"/>
      <c r="NAD125" s="41"/>
      <c r="NAE125" s="41"/>
      <c r="NAF125" s="41"/>
      <c r="NAG125" s="41"/>
      <c r="NAH125" s="41"/>
      <c r="NAI125" s="41"/>
      <c r="NAJ125" s="41"/>
      <c r="NAK125" s="41"/>
      <c r="NAL125" s="41"/>
      <c r="NAM125" s="41"/>
      <c r="NAN125" s="41"/>
      <c r="NAO125" s="41"/>
      <c r="NAP125" s="41"/>
      <c r="NAQ125" s="41"/>
      <c r="NAR125" s="41"/>
      <c r="NAS125" s="41"/>
      <c r="NAT125" s="41"/>
      <c r="NAU125" s="41"/>
      <c r="NAV125" s="41"/>
      <c r="NAW125" s="41"/>
      <c r="NAX125" s="41"/>
      <c r="NAY125" s="41"/>
      <c r="NAZ125" s="41"/>
      <c r="NBA125" s="41"/>
      <c r="NBB125" s="41"/>
      <c r="NBC125" s="41"/>
      <c r="NBD125" s="41"/>
      <c r="NBE125" s="41"/>
      <c r="NBF125" s="41"/>
      <c r="NBG125" s="41"/>
      <c r="NBH125" s="41"/>
      <c r="NBI125" s="41"/>
      <c r="NBJ125" s="41"/>
      <c r="NBK125" s="41"/>
      <c r="NBL125" s="41"/>
      <c r="NBM125" s="41"/>
      <c r="NBN125" s="41"/>
      <c r="NBO125" s="41"/>
      <c r="NBP125" s="41"/>
      <c r="NBQ125" s="41"/>
      <c r="NBR125" s="41"/>
      <c r="NBS125" s="41"/>
      <c r="NBT125" s="41"/>
      <c r="NBU125" s="41"/>
      <c r="NBV125" s="41"/>
      <c r="NBW125" s="41"/>
      <c r="NBX125" s="41"/>
      <c r="NBY125" s="41"/>
      <c r="NBZ125" s="41"/>
      <c r="NCA125" s="41"/>
      <c r="NCB125" s="41"/>
      <c r="NCC125" s="41"/>
      <c r="NCD125" s="41"/>
      <c r="NCE125" s="41"/>
      <c r="NCF125" s="41"/>
      <c r="NCG125" s="41"/>
      <c r="NCH125" s="41"/>
      <c r="NCI125" s="41"/>
      <c r="NCJ125" s="41"/>
      <c r="NCK125" s="41"/>
      <c r="NCL125" s="41"/>
      <c r="NCM125" s="41"/>
      <c r="NCN125" s="41"/>
      <c r="NCO125" s="41"/>
      <c r="NCP125" s="41"/>
      <c r="NCQ125" s="41"/>
      <c r="NCR125" s="41"/>
      <c r="NCS125" s="41"/>
      <c r="NCT125" s="41"/>
      <c r="NCU125" s="41"/>
      <c r="NCV125" s="41"/>
      <c r="NCW125" s="41"/>
      <c r="NCX125" s="41"/>
      <c r="NCY125" s="41"/>
      <c r="NCZ125" s="41"/>
      <c r="NDA125" s="41"/>
      <c r="NDB125" s="41"/>
      <c r="NDC125" s="41"/>
      <c r="NDD125" s="41"/>
      <c r="NDE125" s="41"/>
      <c r="NDF125" s="41"/>
      <c r="NDG125" s="41"/>
      <c r="NDH125" s="41"/>
      <c r="NDI125" s="41"/>
      <c r="NDJ125" s="41"/>
      <c r="NDK125" s="41"/>
      <c r="NDL125" s="41"/>
      <c r="NDM125" s="41"/>
      <c r="NDN125" s="41"/>
      <c r="NDO125" s="41"/>
      <c r="NDP125" s="41"/>
      <c r="NDQ125" s="41"/>
      <c r="NDR125" s="41"/>
      <c r="NDS125" s="41"/>
      <c r="NDT125" s="41"/>
      <c r="NDU125" s="41"/>
      <c r="NDV125" s="41"/>
      <c r="NDW125" s="41"/>
      <c r="NDX125" s="41"/>
      <c r="NDY125" s="41"/>
      <c r="NDZ125" s="41"/>
      <c r="NEA125" s="41"/>
      <c r="NEB125" s="41"/>
      <c r="NEC125" s="41"/>
      <c r="NED125" s="41"/>
      <c r="NEE125" s="41"/>
      <c r="NEF125" s="41"/>
      <c r="NEG125" s="41"/>
      <c r="NEH125" s="41"/>
      <c r="NEI125" s="41"/>
      <c r="NEJ125" s="41"/>
      <c r="NEK125" s="41"/>
      <c r="NEL125" s="41"/>
      <c r="NEM125" s="41"/>
      <c r="NEN125" s="41"/>
      <c r="NEO125" s="41"/>
      <c r="NEP125" s="41"/>
      <c r="NEQ125" s="41"/>
      <c r="NER125" s="41"/>
      <c r="NES125" s="41"/>
      <c r="NET125" s="41"/>
      <c r="NEU125" s="41"/>
      <c r="NEV125" s="41"/>
      <c r="NEW125" s="41"/>
      <c r="NEX125" s="41"/>
      <c r="NEY125" s="41"/>
      <c r="NEZ125" s="41"/>
      <c r="NFA125" s="41"/>
      <c r="NFB125" s="41"/>
      <c r="NFC125" s="41"/>
      <c r="NFD125" s="41"/>
      <c r="NFE125" s="41"/>
      <c r="NFF125" s="41"/>
      <c r="NFG125" s="41"/>
      <c r="NFH125" s="41"/>
      <c r="NFI125" s="41"/>
      <c r="NFJ125" s="41"/>
      <c r="NFK125" s="41"/>
      <c r="NFL125" s="41"/>
      <c r="NFM125" s="41"/>
      <c r="NFN125" s="41"/>
      <c r="NFO125" s="41"/>
      <c r="NFP125" s="41"/>
      <c r="NFQ125" s="41"/>
      <c r="NFR125" s="41"/>
      <c r="NFS125" s="41"/>
      <c r="NFT125" s="41"/>
      <c r="NFU125" s="41"/>
      <c r="NFV125" s="41"/>
      <c r="NFW125" s="41"/>
      <c r="NFX125" s="41"/>
      <c r="NFY125" s="41"/>
      <c r="NFZ125" s="41"/>
      <c r="NGA125" s="41"/>
      <c r="NGB125" s="41"/>
      <c r="NGC125" s="41"/>
      <c r="NGD125" s="41"/>
      <c r="NGE125" s="41"/>
      <c r="NGF125" s="41"/>
      <c r="NGG125" s="41"/>
      <c r="NGH125" s="41"/>
      <c r="NGI125" s="41"/>
      <c r="NGJ125" s="41"/>
      <c r="NGK125" s="41"/>
      <c r="NGL125" s="41"/>
      <c r="NGM125" s="41"/>
      <c r="NGN125" s="41"/>
      <c r="NGO125" s="41"/>
      <c r="NGP125" s="41"/>
      <c r="NGQ125" s="41"/>
      <c r="NGR125" s="41"/>
      <c r="NGS125" s="41"/>
      <c r="NGT125" s="41"/>
      <c r="NGU125" s="41"/>
      <c r="NGV125" s="41"/>
      <c r="NGW125" s="41"/>
      <c r="NGX125" s="41"/>
      <c r="NGY125" s="41"/>
      <c r="NGZ125" s="41"/>
      <c r="NHA125" s="41"/>
      <c r="NHB125" s="41"/>
      <c r="NHC125" s="41"/>
      <c r="NHD125" s="41"/>
      <c r="NHE125" s="41"/>
      <c r="NHF125" s="41"/>
      <c r="NHG125" s="41"/>
      <c r="NHH125" s="41"/>
      <c r="NHI125" s="41"/>
      <c r="NHJ125" s="41"/>
      <c r="NHK125" s="41"/>
      <c r="NHL125" s="41"/>
      <c r="NHM125" s="41"/>
      <c r="NHN125" s="41"/>
      <c r="NHO125" s="41"/>
      <c r="NHP125" s="41"/>
      <c r="NHQ125" s="41"/>
      <c r="NHR125" s="41"/>
      <c r="NHS125" s="41"/>
      <c r="NHT125" s="41"/>
      <c r="NHU125" s="41"/>
      <c r="NHV125" s="41"/>
      <c r="NHW125" s="41"/>
      <c r="NHX125" s="41"/>
      <c r="NHY125" s="41"/>
      <c r="NHZ125" s="41"/>
      <c r="NIA125" s="41"/>
      <c r="NIB125" s="41"/>
      <c r="NIC125" s="41"/>
      <c r="NID125" s="41"/>
      <c r="NIE125" s="41"/>
      <c r="NIF125" s="41"/>
      <c r="NIG125" s="41"/>
      <c r="NIH125" s="41"/>
      <c r="NII125" s="41"/>
      <c r="NIJ125" s="41"/>
      <c r="NIK125" s="41"/>
      <c r="NIL125" s="41"/>
      <c r="NIM125" s="41"/>
      <c r="NIN125" s="41"/>
      <c r="NIO125" s="41"/>
      <c r="NIP125" s="41"/>
      <c r="NIQ125" s="41"/>
      <c r="NIR125" s="41"/>
      <c r="NIS125" s="41"/>
      <c r="NIT125" s="41"/>
      <c r="NIU125" s="41"/>
      <c r="NIV125" s="41"/>
      <c r="NIW125" s="41"/>
      <c r="NIX125" s="41"/>
      <c r="NIY125" s="41"/>
      <c r="NIZ125" s="41"/>
      <c r="NJA125" s="41"/>
      <c r="NJB125" s="41"/>
      <c r="NJC125" s="41"/>
      <c r="NJD125" s="41"/>
      <c r="NJE125" s="41"/>
      <c r="NJF125" s="41"/>
      <c r="NJG125" s="41"/>
      <c r="NJH125" s="41"/>
      <c r="NJI125" s="41"/>
      <c r="NJJ125" s="41"/>
      <c r="NJK125" s="41"/>
      <c r="NJL125" s="41"/>
      <c r="NJM125" s="41"/>
      <c r="NJN125" s="41"/>
      <c r="NJO125" s="41"/>
      <c r="NJP125" s="41"/>
      <c r="NJQ125" s="41"/>
      <c r="NJR125" s="41"/>
      <c r="NJS125" s="41"/>
      <c r="NJT125" s="41"/>
      <c r="NJU125" s="41"/>
      <c r="NJV125" s="41"/>
      <c r="NJW125" s="41"/>
      <c r="NJX125" s="41"/>
      <c r="NJY125" s="41"/>
      <c r="NJZ125" s="41"/>
      <c r="NKA125" s="41"/>
      <c r="NKB125" s="41"/>
      <c r="NKC125" s="41"/>
      <c r="NKD125" s="41"/>
      <c r="NKE125" s="41"/>
      <c r="NKF125" s="41"/>
      <c r="NKG125" s="41"/>
      <c r="NKH125" s="41"/>
      <c r="NKI125" s="41"/>
      <c r="NKJ125" s="41"/>
      <c r="NKK125" s="41"/>
      <c r="NKL125" s="41"/>
      <c r="NKM125" s="41"/>
      <c r="NKN125" s="41"/>
      <c r="NKO125" s="41"/>
      <c r="NKP125" s="41"/>
      <c r="NKQ125" s="41"/>
      <c r="NKR125" s="41"/>
      <c r="NKS125" s="41"/>
      <c r="NKT125" s="41"/>
      <c r="NKU125" s="41"/>
      <c r="NKV125" s="41"/>
      <c r="NKW125" s="41"/>
      <c r="NKX125" s="41"/>
      <c r="NKY125" s="41"/>
      <c r="NKZ125" s="41"/>
      <c r="NLA125" s="41"/>
      <c r="NLB125" s="41"/>
      <c r="NLC125" s="41"/>
      <c r="NLD125" s="41"/>
      <c r="NLE125" s="41"/>
      <c r="NLF125" s="41"/>
      <c r="NLG125" s="41"/>
      <c r="NLH125" s="41"/>
      <c r="NLI125" s="41"/>
      <c r="NLJ125" s="41"/>
      <c r="NLK125" s="41"/>
      <c r="NLL125" s="41"/>
      <c r="NLM125" s="41"/>
      <c r="NLN125" s="41"/>
      <c r="NLO125" s="41"/>
      <c r="NLP125" s="41"/>
      <c r="NLQ125" s="41"/>
      <c r="NLR125" s="41"/>
      <c r="NLS125" s="41"/>
      <c r="NLT125" s="41"/>
      <c r="NLU125" s="41"/>
      <c r="NLV125" s="41"/>
      <c r="NLW125" s="41"/>
      <c r="NLX125" s="41"/>
      <c r="NLY125" s="41"/>
      <c r="NLZ125" s="41"/>
      <c r="NMA125" s="41"/>
      <c r="NMB125" s="41"/>
      <c r="NMC125" s="41"/>
      <c r="NMD125" s="41"/>
      <c r="NME125" s="41"/>
      <c r="NMF125" s="41"/>
      <c r="NMG125" s="41"/>
      <c r="NMH125" s="41"/>
      <c r="NMI125" s="41"/>
      <c r="NMJ125" s="41"/>
      <c r="NMK125" s="41"/>
      <c r="NML125" s="41"/>
      <c r="NMM125" s="41"/>
      <c r="NMN125" s="41"/>
      <c r="NMO125" s="41"/>
      <c r="NMP125" s="41"/>
      <c r="NMQ125" s="41"/>
      <c r="NMR125" s="41"/>
      <c r="NMS125" s="41"/>
      <c r="NMT125" s="41"/>
      <c r="NMU125" s="41"/>
      <c r="NMV125" s="41"/>
      <c r="NMW125" s="41"/>
      <c r="NMX125" s="41"/>
      <c r="NMY125" s="41"/>
      <c r="NMZ125" s="41"/>
      <c r="NNA125" s="41"/>
      <c r="NNB125" s="41"/>
      <c r="NNC125" s="41"/>
      <c r="NND125" s="41"/>
      <c r="NNE125" s="41"/>
      <c r="NNF125" s="41"/>
      <c r="NNG125" s="41"/>
      <c r="NNH125" s="41"/>
      <c r="NNI125" s="41"/>
      <c r="NNJ125" s="41"/>
      <c r="NNK125" s="41"/>
      <c r="NNL125" s="41"/>
      <c r="NNM125" s="41"/>
      <c r="NNN125" s="41"/>
      <c r="NNO125" s="41"/>
      <c r="NNP125" s="41"/>
      <c r="NNQ125" s="41"/>
      <c r="NNR125" s="41"/>
      <c r="NNS125" s="41"/>
      <c r="NNT125" s="41"/>
      <c r="NNU125" s="41"/>
      <c r="NNV125" s="41"/>
      <c r="NNW125" s="41"/>
      <c r="NNX125" s="41"/>
      <c r="NNY125" s="41"/>
      <c r="NNZ125" s="41"/>
      <c r="NOA125" s="41"/>
      <c r="NOB125" s="41"/>
      <c r="NOC125" s="41"/>
      <c r="NOD125" s="41"/>
      <c r="NOE125" s="41"/>
      <c r="NOF125" s="41"/>
      <c r="NOG125" s="41"/>
      <c r="NOH125" s="41"/>
      <c r="NOI125" s="41"/>
      <c r="NOJ125" s="41"/>
      <c r="NOK125" s="41"/>
      <c r="NOL125" s="41"/>
      <c r="NOM125" s="41"/>
      <c r="NON125" s="41"/>
      <c r="NOO125" s="41"/>
      <c r="NOP125" s="41"/>
      <c r="NOQ125" s="41"/>
      <c r="NOR125" s="41"/>
      <c r="NOS125" s="41"/>
      <c r="NOT125" s="41"/>
      <c r="NOU125" s="41"/>
      <c r="NOV125" s="41"/>
      <c r="NOW125" s="41"/>
      <c r="NOX125" s="41"/>
      <c r="NOY125" s="41"/>
      <c r="NOZ125" s="41"/>
      <c r="NPA125" s="41"/>
      <c r="NPB125" s="41"/>
      <c r="NPC125" s="41"/>
      <c r="NPD125" s="41"/>
      <c r="NPE125" s="41"/>
      <c r="NPF125" s="41"/>
      <c r="NPG125" s="41"/>
      <c r="NPH125" s="41"/>
      <c r="NPI125" s="41"/>
      <c r="NPJ125" s="41"/>
      <c r="NPK125" s="41"/>
      <c r="NPL125" s="41"/>
      <c r="NPM125" s="41"/>
      <c r="NPN125" s="41"/>
      <c r="NPO125" s="41"/>
      <c r="NPP125" s="41"/>
      <c r="NPQ125" s="41"/>
      <c r="NPR125" s="41"/>
      <c r="NPS125" s="41"/>
      <c r="NPT125" s="41"/>
      <c r="NPU125" s="41"/>
      <c r="NPV125" s="41"/>
      <c r="NPW125" s="41"/>
      <c r="NPX125" s="41"/>
      <c r="NPY125" s="41"/>
      <c r="NPZ125" s="41"/>
      <c r="NQA125" s="41"/>
      <c r="NQB125" s="41"/>
      <c r="NQC125" s="41"/>
      <c r="NQD125" s="41"/>
      <c r="NQE125" s="41"/>
      <c r="NQF125" s="41"/>
      <c r="NQG125" s="41"/>
      <c r="NQH125" s="41"/>
      <c r="NQI125" s="41"/>
      <c r="NQJ125" s="41"/>
      <c r="NQK125" s="41"/>
      <c r="NQL125" s="41"/>
      <c r="NQM125" s="41"/>
      <c r="NQN125" s="41"/>
      <c r="NQO125" s="41"/>
      <c r="NQP125" s="41"/>
      <c r="NQQ125" s="41"/>
      <c r="NQR125" s="41"/>
      <c r="NQS125" s="41"/>
      <c r="NQT125" s="41"/>
      <c r="NQU125" s="41"/>
      <c r="NQV125" s="41"/>
      <c r="NQW125" s="41"/>
      <c r="NQX125" s="41"/>
      <c r="NQY125" s="41"/>
      <c r="NQZ125" s="41"/>
      <c r="NRA125" s="41"/>
      <c r="NRB125" s="41"/>
      <c r="NRC125" s="41"/>
      <c r="NRD125" s="41"/>
      <c r="NRE125" s="41"/>
      <c r="NRF125" s="41"/>
      <c r="NRG125" s="41"/>
      <c r="NRH125" s="41"/>
      <c r="NRI125" s="41"/>
      <c r="NRJ125" s="41"/>
      <c r="NRK125" s="41"/>
      <c r="NRL125" s="41"/>
      <c r="NRM125" s="41"/>
      <c r="NRN125" s="41"/>
      <c r="NRO125" s="41"/>
      <c r="NRP125" s="41"/>
      <c r="NRQ125" s="41"/>
      <c r="NRR125" s="41"/>
      <c r="NRS125" s="41"/>
      <c r="NRT125" s="41"/>
      <c r="NRU125" s="41"/>
      <c r="NRV125" s="41"/>
      <c r="NRW125" s="41"/>
      <c r="NRX125" s="41"/>
      <c r="NRY125" s="41"/>
      <c r="NRZ125" s="41"/>
      <c r="NSA125" s="41"/>
      <c r="NSB125" s="41"/>
      <c r="NSC125" s="41"/>
      <c r="NSD125" s="41"/>
      <c r="NSE125" s="41"/>
      <c r="NSF125" s="41"/>
      <c r="NSG125" s="41"/>
      <c r="NSH125" s="41"/>
      <c r="NSI125" s="41"/>
      <c r="NSJ125" s="41"/>
      <c r="NSK125" s="41"/>
      <c r="NSL125" s="41"/>
      <c r="NSM125" s="41"/>
      <c r="NSN125" s="41"/>
      <c r="NSO125" s="41"/>
      <c r="NSP125" s="41"/>
      <c r="NSQ125" s="41"/>
      <c r="NSR125" s="41"/>
      <c r="NSS125" s="41"/>
      <c r="NST125" s="41"/>
      <c r="NSU125" s="41"/>
      <c r="NSV125" s="41"/>
      <c r="NSW125" s="41"/>
      <c r="NSX125" s="41"/>
      <c r="NSY125" s="41"/>
      <c r="NSZ125" s="41"/>
      <c r="NTA125" s="41"/>
      <c r="NTB125" s="41"/>
      <c r="NTC125" s="41"/>
      <c r="NTD125" s="41"/>
      <c r="NTE125" s="41"/>
      <c r="NTF125" s="41"/>
      <c r="NTG125" s="41"/>
      <c r="NTH125" s="41"/>
      <c r="NTI125" s="41"/>
      <c r="NTJ125" s="41"/>
      <c r="NTK125" s="41"/>
      <c r="NTL125" s="41"/>
      <c r="NTM125" s="41"/>
      <c r="NTN125" s="41"/>
      <c r="NTO125" s="41"/>
      <c r="NTP125" s="41"/>
      <c r="NTQ125" s="41"/>
      <c r="NTR125" s="41"/>
      <c r="NTS125" s="41"/>
      <c r="NTT125" s="41"/>
      <c r="NTU125" s="41"/>
      <c r="NTV125" s="41"/>
      <c r="NTW125" s="41"/>
      <c r="NTX125" s="41"/>
      <c r="NTY125" s="41"/>
      <c r="NTZ125" s="41"/>
      <c r="NUA125" s="41"/>
      <c r="NUB125" s="41"/>
      <c r="NUC125" s="41"/>
      <c r="NUD125" s="41"/>
      <c r="NUE125" s="41"/>
      <c r="NUF125" s="41"/>
      <c r="NUG125" s="41"/>
      <c r="NUH125" s="41"/>
      <c r="NUI125" s="41"/>
      <c r="NUJ125" s="41"/>
      <c r="NUK125" s="41"/>
      <c r="NUL125" s="41"/>
      <c r="NUM125" s="41"/>
      <c r="NUN125" s="41"/>
      <c r="NUO125" s="41"/>
      <c r="NUP125" s="41"/>
      <c r="NUQ125" s="41"/>
      <c r="NUR125" s="41"/>
      <c r="NUS125" s="41"/>
      <c r="NUT125" s="41"/>
      <c r="NUU125" s="41"/>
      <c r="NUV125" s="41"/>
      <c r="NUW125" s="41"/>
      <c r="NUX125" s="41"/>
      <c r="NUY125" s="41"/>
      <c r="NUZ125" s="41"/>
      <c r="NVA125" s="41"/>
      <c r="NVB125" s="41"/>
      <c r="NVC125" s="41"/>
      <c r="NVD125" s="41"/>
      <c r="NVE125" s="41"/>
      <c r="NVF125" s="41"/>
      <c r="NVG125" s="41"/>
      <c r="NVH125" s="41"/>
      <c r="NVI125" s="41"/>
      <c r="NVJ125" s="41"/>
      <c r="NVK125" s="41"/>
      <c r="NVL125" s="41"/>
      <c r="NVM125" s="41"/>
      <c r="NVN125" s="41"/>
      <c r="NVO125" s="41"/>
      <c r="NVP125" s="41"/>
      <c r="NVQ125" s="41"/>
      <c r="NVR125" s="41"/>
      <c r="NVS125" s="41"/>
      <c r="NVT125" s="41"/>
      <c r="NVU125" s="41"/>
      <c r="NVV125" s="41"/>
      <c r="NVW125" s="41"/>
      <c r="NVX125" s="41"/>
      <c r="NVY125" s="41"/>
      <c r="NVZ125" s="41"/>
      <c r="NWA125" s="41"/>
      <c r="NWB125" s="41"/>
      <c r="NWC125" s="41"/>
      <c r="NWD125" s="41"/>
      <c r="NWE125" s="41"/>
      <c r="NWF125" s="41"/>
      <c r="NWG125" s="41"/>
      <c r="NWH125" s="41"/>
      <c r="NWI125" s="41"/>
      <c r="NWJ125" s="41"/>
      <c r="NWK125" s="41"/>
      <c r="NWL125" s="41"/>
      <c r="NWM125" s="41"/>
      <c r="NWN125" s="41"/>
      <c r="NWO125" s="41"/>
      <c r="NWP125" s="41"/>
      <c r="NWQ125" s="41"/>
      <c r="NWR125" s="41"/>
      <c r="NWS125" s="41"/>
      <c r="NWT125" s="41"/>
      <c r="NWU125" s="41"/>
      <c r="NWV125" s="41"/>
      <c r="NWW125" s="41"/>
      <c r="NWX125" s="41"/>
      <c r="NWY125" s="41"/>
      <c r="NWZ125" s="41"/>
      <c r="NXA125" s="41"/>
      <c r="NXB125" s="41"/>
      <c r="NXC125" s="41"/>
      <c r="NXD125" s="41"/>
      <c r="NXE125" s="41"/>
      <c r="NXF125" s="41"/>
      <c r="NXG125" s="41"/>
      <c r="NXH125" s="41"/>
      <c r="NXI125" s="41"/>
      <c r="NXJ125" s="41"/>
      <c r="NXK125" s="41"/>
      <c r="NXL125" s="41"/>
      <c r="NXM125" s="41"/>
      <c r="NXN125" s="41"/>
      <c r="NXO125" s="41"/>
      <c r="NXP125" s="41"/>
      <c r="NXQ125" s="41"/>
      <c r="NXR125" s="41"/>
      <c r="NXS125" s="41"/>
      <c r="NXT125" s="41"/>
      <c r="NXU125" s="41"/>
      <c r="NXV125" s="41"/>
      <c r="NXW125" s="41"/>
      <c r="NXX125" s="41"/>
      <c r="NXY125" s="41"/>
      <c r="NXZ125" s="41"/>
      <c r="NYA125" s="41"/>
      <c r="NYB125" s="41"/>
      <c r="NYC125" s="41"/>
      <c r="NYD125" s="41"/>
      <c r="NYE125" s="41"/>
      <c r="NYF125" s="41"/>
      <c r="NYG125" s="41"/>
      <c r="NYH125" s="41"/>
      <c r="NYI125" s="41"/>
      <c r="NYJ125" s="41"/>
      <c r="NYK125" s="41"/>
      <c r="NYL125" s="41"/>
      <c r="NYM125" s="41"/>
      <c r="NYN125" s="41"/>
      <c r="NYO125" s="41"/>
      <c r="NYP125" s="41"/>
      <c r="NYQ125" s="41"/>
      <c r="NYR125" s="41"/>
      <c r="NYS125" s="41"/>
      <c r="NYT125" s="41"/>
      <c r="NYU125" s="41"/>
      <c r="NYV125" s="41"/>
      <c r="NYW125" s="41"/>
      <c r="NYX125" s="41"/>
      <c r="NYY125" s="41"/>
      <c r="NYZ125" s="41"/>
      <c r="NZA125" s="41"/>
      <c r="NZB125" s="41"/>
      <c r="NZC125" s="41"/>
      <c r="NZD125" s="41"/>
      <c r="NZE125" s="41"/>
      <c r="NZF125" s="41"/>
      <c r="NZG125" s="41"/>
      <c r="NZH125" s="41"/>
      <c r="NZI125" s="41"/>
      <c r="NZJ125" s="41"/>
      <c r="NZK125" s="41"/>
      <c r="NZL125" s="41"/>
      <c r="NZM125" s="41"/>
      <c r="NZN125" s="41"/>
      <c r="NZO125" s="41"/>
      <c r="NZP125" s="41"/>
      <c r="NZQ125" s="41"/>
      <c r="NZR125" s="41"/>
      <c r="NZS125" s="41"/>
      <c r="NZT125" s="41"/>
      <c r="NZU125" s="41"/>
      <c r="NZV125" s="41"/>
      <c r="NZW125" s="41"/>
      <c r="NZX125" s="41"/>
      <c r="NZY125" s="41"/>
      <c r="NZZ125" s="41"/>
      <c r="OAA125" s="41"/>
      <c r="OAB125" s="41"/>
      <c r="OAC125" s="41"/>
      <c r="OAD125" s="41"/>
      <c r="OAE125" s="41"/>
      <c r="OAF125" s="41"/>
      <c r="OAG125" s="41"/>
      <c r="OAH125" s="41"/>
      <c r="OAI125" s="41"/>
      <c r="OAJ125" s="41"/>
      <c r="OAK125" s="41"/>
      <c r="OAL125" s="41"/>
      <c r="OAM125" s="41"/>
      <c r="OAN125" s="41"/>
      <c r="OAO125" s="41"/>
      <c r="OAP125" s="41"/>
      <c r="OAQ125" s="41"/>
      <c r="OAR125" s="41"/>
      <c r="OAS125" s="41"/>
      <c r="OAT125" s="41"/>
      <c r="OAU125" s="41"/>
      <c r="OAV125" s="41"/>
      <c r="OAW125" s="41"/>
      <c r="OAX125" s="41"/>
      <c r="OAY125" s="41"/>
      <c r="OAZ125" s="41"/>
      <c r="OBA125" s="41"/>
      <c r="OBB125" s="41"/>
      <c r="OBC125" s="41"/>
      <c r="OBD125" s="41"/>
      <c r="OBE125" s="41"/>
      <c r="OBF125" s="41"/>
      <c r="OBG125" s="41"/>
      <c r="OBH125" s="41"/>
      <c r="OBI125" s="41"/>
      <c r="OBJ125" s="41"/>
      <c r="OBK125" s="41"/>
      <c r="OBL125" s="41"/>
      <c r="OBM125" s="41"/>
      <c r="OBN125" s="41"/>
      <c r="OBO125" s="41"/>
      <c r="OBP125" s="41"/>
      <c r="OBQ125" s="41"/>
      <c r="OBR125" s="41"/>
      <c r="OBS125" s="41"/>
      <c r="OBT125" s="41"/>
      <c r="OBU125" s="41"/>
      <c r="OBV125" s="41"/>
      <c r="OBW125" s="41"/>
      <c r="OBX125" s="41"/>
      <c r="OBY125" s="41"/>
      <c r="OBZ125" s="41"/>
      <c r="OCA125" s="41"/>
      <c r="OCB125" s="41"/>
      <c r="OCC125" s="41"/>
      <c r="OCD125" s="41"/>
      <c r="OCE125" s="41"/>
      <c r="OCF125" s="41"/>
      <c r="OCG125" s="41"/>
      <c r="OCH125" s="41"/>
      <c r="OCI125" s="41"/>
      <c r="OCJ125" s="41"/>
      <c r="OCK125" s="41"/>
      <c r="OCL125" s="41"/>
      <c r="OCM125" s="41"/>
      <c r="OCN125" s="41"/>
      <c r="OCO125" s="41"/>
      <c r="OCP125" s="41"/>
      <c r="OCQ125" s="41"/>
      <c r="OCR125" s="41"/>
      <c r="OCS125" s="41"/>
      <c r="OCT125" s="41"/>
      <c r="OCU125" s="41"/>
      <c r="OCV125" s="41"/>
      <c r="OCW125" s="41"/>
      <c r="OCX125" s="41"/>
      <c r="OCY125" s="41"/>
      <c r="OCZ125" s="41"/>
      <c r="ODA125" s="41"/>
      <c r="ODB125" s="41"/>
      <c r="ODC125" s="41"/>
      <c r="ODD125" s="41"/>
      <c r="ODE125" s="41"/>
      <c r="ODF125" s="41"/>
      <c r="ODG125" s="41"/>
      <c r="ODH125" s="41"/>
      <c r="ODI125" s="41"/>
      <c r="ODJ125" s="41"/>
      <c r="ODK125" s="41"/>
      <c r="ODL125" s="41"/>
      <c r="ODM125" s="41"/>
      <c r="ODN125" s="41"/>
      <c r="ODO125" s="41"/>
      <c r="ODP125" s="41"/>
      <c r="ODQ125" s="41"/>
      <c r="ODR125" s="41"/>
      <c r="ODS125" s="41"/>
      <c r="ODT125" s="41"/>
      <c r="ODU125" s="41"/>
      <c r="ODV125" s="41"/>
      <c r="ODW125" s="41"/>
      <c r="ODX125" s="41"/>
      <c r="ODY125" s="41"/>
      <c r="ODZ125" s="41"/>
      <c r="OEA125" s="41"/>
      <c r="OEB125" s="41"/>
      <c r="OEC125" s="41"/>
      <c r="OED125" s="41"/>
      <c r="OEE125" s="41"/>
      <c r="OEF125" s="41"/>
      <c r="OEG125" s="41"/>
      <c r="OEH125" s="41"/>
      <c r="OEI125" s="41"/>
      <c r="OEJ125" s="41"/>
      <c r="OEK125" s="41"/>
      <c r="OEL125" s="41"/>
      <c r="OEM125" s="41"/>
      <c r="OEN125" s="41"/>
      <c r="OEO125" s="41"/>
      <c r="OEP125" s="41"/>
      <c r="OEQ125" s="41"/>
      <c r="OER125" s="41"/>
      <c r="OES125" s="41"/>
      <c r="OET125" s="41"/>
      <c r="OEU125" s="41"/>
      <c r="OEV125" s="41"/>
      <c r="OEW125" s="41"/>
      <c r="OEX125" s="41"/>
      <c r="OEY125" s="41"/>
      <c r="OEZ125" s="41"/>
      <c r="OFA125" s="41"/>
      <c r="OFB125" s="41"/>
      <c r="OFC125" s="41"/>
      <c r="OFD125" s="41"/>
      <c r="OFE125" s="41"/>
      <c r="OFF125" s="41"/>
      <c r="OFG125" s="41"/>
      <c r="OFH125" s="41"/>
      <c r="OFI125" s="41"/>
      <c r="OFJ125" s="41"/>
      <c r="OFK125" s="41"/>
      <c r="OFL125" s="41"/>
      <c r="OFM125" s="41"/>
      <c r="OFN125" s="41"/>
      <c r="OFO125" s="41"/>
      <c r="OFP125" s="41"/>
      <c r="OFQ125" s="41"/>
      <c r="OFR125" s="41"/>
      <c r="OFS125" s="41"/>
      <c r="OFT125" s="41"/>
      <c r="OFU125" s="41"/>
      <c r="OFV125" s="41"/>
      <c r="OFW125" s="41"/>
      <c r="OFX125" s="41"/>
      <c r="OFY125" s="41"/>
      <c r="OFZ125" s="41"/>
      <c r="OGA125" s="41"/>
      <c r="OGB125" s="41"/>
      <c r="OGC125" s="41"/>
      <c r="OGD125" s="41"/>
      <c r="OGE125" s="41"/>
      <c r="OGF125" s="41"/>
      <c r="OGG125" s="41"/>
      <c r="OGH125" s="41"/>
      <c r="OGI125" s="41"/>
      <c r="OGJ125" s="41"/>
      <c r="OGK125" s="41"/>
      <c r="OGL125" s="41"/>
      <c r="OGM125" s="41"/>
      <c r="OGN125" s="41"/>
      <c r="OGO125" s="41"/>
      <c r="OGP125" s="41"/>
      <c r="OGQ125" s="41"/>
      <c r="OGR125" s="41"/>
      <c r="OGS125" s="41"/>
      <c r="OGT125" s="41"/>
      <c r="OGU125" s="41"/>
      <c r="OGV125" s="41"/>
      <c r="OGW125" s="41"/>
      <c r="OGX125" s="41"/>
      <c r="OGY125" s="41"/>
      <c r="OGZ125" s="41"/>
      <c r="OHA125" s="41"/>
      <c r="OHB125" s="41"/>
      <c r="OHC125" s="41"/>
      <c r="OHD125" s="41"/>
      <c r="OHE125" s="41"/>
      <c r="OHF125" s="41"/>
      <c r="OHG125" s="41"/>
      <c r="OHH125" s="41"/>
      <c r="OHI125" s="41"/>
      <c r="OHJ125" s="41"/>
      <c r="OHK125" s="41"/>
      <c r="OHL125" s="41"/>
      <c r="OHM125" s="41"/>
      <c r="OHN125" s="41"/>
      <c r="OHO125" s="41"/>
      <c r="OHP125" s="41"/>
      <c r="OHQ125" s="41"/>
      <c r="OHR125" s="41"/>
      <c r="OHS125" s="41"/>
      <c r="OHT125" s="41"/>
      <c r="OHU125" s="41"/>
      <c r="OHV125" s="41"/>
      <c r="OHW125" s="41"/>
      <c r="OHX125" s="41"/>
      <c r="OHY125" s="41"/>
      <c r="OHZ125" s="41"/>
      <c r="OIA125" s="41"/>
      <c r="OIB125" s="41"/>
      <c r="OIC125" s="41"/>
      <c r="OID125" s="41"/>
      <c r="OIE125" s="41"/>
      <c r="OIF125" s="41"/>
      <c r="OIG125" s="41"/>
      <c r="OIH125" s="41"/>
      <c r="OII125" s="41"/>
      <c r="OIJ125" s="41"/>
      <c r="OIK125" s="41"/>
      <c r="OIL125" s="41"/>
      <c r="OIM125" s="41"/>
      <c r="OIN125" s="41"/>
      <c r="OIO125" s="41"/>
      <c r="OIP125" s="41"/>
      <c r="OIQ125" s="41"/>
      <c r="OIR125" s="41"/>
      <c r="OIS125" s="41"/>
      <c r="OIT125" s="41"/>
      <c r="OIU125" s="41"/>
      <c r="OIV125" s="41"/>
      <c r="OIW125" s="41"/>
      <c r="OIX125" s="41"/>
      <c r="OIY125" s="41"/>
      <c r="OIZ125" s="41"/>
      <c r="OJA125" s="41"/>
      <c r="OJB125" s="41"/>
      <c r="OJC125" s="41"/>
      <c r="OJD125" s="41"/>
      <c r="OJE125" s="41"/>
      <c r="OJF125" s="41"/>
      <c r="OJG125" s="41"/>
      <c r="OJH125" s="41"/>
      <c r="OJI125" s="41"/>
      <c r="OJJ125" s="41"/>
      <c r="OJK125" s="41"/>
      <c r="OJL125" s="41"/>
      <c r="OJM125" s="41"/>
      <c r="OJN125" s="41"/>
      <c r="OJO125" s="41"/>
      <c r="OJP125" s="41"/>
      <c r="OJQ125" s="41"/>
      <c r="OJR125" s="41"/>
      <c r="OJS125" s="41"/>
      <c r="OJT125" s="41"/>
      <c r="OJU125" s="41"/>
      <c r="OJV125" s="41"/>
      <c r="OJW125" s="41"/>
      <c r="OJX125" s="41"/>
      <c r="OJY125" s="41"/>
      <c r="OJZ125" s="41"/>
      <c r="OKA125" s="41"/>
      <c r="OKB125" s="41"/>
      <c r="OKC125" s="41"/>
      <c r="OKD125" s="41"/>
      <c r="OKE125" s="41"/>
      <c r="OKF125" s="41"/>
      <c r="OKG125" s="41"/>
      <c r="OKH125" s="41"/>
      <c r="OKI125" s="41"/>
      <c r="OKJ125" s="41"/>
      <c r="OKK125" s="41"/>
      <c r="OKL125" s="41"/>
      <c r="OKM125" s="41"/>
      <c r="OKN125" s="41"/>
      <c r="OKO125" s="41"/>
      <c r="OKP125" s="41"/>
      <c r="OKQ125" s="41"/>
      <c r="OKR125" s="41"/>
      <c r="OKS125" s="41"/>
      <c r="OKT125" s="41"/>
      <c r="OKU125" s="41"/>
      <c r="OKV125" s="41"/>
      <c r="OKW125" s="41"/>
      <c r="OKX125" s="41"/>
      <c r="OKY125" s="41"/>
      <c r="OKZ125" s="41"/>
      <c r="OLA125" s="41"/>
      <c r="OLB125" s="41"/>
      <c r="OLC125" s="41"/>
      <c r="OLD125" s="41"/>
      <c r="OLE125" s="41"/>
      <c r="OLF125" s="41"/>
      <c r="OLG125" s="41"/>
      <c r="OLH125" s="41"/>
      <c r="OLI125" s="41"/>
      <c r="OLJ125" s="41"/>
      <c r="OLK125" s="41"/>
      <c r="OLL125" s="41"/>
      <c r="OLM125" s="41"/>
      <c r="OLN125" s="41"/>
      <c r="OLO125" s="41"/>
      <c r="OLP125" s="41"/>
      <c r="OLQ125" s="41"/>
      <c r="OLR125" s="41"/>
      <c r="OLS125" s="41"/>
      <c r="OLT125" s="41"/>
      <c r="OLU125" s="41"/>
      <c r="OLV125" s="41"/>
      <c r="OLW125" s="41"/>
      <c r="OLX125" s="41"/>
      <c r="OLY125" s="41"/>
      <c r="OLZ125" s="41"/>
      <c r="OMA125" s="41"/>
      <c r="OMB125" s="41"/>
      <c r="OMC125" s="41"/>
      <c r="OMD125" s="41"/>
      <c r="OME125" s="41"/>
      <c r="OMF125" s="41"/>
      <c r="OMG125" s="41"/>
      <c r="OMH125" s="41"/>
      <c r="OMI125" s="41"/>
      <c r="OMJ125" s="41"/>
      <c r="OMK125" s="41"/>
      <c r="OML125" s="41"/>
      <c r="OMM125" s="41"/>
      <c r="OMN125" s="41"/>
      <c r="OMO125" s="41"/>
      <c r="OMP125" s="41"/>
      <c r="OMQ125" s="41"/>
      <c r="OMR125" s="41"/>
      <c r="OMS125" s="41"/>
      <c r="OMT125" s="41"/>
      <c r="OMU125" s="41"/>
      <c r="OMV125" s="41"/>
      <c r="OMW125" s="41"/>
      <c r="OMX125" s="41"/>
      <c r="OMY125" s="41"/>
      <c r="OMZ125" s="41"/>
      <c r="ONA125" s="41"/>
      <c r="ONB125" s="41"/>
      <c r="ONC125" s="41"/>
      <c r="OND125" s="41"/>
      <c r="ONE125" s="41"/>
      <c r="ONF125" s="41"/>
      <c r="ONG125" s="41"/>
      <c r="ONH125" s="41"/>
      <c r="ONI125" s="41"/>
      <c r="ONJ125" s="41"/>
      <c r="ONK125" s="41"/>
      <c r="ONL125" s="41"/>
      <c r="ONM125" s="41"/>
      <c r="ONN125" s="41"/>
      <c r="ONO125" s="41"/>
      <c r="ONP125" s="41"/>
      <c r="ONQ125" s="41"/>
      <c r="ONR125" s="41"/>
      <c r="ONS125" s="41"/>
      <c r="ONT125" s="41"/>
      <c r="ONU125" s="41"/>
      <c r="ONV125" s="41"/>
      <c r="ONW125" s="41"/>
      <c r="ONX125" s="41"/>
      <c r="ONY125" s="41"/>
      <c r="ONZ125" s="41"/>
      <c r="OOA125" s="41"/>
      <c r="OOB125" s="41"/>
      <c r="OOC125" s="41"/>
      <c r="OOD125" s="41"/>
      <c r="OOE125" s="41"/>
      <c r="OOF125" s="41"/>
      <c r="OOG125" s="41"/>
      <c r="OOH125" s="41"/>
      <c r="OOI125" s="41"/>
      <c r="OOJ125" s="41"/>
      <c r="OOK125" s="41"/>
      <c r="OOL125" s="41"/>
      <c r="OOM125" s="41"/>
      <c r="OON125" s="41"/>
      <c r="OOO125" s="41"/>
      <c r="OOP125" s="41"/>
      <c r="OOQ125" s="41"/>
      <c r="OOR125" s="41"/>
      <c r="OOS125" s="41"/>
      <c r="OOT125" s="41"/>
      <c r="OOU125" s="41"/>
      <c r="OOV125" s="41"/>
      <c r="OOW125" s="41"/>
      <c r="OOX125" s="41"/>
      <c r="OOY125" s="41"/>
      <c r="OOZ125" s="41"/>
      <c r="OPA125" s="41"/>
      <c r="OPB125" s="41"/>
      <c r="OPC125" s="41"/>
      <c r="OPD125" s="41"/>
      <c r="OPE125" s="41"/>
      <c r="OPF125" s="41"/>
      <c r="OPG125" s="41"/>
      <c r="OPH125" s="41"/>
      <c r="OPI125" s="41"/>
      <c r="OPJ125" s="41"/>
      <c r="OPK125" s="41"/>
      <c r="OPL125" s="41"/>
      <c r="OPM125" s="41"/>
      <c r="OPN125" s="41"/>
      <c r="OPO125" s="41"/>
      <c r="OPP125" s="41"/>
      <c r="OPQ125" s="41"/>
      <c r="OPR125" s="41"/>
      <c r="OPS125" s="41"/>
      <c r="OPT125" s="41"/>
      <c r="OPU125" s="41"/>
      <c r="OPV125" s="41"/>
      <c r="OPW125" s="41"/>
      <c r="OPX125" s="41"/>
      <c r="OPY125" s="41"/>
      <c r="OPZ125" s="41"/>
      <c r="OQA125" s="41"/>
      <c r="OQB125" s="41"/>
      <c r="OQC125" s="41"/>
      <c r="OQD125" s="41"/>
      <c r="OQE125" s="41"/>
      <c r="OQF125" s="41"/>
      <c r="OQG125" s="41"/>
      <c r="OQH125" s="41"/>
      <c r="OQI125" s="41"/>
      <c r="OQJ125" s="41"/>
      <c r="OQK125" s="41"/>
      <c r="OQL125" s="41"/>
      <c r="OQM125" s="41"/>
      <c r="OQN125" s="41"/>
      <c r="OQO125" s="41"/>
      <c r="OQP125" s="41"/>
      <c r="OQQ125" s="41"/>
      <c r="OQR125" s="41"/>
      <c r="OQS125" s="41"/>
      <c r="OQT125" s="41"/>
      <c r="OQU125" s="41"/>
      <c r="OQV125" s="41"/>
      <c r="OQW125" s="41"/>
      <c r="OQX125" s="41"/>
      <c r="OQY125" s="41"/>
      <c r="OQZ125" s="41"/>
      <c r="ORA125" s="41"/>
      <c r="ORB125" s="41"/>
      <c r="ORC125" s="41"/>
      <c r="ORD125" s="41"/>
      <c r="ORE125" s="41"/>
      <c r="ORF125" s="41"/>
      <c r="ORG125" s="41"/>
      <c r="ORH125" s="41"/>
      <c r="ORI125" s="41"/>
      <c r="ORJ125" s="41"/>
      <c r="ORK125" s="41"/>
      <c r="ORL125" s="41"/>
      <c r="ORM125" s="41"/>
      <c r="ORN125" s="41"/>
      <c r="ORO125" s="41"/>
      <c r="ORP125" s="41"/>
      <c r="ORQ125" s="41"/>
      <c r="ORR125" s="41"/>
      <c r="ORS125" s="41"/>
      <c r="ORT125" s="41"/>
      <c r="ORU125" s="41"/>
      <c r="ORV125" s="41"/>
      <c r="ORW125" s="41"/>
      <c r="ORX125" s="41"/>
      <c r="ORY125" s="41"/>
      <c r="ORZ125" s="41"/>
      <c r="OSA125" s="41"/>
      <c r="OSB125" s="41"/>
      <c r="OSC125" s="41"/>
      <c r="OSD125" s="41"/>
      <c r="OSE125" s="41"/>
      <c r="OSF125" s="41"/>
      <c r="OSG125" s="41"/>
      <c r="OSH125" s="41"/>
      <c r="OSI125" s="41"/>
      <c r="OSJ125" s="41"/>
      <c r="OSK125" s="41"/>
      <c r="OSL125" s="41"/>
      <c r="OSM125" s="41"/>
      <c r="OSN125" s="41"/>
      <c r="OSO125" s="41"/>
      <c r="OSP125" s="41"/>
      <c r="OSQ125" s="41"/>
      <c r="OSR125" s="41"/>
      <c r="OSS125" s="41"/>
      <c r="OST125" s="41"/>
      <c r="OSU125" s="41"/>
      <c r="OSV125" s="41"/>
      <c r="OSW125" s="41"/>
      <c r="OSX125" s="41"/>
      <c r="OSY125" s="41"/>
      <c r="OSZ125" s="41"/>
      <c r="OTA125" s="41"/>
      <c r="OTB125" s="41"/>
      <c r="OTC125" s="41"/>
      <c r="OTD125" s="41"/>
      <c r="OTE125" s="41"/>
      <c r="OTF125" s="41"/>
      <c r="OTG125" s="41"/>
      <c r="OTH125" s="41"/>
      <c r="OTI125" s="41"/>
      <c r="OTJ125" s="41"/>
      <c r="OTK125" s="41"/>
      <c r="OTL125" s="41"/>
      <c r="OTM125" s="41"/>
      <c r="OTN125" s="41"/>
      <c r="OTO125" s="41"/>
      <c r="OTP125" s="41"/>
      <c r="OTQ125" s="41"/>
      <c r="OTR125" s="41"/>
      <c r="OTS125" s="41"/>
      <c r="OTT125" s="41"/>
      <c r="OTU125" s="41"/>
      <c r="OTV125" s="41"/>
      <c r="OTW125" s="41"/>
      <c r="OTX125" s="41"/>
      <c r="OTY125" s="41"/>
      <c r="OTZ125" s="41"/>
      <c r="OUA125" s="41"/>
      <c r="OUB125" s="41"/>
      <c r="OUC125" s="41"/>
      <c r="OUD125" s="41"/>
      <c r="OUE125" s="41"/>
      <c r="OUF125" s="41"/>
      <c r="OUG125" s="41"/>
      <c r="OUH125" s="41"/>
      <c r="OUI125" s="41"/>
      <c r="OUJ125" s="41"/>
      <c r="OUK125" s="41"/>
      <c r="OUL125" s="41"/>
      <c r="OUM125" s="41"/>
      <c r="OUN125" s="41"/>
      <c r="OUO125" s="41"/>
      <c r="OUP125" s="41"/>
      <c r="OUQ125" s="41"/>
      <c r="OUR125" s="41"/>
      <c r="OUS125" s="41"/>
      <c r="OUT125" s="41"/>
      <c r="OUU125" s="41"/>
      <c r="OUV125" s="41"/>
      <c r="OUW125" s="41"/>
      <c r="OUX125" s="41"/>
      <c r="OUY125" s="41"/>
      <c r="OUZ125" s="41"/>
      <c r="OVA125" s="41"/>
      <c r="OVB125" s="41"/>
      <c r="OVC125" s="41"/>
      <c r="OVD125" s="41"/>
      <c r="OVE125" s="41"/>
      <c r="OVF125" s="41"/>
      <c r="OVG125" s="41"/>
      <c r="OVH125" s="41"/>
      <c r="OVI125" s="41"/>
      <c r="OVJ125" s="41"/>
      <c r="OVK125" s="41"/>
      <c r="OVL125" s="41"/>
      <c r="OVM125" s="41"/>
      <c r="OVN125" s="41"/>
      <c r="OVO125" s="41"/>
      <c r="OVP125" s="41"/>
      <c r="OVQ125" s="41"/>
      <c r="OVR125" s="41"/>
      <c r="OVS125" s="41"/>
      <c r="OVT125" s="41"/>
      <c r="OVU125" s="41"/>
      <c r="OVV125" s="41"/>
      <c r="OVW125" s="41"/>
      <c r="OVX125" s="41"/>
      <c r="OVY125" s="41"/>
      <c r="OVZ125" s="41"/>
      <c r="OWA125" s="41"/>
      <c r="OWB125" s="41"/>
      <c r="OWC125" s="41"/>
      <c r="OWD125" s="41"/>
      <c r="OWE125" s="41"/>
      <c r="OWF125" s="41"/>
      <c r="OWG125" s="41"/>
      <c r="OWH125" s="41"/>
      <c r="OWI125" s="41"/>
      <c r="OWJ125" s="41"/>
      <c r="OWK125" s="41"/>
      <c r="OWL125" s="41"/>
      <c r="OWM125" s="41"/>
      <c r="OWN125" s="41"/>
      <c r="OWO125" s="41"/>
      <c r="OWP125" s="41"/>
      <c r="OWQ125" s="41"/>
      <c r="OWR125" s="41"/>
      <c r="OWS125" s="41"/>
      <c r="OWT125" s="41"/>
      <c r="OWU125" s="41"/>
      <c r="OWV125" s="41"/>
      <c r="OWW125" s="41"/>
      <c r="OWX125" s="41"/>
      <c r="OWY125" s="41"/>
      <c r="OWZ125" s="41"/>
      <c r="OXA125" s="41"/>
      <c r="OXB125" s="41"/>
      <c r="OXC125" s="41"/>
      <c r="OXD125" s="41"/>
      <c r="OXE125" s="41"/>
      <c r="OXF125" s="41"/>
      <c r="OXG125" s="41"/>
      <c r="OXH125" s="41"/>
      <c r="OXI125" s="41"/>
      <c r="OXJ125" s="41"/>
      <c r="OXK125" s="41"/>
      <c r="OXL125" s="41"/>
      <c r="OXM125" s="41"/>
      <c r="OXN125" s="41"/>
      <c r="OXO125" s="41"/>
      <c r="OXP125" s="41"/>
      <c r="OXQ125" s="41"/>
      <c r="OXR125" s="41"/>
      <c r="OXS125" s="41"/>
      <c r="OXT125" s="41"/>
      <c r="OXU125" s="41"/>
      <c r="OXV125" s="41"/>
      <c r="OXW125" s="41"/>
      <c r="OXX125" s="41"/>
      <c r="OXY125" s="41"/>
      <c r="OXZ125" s="41"/>
      <c r="OYA125" s="41"/>
      <c r="OYB125" s="41"/>
      <c r="OYC125" s="41"/>
      <c r="OYD125" s="41"/>
      <c r="OYE125" s="41"/>
      <c r="OYF125" s="41"/>
      <c r="OYG125" s="41"/>
      <c r="OYH125" s="41"/>
      <c r="OYI125" s="41"/>
      <c r="OYJ125" s="41"/>
      <c r="OYK125" s="41"/>
      <c r="OYL125" s="41"/>
      <c r="OYM125" s="41"/>
      <c r="OYN125" s="41"/>
      <c r="OYO125" s="41"/>
      <c r="OYP125" s="41"/>
      <c r="OYQ125" s="41"/>
      <c r="OYR125" s="41"/>
      <c r="OYS125" s="41"/>
      <c r="OYT125" s="41"/>
      <c r="OYU125" s="41"/>
      <c r="OYV125" s="41"/>
      <c r="OYW125" s="41"/>
      <c r="OYX125" s="41"/>
      <c r="OYY125" s="41"/>
      <c r="OYZ125" s="41"/>
      <c r="OZA125" s="41"/>
      <c r="OZB125" s="41"/>
      <c r="OZC125" s="41"/>
      <c r="OZD125" s="41"/>
      <c r="OZE125" s="41"/>
      <c r="OZF125" s="41"/>
      <c r="OZG125" s="41"/>
      <c r="OZH125" s="41"/>
      <c r="OZI125" s="41"/>
      <c r="OZJ125" s="41"/>
      <c r="OZK125" s="41"/>
      <c r="OZL125" s="41"/>
      <c r="OZM125" s="41"/>
      <c r="OZN125" s="41"/>
      <c r="OZO125" s="41"/>
      <c r="OZP125" s="41"/>
      <c r="OZQ125" s="41"/>
      <c r="OZR125" s="41"/>
      <c r="OZS125" s="41"/>
      <c r="OZT125" s="41"/>
      <c r="OZU125" s="41"/>
      <c r="OZV125" s="41"/>
      <c r="OZW125" s="41"/>
      <c r="OZX125" s="41"/>
      <c r="OZY125" s="41"/>
      <c r="OZZ125" s="41"/>
      <c r="PAA125" s="41"/>
      <c r="PAB125" s="41"/>
      <c r="PAC125" s="41"/>
      <c r="PAD125" s="41"/>
      <c r="PAE125" s="41"/>
      <c r="PAF125" s="41"/>
      <c r="PAG125" s="41"/>
      <c r="PAH125" s="41"/>
      <c r="PAI125" s="41"/>
      <c r="PAJ125" s="41"/>
      <c r="PAK125" s="41"/>
      <c r="PAL125" s="41"/>
      <c r="PAM125" s="41"/>
      <c r="PAN125" s="41"/>
      <c r="PAO125" s="41"/>
      <c r="PAP125" s="41"/>
      <c r="PAQ125" s="41"/>
      <c r="PAR125" s="41"/>
      <c r="PAS125" s="41"/>
      <c r="PAT125" s="41"/>
      <c r="PAU125" s="41"/>
      <c r="PAV125" s="41"/>
      <c r="PAW125" s="41"/>
      <c r="PAX125" s="41"/>
      <c r="PAY125" s="41"/>
      <c r="PAZ125" s="41"/>
      <c r="PBA125" s="41"/>
      <c r="PBB125" s="41"/>
      <c r="PBC125" s="41"/>
      <c r="PBD125" s="41"/>
      <c r="PBE125" s="41"/>
      <c r="PBF125" s="41"/>
      <c r="PBG125" s="41"/>
      <c r="PBH125" s="41"/>
      <c r="PBI125" s="41"/>
      <c r="PBJ125" s="41"/>
      <c r="PBK125" s="41"/>
      <c r="PBL125" s="41"/>
      <c r="PBM125" s="41"/>
      <c r="PBN125" s="41"/>
      <c r="PBO125" s="41"/>
      <c r="PBP125" s="41"/>
      <c r="PBQ125" s="41"/>
      <c r="PBR125" s="41"/>
      <c r="PBS125" s="41"/>
      <c r="PBT125" s="41"/>
      <c r="PBU125" s="41"/>
      <c r="PBV125" s="41"/>
      <c r="PBW125" s="41"/>
      <c r="PBX125" s="41"/>
      <c r="PBY125" s="41"/>
      <c r="PBZ125" s="41"/>
      <c r="PCA125" s="41"/>
      <c r="PCB125" s="41"/>
      <c r="PCC125" s="41"/>
      <c r="PCD125" s="41"/>
      <c r="PCE125" s="41"/>
      <c r="PCF125" s="41"/>
      <c r="PCG125" s="41"/>
      <c r="PCH125" s="41"/>
      <c r="PCI125" s="41"/>
      <c r="PCJ125" s="41"/>
      <c r="PCK125" s="41"/>
      <c r="PCL125" s="41"/>
      <c r="PCM125" s="41"/>
      <c r="PCN125" s="41"/>
      <c r="PCO125" s="41"/>
      <c r="PCP125" s="41"/>
      <c r="PCQ125" s="41"/>
      <c r="PCR125" s="41"/>
      <c r="PCS125" s="41"/>
      <c r="PCT125" s="41"/>
      <c r="PCU125" s="41"/>
      <c r="PCV125" s="41"/>
      <c r="PCW125" s="41"/>
      <c r="PCX125" s="41"/>
      <c r="PCY125" s="41"/>
      <c r="PCZ125" s="41"/>
      <c r="PDA125" s="41"/>
      <c r="PDB125" s="41"/>
      <c r="PDC125" s="41"/>
      <c r="PDD125" s="41"/>
      <c r="PDE125" s="41"/>
      <c r="PDF125" s="41"/>
      <c r="PDG125" s="41"/>
      <c r="PDH125" s="41"/>
      <c r="PDI125" s="41"/>
      <c r="PDJ125" s="41"/>
      <c r="PDK125" s="41"/>
      <c r="PDL125" s="41"/>
      <c r="PDM125" s="41"/>
      <c r="PDN125" s="41"/>
      <c r="PDO125" s="41"/>
      <c r="PDP125" s="41"/>
      <c r="PDQ125" s="41"/>
      <c r="PDR125" s="41"/>
      <c r="PDS125" s="41"/>
      <c r="PDT125" s="41"/>
      <c r="PDU125" s="41"/>
      <c r="PDV125" s="41"/>
      <c r="PDW125" s="41"/>
      <c r="PDX125" s="41"/>
      <c r="PDY125" s="41"/>
      <c r="PDZ125" s="41"/>
      <c r="PEA125" s="41"/>
      <c r="PEB125" s="41"/>
      <c r="PEC125" s="41"/>
      <c r="PED125" s="41"/>
      <c r="PEE125" s="41"/>
      <c r="PEF125" s="41"/>
      <c r="PEG125" s="41"/>
      <c r="PEH125" s="41"/>
      <c r="PEI125" s="41"/>
      <c r="PEJ125" s="41"/>
      <c r="PEK125" s="41"/>
      <c r="PEL125" s="41"/>
      <c r="PEM125" s="41"/>
      <c r="PEN125" s="41"/>
      <c r="PEO125" s="41"/>
      <c r="PEP125" s="41"/>
      <c r="PEQ125" s="41"/>
      <c r="PER125" s="41"/>
      <c r="PES125" s="41"/>
      <c r="PET125" s="41"/>
      <c r="PEU125" s="41"/>
      <c r="PEV125" s="41"/>
      <c r="PEW125" s="41"/>
      <c r="PEX125" s="41"/>
      <c r="PEY125" s="41"/>
      <c r="PEZ125" s="41"/>
      <c r="PFA125" s="41"/>
      <c r="PFB125" s="41"/>
      <c r="PFC125" s="41"/>
      <c r="PFD125" s="41"/>
      <c r="PFE125" s="41"/>
      <c r="PFF125" s="41"/>
      <c r="PFG125" s="41"/>
      <c r="PFH125" s="41"/>
      <c r="PFI125" s="41"/>
      <c r="PFJ125" s="41"/>
      <c r="PFK125" s="41"/>
      <c r="PFL125" s="41"/>
      <c r="PFM125" s="41"/>
      <c r="PFN125" s="41"/>
      <c r="PFO125" s="41"/>
      <c r="PFP125" s="41"/>
      <c r="PFQ125" s="41"/>
      <c r="PFR125" s="41"/>
      <c r="PFS125" s="41"/>
      <c r="PFT125" s="41"/>
      <c r="PFU125" s="41"/>
      <c r="PFV125" s="41"/>
      <c r="PFW125" s="41"/>
      <c r="PFX125" s="41"/>
      <c r="PFY125" s="41"/>
      <c r="PFZ125" s="41"/>
      <c r="PGA125" s="41"/>
      <c r="PGB125" s="41"/>
      <c r="PGC125" s="41"/>
      <c r="PGD125" s="41"/>
      <c r="PGE125" s="41"/>
      <c r="PGF125" s="41"/>
      <c r="PGG125" s="41"/>
      <c r="PGH125" s="41"/>
      <c r="PGI125" s="41"/>
      <c r="PGJ125" s="41"/>
      <c r="PGK125" s="41"/>
      <c r="PGL125" s="41"/>
      <c r="PGM125" s="41"/>
      <c r="PGN125" s="41"/>
      <c r="PGO125" s="41"/>
      <c r="PGP125" s="41"/>
      <c r="PGQ125" s="41"/>
      <c r="PGR125" s="41"/>
      <c r="PGS125" s="41"/>
      <c r="PGT125" s="41"/>
      <c r="PGU125" s="41"/>
      <c r="PGV125" s="41"/>
      <c r="PGW125" s="41"/>
      <c r="PGX125" s="41"/>
      <c r="PGY125" s="41"/>
      <c r="PGZ125" s="41"/>
      <c r="PHA125" s="41"/>
      <c r="PHB125" s="41"/>
      <c r="PHC125" s="41"/>
      <c r="PHD125" s="41"/>
      <c r="PHE125" s="41"/>
      <c r="PHF125" s="41"/>
      <c r="PHG125" s="41"/>
      <c r="PHH125" s="41"/>
      <c r="PHI125" s="41"/>
      <c r="PHJ125" s="41"/>
      <c r="PHK125" s="41"/>
      <c r="PHL125" s="41"/>
      <c r="PHM125" s="41"/>
      <c r="PHN125" s="41"/>
      <c r="PHO125" s="41"/>
      <c r="PHP125" s="41"/>
      <c r="PHQ125" s="41"/>
      <c r="PHR125" s="41"/>
      <c r="PHS125" s="41"/>
      <c r="PHT125" s="41"/>
      <c r="PHU125" s="41"/>
      <c r="PHV125" s="41"/>
      <c r="PHW125" s="41"/>
      <c r="PHX125" s="41"/>
      <c r="PHY125" s="41"/>
      <c r="PHZ125" s="41"/>
      <c r="PIA125" s="41"/>
      <c r="PIB125" s="41"/>
      <c r="PIC125" s="41"/>
      <c r="PID125" s="41"/>
      <c r="PIE125" s="41"/>
      <c r="PIF125" s="41"/>
      <c r="PIG125" s="41"/>
      <c r="PIH125" s="41"/>
      <c r="PII125" s="41"/>
      <c r="PIJ125" s="41"/>
      <c r="PIK125" s="41"/>
      <c r="PIL125" s="41"/>
      <c r="PIM125" s="41"/>
      <c r="PIN125" s="41"/>
      <c r="PIO125" s="41"/>
      <c r="PIP125" s="41"/>
      <c r="PIQ125" s="41"/>
      <c r="PIR125" s="41"/>
      <c r="PIS125" s="41"/>
      <c r="PIT125" s="41"/>
      <c r="PIU125" s="41"/>
      <c r="PIV125" s="41"/>
      <c r="PIW125" s="41"/>
      <c r="PIX125" s="41"/>
      <c r="PIY125" s="41"/>
      <c r="PIZ125" s="41"/>
      <c r="PJA125" s="41"/>
      <c r="PJB125" s="41"/>
      <c r="PJC125" s="41"/>
      <c r="PJD125" s="41"/>
      <c r="PJE125" s="41"/>
      <c r="PJF125" s="41"/>
      <c r="PJG125" s="41"/>
      <c r="PJH125" s="41"/>
      <c r="PJI125" s="41"/>
      <c r="PJJ125" s="41"/>
      <c r="PJK125" s="41"/>
      <c r="PJL125" s="41"/>
      <c r="PJM125" s="41"/>
      <c r="PJN125" s="41"/>
      <c r="PJO125" s="41"/>
      <c r="PJP125" s="41"/>
      <c r="PJQ125" s="41"/>
      <c r="PJR125" s="41"/>
      <c r="PJS125" s="41"/>
      <c r="PJT125" s="41"/>
      <c r="PJU125" s="41"/>
      <c r="PJV125" s="41"/>
      <c r="PJW125" s="41"/>
      <c r="PJX125" s="41"/>
      <c r="PJY125" s="41"/>
      <c r="PJZ125" s="41"/>
      <c r="PKA125" s="41"/>
      <c r="PKB125" s="41"/>
      <c r="PKC125" s="41"/>
      <c r="PKD125" s="41"/>
      <c r="PKE125" s="41"/>
      <c r="PKF125" s="41"/>
      <c r="PKG125" s="41"/>
      <c r="PKH125" s="41"/>
      <c r="PKI125" s="41"/>
      <c r="PKJ125" s="41"/>
      <c r="PKK125" s="41"/>
      <c r="PKL125" s="41"/>
      <c r="PKM125" s="41"/>
      <c r="PKN125" s="41"/>
      <c r="PKO125" s="41"/>
      <c r="PKP125" s="41"/>
      <c r="PKQ125" s="41"/>
      <c r="PKR125" s="41"/>
      <c r="PKS125" s="41"/>
      <c r="PKT125" s="41"/>
      <c r="PKU125" s="41"/>
      <c r="PKV125" s="41"/>
      <c r="PKW125" s="41"/>
      <c r="PKX125" s="41"/>
      <c r="PKY125" s="41"/>
      <c r="PKZ125" s="41"/>
      <c r="PLA125" s="41"/>
      <c r="PLB125" s="41"/>
      <c r="PLC125" s="41"/>
      <c r="PLD125" s="41"/>
      <c r="PLE125" s="41"/>
      <c r="PLF125" s="41"/>
      <c r="PLG125" s="41"/>
      <c r="PLH125" s="41"/>
      <c r="PLI125" s="41"/>
      <c r="PLJ125" s="41"/>
      <c r="PLK125" s="41"/>
      <c r="PLL125" s="41"/>
      <c r="PLM125" s="41"/>
      <c r="PLN125" s="41"/>
      <c r="PLO125" s="41"/>
      <c r="PLP125" s="41"/>
      <c r="PLQ125" s="41"/>
      <c r="PLR125" s="41"/>
      <c r="PLS125" s="41"/>
      <c r="PLT125" s="41"/>
      <c r="PLU125" s="41"/>
      <c r="PLV125" s="41"/>
      <c r="PLW125" s="41"/>
      <c r="PLX125" s="41"/>
      <c r="PLY125" s="41"/>
      <c r="PLZ125" s="41"/>
      <c r="PMA125" s="41"/>
      <c r="PMB125" s="41"/>
      <c r="PMC125" s="41"/>
      <c r="PMD125" s="41"/>
      <c r="PME125" s="41"/>
      <c r="PMF125" s="41"/>
      <c r="PMG125" s="41"/>
      <c r="PMH125" s="41"/>
      <c r="PMI125" s="41"/>
      <c r="PMJ125" s="41"/>
      <c r="PMK125" s="41"/>
      <c r="PML125" s="41"/>
      <c r="PMM125" s="41"/>
      <c r="PMN125" s="41"/>
      <c r="PMO125" s="41"/>
      <c r="PMP125" s="41"/>
      <c r="PMQ125" s="41"/>
      <c r="PMR125" s="41"/>
      <c r="PMS125" s="41"/>
      <c r="PMT125" s="41"/>
      <c r="PMU125" s="41"/>
      <c r="PMV125" s="41"/>
      <c r="PMW125" s="41"/>
      <c r="PMX125" s="41"/>
      <c r="PMY125" s="41"/>
      <c r="PMZ125" s="41"/>
      <c r="PNA125" s="41"/>
      <c r="PNB125" s="41"/>
      <c r="PNC125" s="41"/>
      <c r="PND125" s="41"/>
      <c r="PNE125" s="41"/>
      <c r="PNF125" s="41"/>
      <c r="PNG125" s="41"/>
      <c r="PNH125" s="41"/>
      <c r="PNI125" s="41"/>
      <c r="PNJ125" s="41"/>
      <c r="PNK125" s="41"/>
      <c r="PNL125" s="41"/>
      <c r="PNM125" s="41"/>
      <c r="PNN125" s="41"/>
      <c r="PNO125" s="41"/>
      <c r="PNP125" s="41"/>
      <c r="PNQ125" s="41"/>
      <c r="PNR125" s="41"/>
      <c r="PNS125" s="41"/>
      <c r="PNT125" s="41"/>
      <c r="PNU125" s="41"/>
      <c r="PNV125" s="41"/>
      <c r="PNW125" s="41"/>
      <c r="PNX125" s="41"/>
      <c r="PNY125" s="41"/>
      <c r="PNZ125" s="41"/>
      <c r="POA125" s="41"/>
      <c r="POB125" s="41"/>
      <c r="POC125" s="41"/>
      <c r="POD125" s="41"/>
      <c r="POE125" s="41"/>
      <c r="POF125" s="41"/>
      <c r="POG125" s="41"/>
      <c r="POH125" s="41"/>
      <c r="POI125" s="41"/>
      <c r="POJ125" s="41"/>
      <c r="POK125" s="41"/>
      <c r="POL125" s="41"/>
      <c r="POM125" s="41"/>
      <c r="PON125" s="41"/>
      <c r="POO125" s="41"/>
      <c r="POP125" s="41"/>
      <c r="POQ125" s="41"/>
      <c r="POR125" s="41"/>
      <c r="POS125" s="41"/>
      <c r="POT125" s="41"/>
      <c r="POU125" s="41"/>
      <c r="POV125" s="41"/>
      <c r="POW125" s="41"/>
      <c r="POX125" s="41"/>
      <c r="POY125" s="41"/>
      <c r="POZ125" s="41"/>
      <c r="PPA125" s="41"/>
      <c r="PPB125" s="41"/>
      <c r="PPC125" s="41"/>
      <c r="PPD125" s="41"/>
      <c r="PPE125" s="41"/>
      <c r="PPF125" s="41"/>
      <c r="PPG125" s="41"/>
      <c r="PPH125" s="41"/>
      <c r="PPI125" s="41"/>
      <c r="PPJ125" s="41"/>
      <c r="PPK125" s="41"/>
      <c r="PPL125" s="41"/>
      <c r="PPM125" s="41"/>
      <c r="PPN125" s="41"/>
      <c r="PPO125" s="41"/>
      <c r="PPP125" s="41"/>
      <c r="PPQ125" s="41"/>
      <c r="PPR125" s="41"/>
      <c r="PPS125" s="41"/>
      <c r="PPT125" s="41"/>
      <c r="PPU125" s="41"/>
      <c r="PPV125" s="41"/>
      <c r="PPW125" s="41"/>
      <c r="PPX125" s="41"/>
      <c r="PPY125" s="41"/>
      <c r="PPZ125" s="41"/>
      <c r="PQA125" s="41"/>
      <c r="PQB125" s="41"/>
      <c r="PQC125" s="41"/>
      <c r="PQD125" s="41"/>
      <c r="PQE125" s="41"/>
      <c r="PQF125" s="41"/>
      <c r="PQG125" s="41"/>
      <c r="PQH125" s="41"/>
      <c r="PQI125" s="41"/>
      <c r="PQJ125" s="41"/>
      <c r="PQK125" s="41"/>
      <c r="PQL125" s="41"/>
      <c r="PQM125" s="41"/>
      <c r="PQN125" s="41"/>
      <c r="PQO125" s="41"/>
      <c r="PQP125" s="41"/>
      <c r="PQQ125" s="41"/>
      <c r="PQR125" s="41"/>
      <c r="PQS125" s="41"/>
      <c r="PQT125" s="41"/>
      <c r="PQU125" s="41"/>
      <c r="PQV125" s="41"/>
      <c r="PQW125" s="41"/>
      <c r="PQX125" s="41"/>
      <c r="PQY125" s="41"/>
      <c r="PQZ125" s="41"/>
      <c r="PRA125" s="41"/>
      <c r="PRB125" s="41"/>
      <c r="PRC125" s="41"/>
      <c r="PRD125" s="41"/>
      <c r="PRE125" s="41"/>
      <c r="PRF125" s="41"/>
      <c r="PRG125" s="41"/>
      <c r="PRH125" s="41"/>
      <c r="PRI125" s="41"/>
      <c r="PRJ125" s="41"/>
      <c r="PRK125" s="41"/>
      <c r="PRL125" s="41"/>
      <c r="PRM125" s="41"/>
      <c r="PRN125" s="41"/>
      <c r="PRO125" s="41"/>
      <c r="PRP125" s="41"/>
      <c r="PRQ125" s="41"/>
      <c r="PRR125" s="41"/>
      <c r="PRS125" s="41"/>
      <c r="PRT125" s="41"/>
      <c r="PRU125" s="41"/>
      <c r="PRV125" s="41"/>
      <c r="PRW125" s="41"/>
      <c r="PRX125" s="41"/>
      <c r="PRY125" s="41"/>
      <c r="PRZ125" s="41"/>
      <c r="PSA125" s="41"/>
      <c r="PSB125" s="41"/>
      <c r="PSC125" s="41"/>
      <c r="PSD125" s="41"/>
      <c r="PSE125" s="41"/>
      <c r="PSF125" s="41"/>
      <c r="PSG125" s="41"/>
      <c r="PSH125" s="41"/>
      <c r="PSI125" s="41"/>
      <c r="PSJ125" s="41"/>
      <c r="PSK125" s="41"/>
      <c r="PSL125" s="41"/>
      <c r="PSM125" s="41"/>
      <c r="PSN125" s="41"/>
      <c r="PSO125" s="41"/>
      <c r="PSP125" s="41"/>
      <c r="PSQ125" s="41"/>
      <c r="PSR125" s="41"/>
      <c r="PSS125" s="41"/>
      <c r="PST125" s="41"/>
      <c r="PSU125" s="41"/>
      <c r="PSV125" s="41"/>
      <c r="PSW125" s="41"/>
      <c r="PSX125" s="41"/>
      <c r="PSY125" s="41"/>
      <c r="PSZ125" s="41"/>
      <c r="PTA125" s="41"/>
      <c r="PTB125" s="41"/>
      <c r="PTC125" s="41"/>
      <c r="PTD125" s="41"/>
      <c r="PTE125" s="41"/>
      <c r="PTF125" s="41"/>
      <c r="PTG125" s="41"/>
      <c r="PTH125" s="41"/>
      <c r="PTI125" s="41"/>
      <c r="PTJ125" s="41"/>
      <c r="PTK125" s="41"/>
      <c r="PTL125" s="41"/>
      <c r="PTM125" s="41"/>
      <c r="PTN125" s="41"/>
      <c r="PTO125" s="41"/>
      <c r="PTP125" s="41"/>
      <c r="PTQ125" s="41"/>
      <c r="PTR125" s="41"/>
      <c r="PTS125" s="41"/>
      <c r="PTT125" s="41"/>
      <c r="PTU125" s="41"/>
      <c r="PTV125" s="41"/>
      <c r="PTW125" s="41"/>
      <c r="PTX125" s="41"/>
      <c r="PTY125" s="41"/>
      <c r="PTZ125" s="41"/>
      <c r="PUA125" s="41"/>
      <c r="PUB125" s="41"/>
      <c r="PUC125" s="41"/>
      <c r="PUD125" s="41"/>
      <c r="PUE125" s="41"/>
      <c r="PUF125" s="41"/>
      <c r="PUG125" s="41"/>
      <c r="PUH125" s="41"/>
      <c r="PUI125" s="41"/>
      <c r="PUJ125" s="41"/>
      <c r="PUK125" s="41"/>
      <c r="PUL125" s="41"/>
      <c r="PUM125" s="41"/>
      <c r="PUN125" s="41"/>
      <c r="PUO125" s="41"/>
      <c r="PUP125" s="41"/>
      <c r="PUQ125" s="41"/>
      <c r="PUR125" s="41"/>
      <c r="PUS125" s="41"/>
      <c r="PUT125" s="41"/>
      <c r="PUU125" s="41"/>
      <c r="PUV125" s="41"/>
      <c r="PUW125" s="41"/>
      <c r="PUX125" s="41"/>
      <c r="PUY125" s="41"/>
      <c r="PUZ125" s="41"/>
      <c r="PVA125" s="41"/>
      <c r="PVB125" s="41"/>
      <c r="PVC125" s="41"/>
      <c r="PVD125" s="41"/>
      <c r="PVE125" s="41"/>
      <c r="PVF125" s="41"/>
      <c r="PVG125" s="41"/>
      <c r="PVH125" s="41"/>
      <c r="PVI125" s="41"/>
      <c r="PVJ125" s="41"/>
      <c r="PVK125" s="41"/>
      <c r="PVL125" s="41"/>
      <c r="PVM125" s="41"/>
      <c r="PVN125" s="41"/>
      <c r="PVO125" s="41"/>
      <c r="PVP125" s="41"/>
      <c r="PVQ125" s="41"/>
      <c r="PVR125" s="41"/>
      <c r="PVS125" s="41"/>
      <c r="PVT125" s="41"/>
      <c r="PVU125" s="41"/>
      <c r="PVV125" s="41"/>
      <c r="PVW125" s="41"/>
      <c r="PVX125" s="41"/>
      <c r="PVY125" s="41"/>
      <c r="PVZ125" s="41"/>
      <c r="PWA125" s="41"/>
      <c r="PWB125" s="41"/>
      <c r="PWC125" s="41"/>
      <c r="PWD125" s="41"/>
      <c r="PWE125" s="41"/>
      <c r="PWF125" s="41"/>
      <c r="PWG125" s="41"/>
      <c r="PWH125" s="41"/>
      <c r="PWI125" s="41"/>
      <c r="PWJ125" s="41"/>
      <c r="PWK125" s="41"/>
      <c r="PWL125" s="41"/>
      <c r="PWM125" s="41"/>
      <c r="PWN125" s="41"/>
      <c r="PWO125" s="41"/>
      <c r="PWP125" s="41"/>
      <c r="PWQ125" s="41"/>
      <c r="PWR125" s="41"/>
      <c r="PWS125" s="41"/>
      <c r="PWT125" s="41"/>
      <c r="PWU125" s="41"/>
      <c r="PWV125" s="41"/>
      <c r="PWW125" s="41"/>
      <c r="PWX125" s="41"/>
      <c r="PWY125" s="41"/>
      <c r="PWZ125" s="41"/>
      <c r="PXA125" s="41"/>
      <c r="PXB125" s="41"/>
      <c r="PXC125" s="41"/>
      <c r="PXD125" s="41"/>
      <c r="PXE125" s="41"/>
      <c r="PXF125" s="41"/>
      <c r="PXG125" s="41"/>
      <c r="PXH125" s="41"/>
      <c r="PXI125" s="41"/>
      <c r="PXJ125" s="41"/>
      <c r="PXK125" s="41"/>
      <c r="PXL125" s="41"/>
      <c r="PXM125" s="41"/>
      <c r="PXN125" s="41"/>
      <c r="PXO125" s="41"/>
      <c r="PXP125" s="41"/>
      <c r="PXQ125" s="41"/>
      <c r="PXR125" s="41"/>
      <c r="PXS125" s="41"/>
      <c r="PXT125" s="41"/>
      <c r="PXU125" s="41"/>
      <c r="PXV125" s="41"/>
      <c r="PXW125" s="41"/>
      <c r="PXX125" s="41"/>
      <c r="PXY125" s="41"/>
      <c r="PXZ125" s="41"/>
      <c r="PYA125" s="41"/>
      <c r="PYB125" s="41"/>
      <c r="PYC125" s="41"/>
      <c r="PYD125" s="41"/>
      <c r="PYE125" s="41"/>
      <c r="PYF125" s="41"/>
      <c r="PYG125" s="41"/>
      <c r="PYH125" s="41"/>
      <c r="PYI125" s="41"/>
      <c r="PYJ125" s="41"/>
      <c r="PYK125" s="41"/>
      <c r="PYL125" s="41"/>
      <c r="PYM125" s="41"/>
      <c r="PYN125" s="41"/>
      <c r="PYO125" s="41"/>
      <c r="PYP125" s="41"/>
      <c r="PYQ125" s="41"/>
      <c r="PYR125" s="41"/>
      <c r="PYS125" s="41"/>
      <c r="PYT125" s="41"/>
      <c r="PYU125" s="41"/>
      <c r="PYV125" s="41"/>
      <c r="PYW125" s="41"/>
      <c r="PYX125" s="41"/>
      <c r="PYY125" s="41"/>
      <c r="PYZ125" s="41"/>
      <c r="PZA125" s="41"/>
      <c r="PZB125" s="41"/>
      <c r="PZC125" s="41"/>
      <c r="PZD125" s="41"/>
      <c r="PZE125" s="41"/>
      <c r="PZF125" s="41"/>
      <c r="PZG125" s="41"/>
      <c r="PZH125" s="41"/>
      <c r="PZI125" s="41"/>
      <c r="PZJ125" s="41"/>
      <c r="PZK125" s="41"/>
      <c r="PZL125" s="41"/>
      <c r="PZM125" s="41"/>
      <c r="PZN125" s="41"/>
      <c r="PZO125" s="41"/>
      <c r="PZP125" s="41"/>
      <c r="PZQ125" s="41"/>
      <c r="PZR125" s="41"/>
      <c r="PZS125" s="41"/>
      <c r="PZT125" s="41"/>
      <c r="PZU125" s="41"/>
      <c r="PZV125" s="41"/>
      <c r="PZW125" s="41"/>
      <c r="PZX125" s="41"/>
      <c r="PZY125" s="41"/>
      <c r="PZZ125" s="41"/>
      <c r="QAA125" s="41"/>
      <c r="QAB125" s="41"/>
      <c r="QAC125" s="41"/>
      <c r="QAD125" s="41"/>
      <c r="QAE125" s="41"/>
      <c r="QAF125" s="41"/>
      <c r="QAG125" s="41"/>
      <c r="QAH125" s="41"/>
      <c r="QAI125" s="41"/>
      <c r="QAJ125" s="41"/>
      <c r="QAK125" s="41"/>
      <c r="QAL125" s="41"/>
      <c r="QAM125" s="41"/>
      <c r="QAN125" s="41"/>
      <c r="QAO125" s="41"/>
      <c r="QAP125" s="41"/>
      <c r="QAQ125" s="41"/>
      <c r="QAR125" s="41"/>
      <c r="QAS125" s="41"/>
      <c r="QAT125" s="41"/>
      <c r="QAU125" s="41"/>
      <c r="QAV125" s="41"/>
      <c r="QAW125" s="41"/>
      <c r="QAX125" s="41"/>
      <c r="QAY125" s="41"/>
      <c r="QAZ125" s="41"/>
      <c r="QBA125" s="41"/>
      <c r="QBB125" s="41"/>
      <c r="QBC125" s="41"/>
      <c r="QBD125" s="41"/>
      <c r="QBE125" s="41"/>
      <c r="QBF125" s="41"/>
      <c r="QBG125" s="41"/>
      <c r="QBH125" s="41"/>
      <c r="QBI125" s="41"/>
      <c r="QBJ125" s="41"/>
      <c r="QBK125" s="41"/>
      <c r="QBL125" s="41"/>
      <c r="QBM125" s="41"/>
      <c r="QBN125" s="41"/>
      <c r="QBO125" s="41"/>
      <c r="QBP125" s="41"/>
      <c r="QBQ125" s="41"/>
      <c r="QBR125" s="41"/>
      <c r="QBS125" s="41"/>
      <c r="QBT125" s="41"/>
      <c r="QBU125" s="41"/>
      <c r="QBV125" s="41"/>
      <c r="QBW125" s="41"/>
      <c r="QBX125" s="41"/>
      <c r="QBY125" s="41"/>
      <c r="QBZ125" s="41"/>
      <c r="QCA125" s="41"/>
      <c r="QCB125" s="41"/>
      <c r="QCC125" s="41"/>
      <c r="QCD125" s="41"/>
      <c r="QCE125" s="41"/>
      <c r="QCF125" s="41"/>
      <c r="QCG125" s="41"/>
      <c r="QCH125" s="41"/>
      <c r="QCI125" s="41"/>
      <c r="QCJ125" s="41"/>
      <c r="QCK125" s="41"/>
      <c r="QCL125" s="41"/>
      <c r="QCM125" s="41"/>
      <c r="QCN125" s="41"/>
      <c r="QCO125" s="41"/>
      <c r="QCP125" s="41"/>
      <c r="QCQ125" s="41"/>
      <c r="QCR125" s="41"/>
      <c r="QCS125" s="41"/>
      <c r="QCT125" s="41"/>
      <c r="QCU125" s="41"/>
      <c r="QCV125" s="41"/>
      <c r="QCW125" s="41"/>
      <c r="QCX125" s="41"/>
      <c r="QCY125" s="41"/>
      <c r="QCZ125" s="41"/>
      <c r="QDA125" s="41"/>
      <c r="QDB125" s="41"/>
      <c r="QDC125" s="41"/>
      <c r="QDD125" s="41"/>
      <c r="QDE125" s="41"/>
      <c r="QDF125" s="41"/>
      <c r="QDG125" s="41"/>
      <c r="QDH125" s="41"/>
      <c r="QDI125" s="41"/>
      <c r="QDJ125" s="41"/>
      <c r="QDK125" s="41"/>
      <c r="QDL125" s="41"/>
      <c r="QDM125" s="41"/>
      <c r="QDN125" s="41"/>
      <c r="QDO125" s="41"/>
      <c r="QDP125" s="41"/>
      <c r="QDQ125" s="41"/>
      <c r="QDR125" s="41"/>
      <c r="QDS125" s="41"/>
      <c r="QDT125" s="41"/>
      <c r="QDU125" s="41"/>
      <c r="QDV125" s="41"/>
      <c r="QDW125" s="41"/>
      <c r="QDX125" s="41"/>
      <c r="QDY125" s="41"/>
      <c r="QDZ125" s="41"/>
      <c r="QEA125" s="41"/>
      <c r="QEB125" s="41"/>
      <c r="QEC125" s="41"/>
      <c r="QED125" s="41"/>
      <c r="QEE125" s="41"/>
      <c r="QEF125" s="41"/>
      <c r="QEG125" s="41"/>
      <c r="QEH125" s="41"/>
      <c r="QEI125" s="41"/>
      <c r="QEJ125" s="41"/>
      <c r="QEK125" s="41"/>
      <c r="QEL125" s="41"/>
      <c r="QEM125" s="41"/>
      <c r="QEN125" s="41"/>
      <c r="QEO125" s="41"/>
      <c r="QEP125" s="41"/>
      <c r="QEQ125" s="41"/>
      <c r="QER125" s="41"/>
      <c r="QES125" s="41"/>
      <c r="QET125" s="41"/>
      <c r="QEU125" s="41"/>
      <c r="QEV125" s="41"/>
      <c r="QEW125" s="41"/>
      <c r="QEX125" s="41"/>
      <c r="QEY125" s="41"/>
      <c r="QEZ125" s="41"/>
      <c r="QFA125" s="41"/>
      <c r="QFB125" s="41"/>
      <c r="QFC125" s="41"/>
      <c r="QFD125" s="41"/>
      <c r="QFE125" s="41"/>
      <c r="QFF125" s="41"/>
      <c r="QFG125" s="41"/>
      <c r="QFH125" s="41"/>
      <c r="QFI125" s="41"/>
      <c r="QFJ125" s="41"/>
      <c r="QFK125" s="41"/>
      <c r="QFL125" s="41"/>
      <c r="QFM125" s="41"/>
      <c r="QFN125" s="41"/>
      <c r="QFO125" s="41"/>
      <c r="QFP125" s="41"/>
      <c r="QFQ125" s="41"/>
      <c r="QFR125" s="41"/>
      <c r="QFS125" s="41"/>
      <c r="QFT125" s="41"/>
      <c r="QFU125" s="41"/>
      <c r="QFV125" s="41"/>
      <c r="QFW125" s="41"/>
      <c r="QFX125" s="41"/>
      <c r="QFY125" s="41"/>
      <c r="QFZ125" s="41"/>
      <c r="QGA125" s="41"/>
      <c r="QGB125" s="41"/>
      <c r="QGC125" s="41"/>
      <c r="QGD125" s="41"/>
      <c r="QGE125" s="41"/>
      <c r="QGF125" s="41"/>
      <c r="QGG125" s="41"/>
      <c r="QGH125" s="41"/>
      <c r="QGI125" s="41"/>
      <c r="QGJ125" s="41"/>
      <c r="QGK125" s="41"/>
      <c r="QGL125" s="41"/>
      <c r="QGM125" s="41"/>
      <c r="QGN125" s="41"/>
      <c r="QGO125" s="41"/>
      <c r="QGP125" s="41"/>
      <c r="QGQ125" s="41"/>
      <c r="QGR125" s="41"/>
      <c r="QGS125" s="41"/>
      <c r="QGT125" s="41"/>
      <c r="QGU125" s="41"/>
      <c r="QGV125" s="41"/>
      <c r="QGW125" s="41"/>
      <c r="QGX125" s="41"/>
      <c r="QGY125" s="41"/>
      <c r="QGZ125" s="41"/>
      <c r="QHA125" s="41"/>
      <c r="QHB125" s="41"/>
      <c r="QHC125" s="41"/>
      <c r="QHD125" s="41"/>
      <c r="QHE125" s="41"/>
      <c r="QHF125" s="41"/>
      <c r="QHG125" s="41"/>
      <c r="QHH125" s="41"/>
      <c r="QHI125" s="41"/>
      <c r="QHJ125" s="41"/>
      <c r="QHK125" s="41"/>
      <c r="QHL125" s="41"/>
      <c r="QHM125" s="41"/>
      <c r="QHN125" s="41"/>
      <c r="QHO125" s="41"/>
      <c r="QHP125" s="41"/>
      <c r="QHQ125" s="41"/>
      <c r="QHR125" s="41"/>
      <c r="QHS125" s="41"/>
      <c r="QHT125" s="41"/>
      <c r="QHU125" s="41"/>
      <c r="QHV125" s="41"/>
      <c r="QHW125" s="41"/>
      <c r="QHX125" s="41"/>
      <c r="QHY125" s="41"/>
      <c r="QHZ125" s="41"/>
      <c r="QIA125" s="41"/>
      <c r="QIB125" s="41"/>
      <c r="QIC125" s="41"/>
      <c r="QID125" s="41"/>
      <c r="QIE125" s="41"/>
      <c r="QIF125" s="41"/>
      <c r="QIG125" s="41"/>
      <c r="QIH125" s="41"/>
      <c r="QII125" s="41"/>
      <c r="QIJ125" s="41"/>
      <c r="QIK125" s="41"/>
      <c r="QIL125" s="41"/>
      <c r="QIM125" s="41"/>
      <c r="QIN125" s="41"/>
      <c r="QIO125" s="41"/>
      <c r="QIP125" s="41"/>
      <c r="QIQ125" s="41"/>
      <c r="QIR125" s="41"/>
      <c r="QIS125" s="41"/>
      <c r="QIT125" s="41"/>
      <c r="QIU125" s="41"/>
      <c r="QIV125" s="41"/>
      <c r="QIW125" s="41"/>
      <c r="QIX125" s="41"/>
      <c r="QIY125" s="41"/>
      <c r="QIZ125" s="41"/>
      <c r="QJA125" s="41"/>
      <c r="QJB125" s="41"/>
      <c r="QJC125" s="41"/>
      <c r="QJD125" s="41"/>
      <c r="QJE125" s="41"/>
      <c r="QJF125" s="41"/>
      <c r="QJG125" s="41"/>
      <c r="QJH125" s="41"/>
      <c r="QJI125" s="41"/>
      <c r="QJJ125" s="41"/>
      <c r="QJK125" s="41"/>
      <c r="QJL125" s="41"/>
      <c r="QJM125" s="41"/>
      <c r="QJN125" s="41"/>
      <c r="QJO125" s="41"/>
      <c r="QJP125" s="41"/>
      <c r="QJQ125" s="41"/>
      <c r="QJR125" s="41"/>
      <c r="QJS125" s="41"/>
      <c r="QJT125" s="41"/>
      <c r="QJU125" s="41"/>
      <c r="QJV125" s="41"/>
      <c r="QJW125" s="41"/>
      <c r="QJX125" s="41"/>
      <c r="QJY125" s="41"/>
      <c r="QJZ125" s="41"/>
      <c r="QKA125" s="41"/>
      <c r="QKB125" s="41"/>
      <c r="QKC125" s="41"/>
      <c r="QKD125" s="41"/>
      <c r="QKE125" s="41"/>
      <c r="QKF125" s="41"/>
      <c r="QKG125" s="41"/>
      <c r="QKH125" s="41"/>
      <c r="QKI125" s="41"/>
      <c r="QKJ125" s="41"/>
      <c r="QKK125" s="41"/>
      <c r="QKL125" s="41"/>
      <c r="QKM125" s="41"/>
      <c r="QKN125" s="41"/>
      <c r="QKO125" s="41"/>
      <c r="QKP125" s="41"/>
      <c r="QKQ125" s="41"/>
      <c r="QKR125" s="41"/>
      <c r="QKS125" s="41"/>
      <c r="QKT125" s="41"/>
      <c r="QKU125" s="41"/>
      <c r="QKV125" s="41"/>
      <c r="QKW125" s="41"/>
      <c r="QKX125" s="41"/>
      <c r="QKY125" s="41"/>
      <c r="QKZ125" s="41"/>
      <c r="QLA125" s="41"/>
      <c r="QLB125" s="41"/>
      <c r="QLC125" s="41"/>
      <c r="QLD125" s="41"/>
      <c r="QLE125" s="41"/>
      <c r="QLF125" s="41"/>
      <c r="QLG125" s="41"/>
      <c r="QLH125" s="41"/>
      <c r="QLI125" s="41"/>
      <c r="QLJ125" s="41"/>
      <c r="QLK125" s="41"/>
      <c r="QLL125" s="41"/>
      <c r="QLM125" s="41"/>
      <c r="QLN125" s="41"/>
      <c r="QLO125" s="41"/>
      <c r="QLP125" s="41"/>
      <c r="QLQ125" s="41"/>
      <c r="QLR125" s="41"/>
      <c r="QLS125" s="41"/>
      <c r="QLT125" s="41"/>
      <c r="QLU125" s="41"/>
      <c r="QLV125" s="41"/>
      <c r="QLW125" s="41"/>
      <c r="QLX125" s="41"/>
      <c r="QLY125" s="41"/>
      <c r="QLZ125" s="41"/>
      <c r="QMA125" s="41"/>
      <c r="QMB125" s="41"/>
      <c r="QMC125" s="41"/>
      <c r="QMD125" s="41"/>
      <c r="QME125" s="41"/>
      <c r="QMF125" s="41"/>
      <c r="QMG125" s="41"/>
      <c r="QMH125" s="41"/>
      <c r="QMI125" s="41"/>
      <c r="QMJ125" s="41"/>
      <c r="QMK125" s="41"/>
      <c r="QML125" s="41"/>
      <c r="QMM125" s="41"/>
      <c r="QMN125" s="41"/>
      <c r="QMO125" s="41"/>
      <c r="QMP125" s="41"/>
      <c r="QMQ125" s="41"/>
      <c r="QMR125" s="41"/>
      <c r="QMS125" s="41"/>
      <c r="QMT125" s="41"/>
      <c r="QMU125" s="41"/>
      <c r="QMV125" s="41"/>
      <c r="QMW125" s="41"/>
      <c r="QMX125" s="41"/>
      <c r="QMY125" s="41"/>
      <c r="QMZ125" s="41"/>
      <c r="QNA125" s="41"/>
      <c r="QNB125" s="41"/>
      <c r="QNC125" s="41"/>
      <c r="QND125" s="41"/>
      <c r="QNE125" s="41"/>
      <c r="QNF125" s="41"/>
      <c r="QNG125" s="41"/>
      <c r="QNH125" s="41"/>
      <c r="QNI125" s="41"/>
      <c r="QNJ125" s="41"/>
      <c r="QNK125" s="41"/>
      <c r="QNL125" s="41"/>
      <c r="QNM125" s="41"/>
      <c r="QNN125" s="41"/>
      <c r="QNO125" s="41"/>
      <c r="QNP125" s="41"/>
      <c r="QNQ125" s="41"/>
      <c r="QNR125" s="41"/>
      <c r="QNS125" s="41"/>
      <c r="QNT125" s="41"/>
      <c r="QNU125" s="41"/>
      <c r="QNV125" s="41"/>
      <c r="QNW125" s="41"/>
      <c r="QNX125" s="41"/>
      <c r="QNY125" s="41"/>
      <c r="QNZ125" s="41"/>
      <c r="QOA125" s="41"/>
      <c r="QOB125" s="41"/>
      <c r="QOC125" s="41"/>
      <c r="QOD125" s="41"/>
      <c r="QOE125" s="41"/>
      <c r="QOF125" s="41"/>
      <c r="QOG125" s="41"/>
      <c r="QOH125" s="41"/>
      <c r="QOI125" s="41"/>
      <c r="QOJ125" s="41"/>
      <c r="QOK125" s="41"/>
      <c r="QOL125" s="41"/>
      <c r="QOM125" s="41"/>
      <c r="QON125" s="41"/>
      <c r="QOO125" s="41"/>
      <c r="QOP125" s="41"/>
      <c r="QOQ125" s="41"/>
      <c r="QOR125" s="41"/>
      <c r="QOS125" s="41"/>
      <c r="QOT125" s="41"/>
      <c r="QOU125" s="41"/>
      <c r="QOV125" s="41"/>
      <c r="QOW125" s="41"/>
      <c r="QOX125" s="41"/>
      <c r="QOY125" s="41"/>
      <c r="QOZ125" s="41"/>
      <c r="QPA125" s="41"/>
      <c r="QPB125" s="41"/>
      <c r="QPC125" s="41"/>
      <c r="QPD125" s="41"/>
      <c r="QPE125" s="41"/>
      <c r="QPF125" s="41"/>
      <c r="QPG125" s="41"/>
      <c r="QPH125" s="41"/>
      <c r="QPI125" s="41"/>
      <c r="QPJ125" s="41"/>
      <c r="QPK125" s="41"/>
      <c r="QPL125" s="41"/>
      <c r="QPM125" s="41"/>
      <c r="QPN125" s="41"/>
      <c r="QPO125" s="41"/>
      <c r="QPP125" s="41"/>
      <c r="QPQ125" s="41"/>
      <c r="QPR125" s="41"/>
      <c r="QPS125" s="41"/>
      <c r="QPT125" s="41"/>
      <c r="QPU125" s="41"/>
      <c r="QPV125" s="41"/>
      <c r="QPW125" s="41"/>
      <c r="QPX125" s="41"/>
      <c r="QPY125" s="41"/>
      <c r="QPZ125" s="41"/>
      <c r="QQA125" s="41"/>
      <c r="QQB125" s="41"/>
      <c r="QQC125" s="41"/>
      <c r="QQD125" s="41"/>
      <c r="QQE125" s="41"/>
      <c r="QQF125" s="41"/>
      <c r="QQG125" s="41"/>
      <c r="QQH125" s="41"/>
      <c r="QQI125" s="41"/>
      <c r="QQJ125" s="41"/>
      <c r="QQK125" s="41"/>
      <c r="QQL125" s="41"/>
      <c r="QQM125" s="41"/>
      <c r="QQN125" s="41"/>
      <c r="QQO125" s="41"/>
      <c r="QQP125" s="41"/>
      <c r="QQQ125" s="41"/>
      <c r="QQR125" s="41"/>
      <c r="QQS125" s="41"/>
      <c r="QQT125" s="41"/>
      <c r="QQU125" s="41"/>
      <c r="QQV125" s="41"/>
      <c r="QQW125" s="41"/>
      <c r="QQX125" s="41"/>
      <c r="QQY125" s="41"/>
      <c r="QQZ125" s="41"/>
      <c r="QRA125" s="41"/>
      <c r="QRB125" s="41"/>
      <c r="QRC125" s="41"/>
      <c r="QRD125" s="41"/>
      <c r="QRE125" s="41"/>
      <c r="QRF125" s="41"/>
      <c r="QRG125" s="41"/>
      <c r="QRH125" s="41"/>
      <c r="QRI125" s="41"/>
      <c r="QRJ125" s="41"/>
      <c r="QRK125" s="41"/>
      <c r="QRL125" s="41"/>
      <c r="QRM125" s="41"/>
      <c r="QRN125" s="41"/>
      <c r="QRO125" s="41"/>
      <c r="QRP125" s="41"/>
      <c r="QRQ125" s="41"/>
      <c r="QRR125" s="41"/>
      <c r="QRS125" s="41"/>
      <c r="QRT125" s="41"/>
      <c r="QRU125" s="41"/>
      <c r="QRV125" s="41"/>
      <c r="QRW125" s="41"/>
      <c r="QRX125" s="41"/>
      <c r="QRY125" s="41"/>
      <c r="QRZ125" s="41"/>
      <c r="QSA125" s="41"/>
      <c r="QSB125" s="41"/>
      <c r="QSC125" s="41"/>
      <c r="QSD125" s="41"/>
      <c r="QSE125" s="41"/>
      <c r="QSF125" s="41"/>
      <c r="QSG125" s="41"/>
      <c r="QSH125" s="41"/>
      <c r="QSI125" s="41"/>
      <c r="QSJ125" s="41"/>
      <c r="QSK125" s="41"/>
      <c r="QSL125" s="41"/>
      <c r="QSM125" s="41"/>
      <c r="QSN125" s="41"/>
      <c r="QSO125" s="41"/>
      <c r="QSP125" s="41"/>
      <c r="QSQ125" s="41"/>
      <c r="QSR125" s="41"/>
      <c r="QSS125" s="41"/>
      <c r="QST125" s="41"/>
      <c r="QSU125" s="41"/>
      <c r="QSV125" s="41"/>
      <c r="QSW125" s="41"/>
      <c r="QSX125" s="41"/>
      <c r="QSY125" s="41"/>
      <c r="QSZ125" s="41"/>
      <c r="QTA125" s="41"/>
      <c r="QTB125" s="41"/>
      <c r="QTC125" s="41"/>
      <c r="QTD125" s="41"/>
      <c r="QTE125" s="41"/>
      <c r="QTF125" s="41"/>
      <c r="QTG125" s="41"/>
      <c r="QTH125" s="41"/>
      <c r="QTI125" s="41"/>
      <c r="QTJ125" s="41"/>
      <c r="QTK125" s="41"/>
      <c r="QTL125" s="41"/>
      <c r="QTM125" s="41"/>
      <c r="QTN125" s="41"/>
      <c r="QTO125" s="41"/>
      <c r="QTP125" s="41"/>
      <c r="QTQ125" s="41"/>
      <c r="QTR125" s="41"/>
      <c r="QTS125" s="41"/>
      <c r="QTT125" s="41"/>
      <c r="QTU125" s="41"/>
      <c r="QTV125" s="41"/>
      <c r="QTW125" s="41"/>
      <c r="QTX125" s="41"/>
      <c r="QTY125" s="41"/>
      <c r="QTZ125" s="41"/>
      <c r="QUA125" s="41"/>
      <c r="QUB125" s="41"/>
      <c r="QUC125" s="41"/>
      <c r="QUD125" s="41"/>
      <c r="QUE125" s="41"/>
      <c r="QUF125" s="41"/>
      <c r="QUG125" s="41"/>
      <c r="QUH125" s="41"/>
      <c r="QUI125" s="41"/>
      <c r="QUJ125" s="41"/>
      <c r="QUK125" s="41"/>
      <c r="QUL125" s="41"/>
      <c r="QUM125" s="41"/>
      <c r="QUN125" s="41"/>
      <c r="QUO125" s="41"/>
      <c r="QUP125" s="41"/>
      <c r="QUQ125" s="41"/>
      <c r="QUR125" s="41"/>
      <c r="QUS125" s="41"/>
      <c r="QUT125" s="41"/>
      <c r="QUU125" s="41"/>
      <c r="QUV125" s="41"/>
      <c r="QUW125" s="41"/>
      <c r="QUX125" s="41"/>
      <c r="QUY125" s="41"/>
      <c r="QUZ125" s="41"/>
      <c r="QVA125" s="41"/>
      <c r="QVB125" s="41"/>
      <c r="QVC125" s="41"/>
      <c r="QVD125" s="41"/>
      <c r="QVE125" s="41"/>
      <c r="QVF125" s="41"/>
      <c r="QVG125" s="41"/>
      <c r="QVH125" s="41"/>
      <c r="QVI125" s="41"/>
      <c r="QVJ125" s="41"/>
      <c r="QVK125" s="41"/>
      <c r="QVL125" s="41"/>
      <c r="QVM125" s="41"/>
      <c r="QVN125" s="41"/>
      <c r="QVO125" s="41"/>
      <c r="QVP125" s="41"/>
      <c r="QVQ125" s="41"/>
      <c r="QVR125" s="41"/>
      <c r="QVS125" s="41"/>
      <c r="QVT125" s="41"/>
      <c r="QVU125" s="41"/>
      <c r="QVV125" s="41"/>
      <c r="QVW125" s="41"/>
      <c r="QVX125" s="41"/>
      <c r="QVY125" s="41"/>
      <c r="QVZ125" s="41"/>
      <c r="QWA125" s="41"/>
      <c r="QWB125" s="41"/>
      <c r="QWC125" s="41"/>
      <c r="QWD125" s="41"/>
      <c r="QWE125" s="41"/>
      <c r="QWF125" s="41"/>
      <c r="QWG125" s="41"/>
      <c r="QWH125" s="41"/>
      <c r="QWI125" s="41"/>
      <c r="QWJ125" s="41"/>
      <c r="QWK125" s="41"/>
      <c r="QWL125" s="41"/>
      <c r="QWM125" s="41"/>
      <c r="QWN125" s="41"/>
      <c r="QWO125" s="41"/>
      <c r="QWP125" s="41"/>
      <c r="QWQ125" s="41"/>
      <c r="QWR125" s="41"/>
      <c r="QWS125" s="41"/>
      <c r="QWT125" s="41"/>
      <c r="QWU125" s="41"/>
      <c r="QWV125" s="41"/>
      <c r="QWW125" s="41"/>
      <c r="QWX125" s="41"/>
      <c r="QWY125" s="41"/>
      <c r="QWZ125" s="41"/>
      <c r="QXA125" s="41"/>
      <c r="QXB125" s="41"/>
      <c r="QXC125" s="41"/>
      <c r="QXD125" s="41"/>
      <c r="QXE125" s="41"/>
      <c r="QXF125" s="41"/>
      <c r="QXG125" s="41"/>
      <c r="QXH125" s="41"/>
      <c r="QXI125" s="41"/>
      <c r="QXJ125" s="41"/>
      <c r="QXK125" s="41"/>
      <c r="QXL125" s="41"/>
      <c r="QXM125" s="41"/>
      <c r="QXN125" s="41"/>
      <c r="QXO125" s="41"/>
      <c r="QXP125" s="41"/>
      <c r="QXQ125" s="41"/>
      <c r="QXR125" s="41"/>
      <c r="QXS125" s="41"/>
      <c r="QXT125" s="41"/>
      <c r="QXU125" s="41"/>
      <c r="QXV125" s="41"/>
      <c r="QXW125" s="41"/>
      <c r="QXX125" s="41"/>
      <c r="QXY125" s="41"/>
      <c r="QXZ125" s="41"/>
      <c r="QYA125" s="41"/>
      <c r="QYB125" s="41"/>
      <c r="QYC125" s="41"/>
      <c r="QYD125" s="41"/>
      <c r="QYE125" s="41"/>
      <c r="QYF125" s="41"/>
      <c r="QYG125" s="41"/>
      <c r="QYH125" s="41"/>
      <c r="QYI125" s="41"/>
      <c r="QYJ125" s="41"/>
      <c r="QYK125" s="41"/>
      <c r="QYL125" s="41"/>
      <c r="QYM125" s="41"/>
      <c r="QYN125" s="41"/>
      <c r="QYO125" s="41"/>
      <c r="QYP125" s="41"/>
      <c r="QYQ125" s="41"/>
      <c r="QYR125" s="41"/>
      <c r="QYS125" s="41"/>
      <c r="QYT125" s="41"/>
      <c r="QYU125" s="41"/>
      <c r="QYV125" s="41"/>
      <c r="QYW125" s="41"/>
      <c r="QYX125" s="41"/>
      <c r="QYY125" s="41"/>
      <c r="QYZ125" s="41"/>
      <c r="QZA125" s="41"/>
      <c r="QZB125" s="41"/>
      <c r="QZC125" s="41"/>
      <c r="QZD125" s="41"/>
      <c r="QZE125" s="41"/>
      <c r="QZF125" s="41"/>
      <c r="QZG125" s="41"/>
      <c r="QZH125" s="41"/>
      <c r="QZI125" s="41"/>
      <c r="QZJ125" s="41"/>
      <c r="QZK125" s="41"/>
      <c r="QZL125" s="41"/>
      <c r="QZM125" s="41"/>
      <c r="QZN125" s="41"/>
      <c r="QZO125" s="41"/>
      <c r="QZP125" s="41"/>
      <c r="QZQ125" s="41"/>
      <c r="QZR125" s="41"/>
      <c r="QZS125" s="41"/>
      <c r="QZT125" s="41"/>
      <c r="QZU125" s="41"/>
      <c r="QZV125" s="41"/>
      <c r="QZW125" s="41"/>
      <c r="QZX125" s="41"/>
      <c r="QZY125" s="41"/>
      <c r="QZZ125" s="41"/>
      <c r="RAA125" s="41"/>
      <c r="RAB125" s="41"/>
      <c r="RAC125" s="41"/>
      <c r="RAD125" s="41"/>
      <c r="RAE125" s="41"/>
      <c r="RAF125" s="41"/>
      <c r="RAG125" s="41"/>
      <c r="RAH125" s="41"/>
      <c r="RAI125" s="41"/>
      <c r="RAJ125" s="41"/>
      <c r="RAK125" s="41"/>
      <c r="RAL125" s="41"/>
      <c r="RAM125" s="41"/>
      <c r="RAN125" s="41"/>
      <c r="RAO125" s="41"/>
      <c r="RAP125" s="41"/>
      <c r="RAQ125" s="41"/>
      <c r="RAR125" s="41"/>
      <c r="RAS125" s="41"/>
      <c r="RAT125" s="41"/>
      <c r="RAU125" s="41"/>
      <c r="RAV125" s="41"/>
      <c r="RAW125" s="41"/>
      <c r="RAX125" s="41"/>
      <c r="RAY125" s="41"/>
      <c r="RAZ125" s="41"/>
      <c r="RBA125" s="41"/>
      <c r="RBB125" s="41"/>
      <c r="RBC125" s="41"/>
      <c r="RBD125" s="41"/>
      <c r="RBE125" s="41"/>
      <c r="RBF125" s="41"/>
      <c r="RBG125" s="41"/>
      <c r="RBH125" s="41"/>
      <c r="RBI125" s="41"/>
      <c r="RBJ125" s="41"/>
      <c r="RBK125" s="41"/>
      <c r="RBL125" s="41"/>
      <c r="RBM125" s="41"/>
      <c r="RBN125" s="41"/>
      <c r="RBO125" s="41"/>
      <c r="RBP125" s="41"/>
      <c r="RBQ125" s="41"/>
      <c r="RBR125" s="41"/>
      <c r="RBS125" s="41"/>
      <c r="RBT125" s="41"/>
      <c r="RBU125" s="41"/>
      <c r="RBV125" s="41"/>
      <c r="RBW125" s="41"/>
      <c r="RBX125" s="41"/>
      <c r="RBY125" s="41"/>
      <c r="RBZ125" s="41"/>
      <c r="RCA125" s="41"/>
      <c r="RCB125" s="41"/>
      <c r="RCC125" s="41"/>
      <c r="RCD125" s="41"/>
      <c r="RCE125" s="41"/>
      <c r="RCF125" s="41"/>
      <c r="RCG125" s="41"/>
      <c r="RCH125" s="41"/>
      <c r="RCI125" s="41"/>
      <c r="RCJ125" s="41"/>
      <c r="RCK125" s="41"/>
      <c r="RCL125" s="41"/>
      <c r="RCM125" s="41"/>
      <c r="RCN125" s="41"/>
      <c r="RCO125" s="41"/>
      <c r="RCP125" s="41"/>
      <c r="RCQ125" s="41"/>
      <c r="RCR125" s="41"/>
      <c r="RCS125" s="41"/>
      <c r="RCT125" s="41"/>
      <c r="RCU125" s="41"/>
      <c r="RCV125" s="41"/>
      <c r="RCW125" s="41"/>
      <c r="RCX125" s="41"/>
      <c r="RCY125" s="41"/>
      <c r="RCZ125" s="41"/>
      <c r="RDA125" s="41"/>
      <c r="RDB125" s="41"/>
      <c r="RDC125" s="41"/>
      <c r="RDD125" s="41"/>
      <c r="RDE125" s="41"/>
      <c r="RDF125" s="41"/>
      <c r="RDG125" s="41"/>
      <c r="RDH125" s="41"/>
      <c r="RDI125" s="41"/>
      <c r="RDJ125" s="41"/>
      <c r="RDK125" s="41"/>
      <c r="RDL125" s="41"/>
      <c r="RDM125" s="41"/>
      <c r="RDN125" s="41"/>
      <c r="RDO125" s="41"/>
      <c r="RDP125" s="41"/>
      <c r="RDQ125" s="41"/>
      <c r="RDR125" s="41"/>
      <c r="RDS125" s="41"/>
      <c r="RDT125" s="41"/>
      <c r="RDU125" s="41"/>
      <c r="RDV125" s="41"/>
      <c r="RDW125" s="41"/>
      <c r="RDX125" s="41"/>
      <c r="RDY125" s="41"/>
      <c r="RDZ125" s="41"/>
      <c r="REA125" s="41"/>
      <c r="REB125" s="41"/>
      <c r="REC125" s="41"/>
      <c r="RED125" s="41"/>
      <c r="REE125" s="41"/>
      <c r="REF125" s="41"/>
      <c r="REG125" s="41"/>
      <c r="REH125" s="41"/>
      <c r="REI125" s="41"/>
      <c r="REJ125" s="41"/>
      <c r="REK125" s="41"/>
      <c r="REL125" s="41"/>
      <c r="REM125" s="41"/>
      <c r="REN125" s="41"/>
      <c r="REO125" s="41"/>
      <c r="REP125" s="41"/>
      <c r="REQ125" s="41"/>
      <c r="RER125" s="41"/>
      <c r="RES125" s="41"/>
      <c r="RET125" s="41"/>
      <c r="REU125" s="41"/>
      <c r="REV125" s="41"/>
      <c r="REW125" s="41"/>
      <c r="REX125" s="41"/>
      <c r="REY125" s="41"/>
      <c r="REZ125" s="41"/>
      <c r="RFA125" s="41"/>
      <c r="RFB125" s="41"/>
      <c r="RFC125" s="41"/>
      <c r="RFD125" s="41"/>
      <c r="RFE125" s="41"/>
      <c r="RFF125" s="41"/>
      <c r="RFG125" s="41"/>
      <c r="RFH125" s="41"/>
      <c r="RFI125" s="41"/>
      <c r="RFJ125" s="41"/>
      <c r="RFK125" s="41"/>
      <c r="RFL125" s="41"/>
      <c r="RFM125" s="41"/>
      <c r="RFN125" s="41"/>
      <c r="RFO125" s="41"/>
      <c r="RFP125" s="41"/>
      <c r="RFQ125" s="41"/>
      <c r="RFR125" s="41"/>
      <c r="RFS125" s="41"/>
      <c r="RFT125" s="41"/>
      <c r="RFU125" s="41"/>
      <c r="RFV125" s="41"/>
      <c r="RFW125" s="41"/>
      <c r="RFX125" s="41"/>
      <c r="RFY125" s="41"/>
      <c r="RFZ125" s="41"/>
      <c r="RGA125" s="41"/>
      <c r="RGB125" s="41"/>
      <c r="RGC125" s="41"/>
      <c r="RGD125" s="41"/>
      <c r="RGE125" s="41"/>
      <c r="RGF125" s="41"/>
      <c r="RGG125" s="41"/>
      <c r="RGH125" s="41"/>
      <c r="RGI125" s="41"/>
      <c r="RGJ125" s="41"/>
      <c r="RGK125" s="41"/>
      <c r="RGL125" s="41"/>
      <c r="RGM125" s="41"/>
      <c r="RGN125" s="41"/>
      <c r="RGO125" s="41"/>
      <c r="RGP125" s="41"/>
      <c r="RGQ125" s="41"/>
      <c r="RGR125" s="41"/>
      <c r="RGS125" s="41"/>
      <c r="RGT125" s="41"/>
      <c r="RGU125" s="41"/>
      <c r="RGV125" s="41"/>
      <c r="RGW125" s="41"/>
      <c r="RGX125" s="41"/>
      <c r="RGY125" s="41"/>
      <c r="RGZ125" s="41"/>
      <c r="RHA125" s="41"/>
      <c r="RHB125" s="41"/>
      <c r="RHC125" s="41"/>
      <c r="RHD125" s="41"/>
      <c r="RHE125" s="41"/>
      <c r="RHF125" s="41"/>
      <c r="RHG125" s="41"/>
      <c r="RHH125" s="41"/>
      <c r="RHI125" s="41"/>
      <c r="RHJ125" s="41"/>
      <c r="RHK125" s="41"/>
      <c r="RHL125" s="41"/>
      <c r="RHM125" s="41"/>
      <c r="RHN125" s="41"/>
      <c r="RHO125" s="41"/>
      <c r="RHP125" s="41"/>
      <c r="RHQ125" s="41"/>
      <c r="RHR125" s="41"/>
      <c r="RHS125" s="41"/>
      <c r="RHT125" s="41"/>
      <c r="RHU125" s="41"/>
      <c r="RHV125" s="41"/>
      <c r="RHW125" s="41"/>
      <c r="RHX125" s="41"/>
      <c r="RHY125" s="41"/>
      <c r="RHZ125" s="41"/>
      <c r="RIA125" s="41"/>
      <c r="RIB125" s="41"/>
      <c r="RIC125" s="41"/>
      <c r="RID125" s="41"/>
      <c r="RIE125" s="41"/>
      <c r="RIF125" s="41"/>
      <c r="RIG125" s="41"/>
      <c r="RIH125" s="41"/>
      <c r="RII125" s="41"/>
      <c r="RIJ125" s="41"/>
      <c r="RIK125" s="41"/>
      <c r="RIL125" s="41"/>
      <c r="RIM125" s="41"/>
      <c r="RIN125" s="41"/>
      <c r="RIO125" s="41"/>
      <c r="RIP125" s="41"/>
      <c r="RIQ125" s="41"/>
      <c r="RIR125" s="41"/>
      <c r="RIS125" s="41"/>
      <c r="RIT125" s="41"/>
      <c r="RIU125" s="41"/>
      <c r="RIV125" s="41"/>
      <c r="RIW125" s="41"/>
      <c r="RIX125" s="41"/>
      <c r="RIY125" s="41"/>
      <c r="RIZ125" s="41"/>
      <c r="RJA125" s="41"/>
      <c r="RJB125" s="41"/>
      <c r="RJC125" s="41"/>
      <c r="RJD125" s="41"/>
      <c r="RJE125" s="41"/>
      <c r="RJF125" s="41"/>
      <c r="RJG125" s="41"/>
      <c r="RJH125" s="41"/>
      <c r="RJI125" s="41"/>
      <c r="RJJ125" s="41"/>
      <c r="RJK125" s="41"/>
      <c r="RJL125" s="41"/>
      <c r="RJM125" s="41"/>
      <c r="RJN125" s="41"/>
      <c r="RJO125" s="41"/>
      <c r="RJP125" s="41"/>
      <c r="RJQ125" s="41"/>
      <c r="RJR125" s="41"/>
      <c r="RJS125" s="41"/>
      <c r="RJT125" s="41"/>
      <c r="RJU125" s="41"/>
      <c r="RJV125" s="41"/>
      <c r="RJW125" s="41"/>
      <c r="RJX125" s="41"/>
      <c r="RJY125" s="41"/>
      <c r="RJZ125" s="41"/>
      <c r="RKA125" s="41"/>
      <c r="RKB125" s="41"/>
      <c r="RKC125" s="41"/>
      <c r="RKD125" s="41"/>
      <c r="RKE125" s="41"/>
      <c r="RKF125" s="41"/>
      <c r="RKG125" s="41"/>
      <c r="RKH125" s="41"/>
      <c r="RKI125" s="41"/>
      <c r="RKJ125" s="41"/>
      <c r="RKK125" s="41"/>
      <c r="RKL125" s="41"/>
      <c r="RKM125" s="41"/>
      <c r="RKN125" s="41"/>
      <c r="RKO125" s="41"/>
      <c r="RKP125" s="41"/>
      <c r="RKQ125" s="41"/>
      <c r="RKR125" s="41"/>
      <c r="RKS125" s="41"/>
      <c r="RKT125" s="41"/>
      <c r="RKU125" s="41"/>
      <c r="RKV125" s="41"/>
      <c r="RKW125" s="41"/>
      <c r="RKX125" s="41"/>
      <c r="RKY125" s="41"/>
      <c r="RKZ125" s="41"/>
      <c r="RLA125" s="41"/>
      <c r="RLB125" s="41"/>
      <c r="RLC125" s="41"/>
      <c r="RLD125" s="41"/>
      <c r="RLE125" s="41"/>
      <c r="RLF125" s="41"/>
      <c r="RLG125" s="41"/>
      <c r="RLH125" s="41"/>
      <c r="RLI125" s="41"/>
      <c r="RLJ125" s="41"/>
      <c r="RLK125" s="41"/>
      <c r="RLL125" s="41"/>
      <c r="RLM125" s="41"/>
      <c r="RLN125" s="41"/>
      <c r="RLO125" s="41"/>
      <c r="RLP125" s="41"/>
      <c r="RLQ125" s="41"/>
      <c r="RLR125" s="41"/>
      <c r="RLS125" s="41"/>
      <c r="RLT125" s="41"/>
      <c r="RLU125" s="41"/>
      <c r="RLV125" s="41"/>
      <c r="RLW125" s="41"/>
      <c r="RLX125" s="41"/>
      <c r="RLY125" s="41"/>
      <c r="RLZ125" s="41"/>
      <c r="RMA125" s="41"/>
      <c r="RMB125" s="41"/>
      <c r="RMC125" s="41"/>
      <c r="RMD125" s="41"/>
      <c r="RME125" s="41"/>
      <c r="RMF125" s="41"/>
      <c r="RMG125" s="41"/>
      <c r="RMH125" s="41"/>
      <c r="RMI125" s="41"/>
      <c r="RMJ125" s="41"/>
      <c r="RMK125" s="41"/>
      <c r="RML125" s="41"/>
      <c r="RMM125" s="41"/>
      <c r="RMN125" s="41"/>
      <c r="RMO125" s="41"/>
      <c r="RMP125" s="41"/>
      <c r="RMQ125" s="41"/>
      <c r="RMR125" s="41"/>
      <c r="RMS125" s="41"/>
      <c r="RMT125" s="41"/>
      <c r="RMU125" s="41"/>
      <c r="RMV125" s="41"/>
      <c r="RMW125" s="41"/>
      <c r="RMX125" s="41"/>
      <c r="RMY125" s="41"/>
      <c r="RMZ125" s="41"/>
      <c r="RNA125" s="41"/>
      <c r="RNB125" s="41"/>
      <c r="RNC125" s="41"/>
      <c r="RND125" s="41"/>
      <c r="RNE125" s="41"/>
      <c r="RNF125" s="41"/>
      <c r="RNG125" s="41"/>
      <c r="RNH125" s="41"/>
      <c r="RNI125" s="41"/>
      <c r="RNJ125" s="41"/>
      <c r="RNK125" s="41"/>
      <c r="RNL125" s="41"/>
      <c r="RNM125" s="41"/>
      <c r="RNN125" s="41"/>
      <c r="RNO125" s="41"/>
      <c r="RNP125" s="41"/>
      <c r="RNQ125" s="41"/>
      <c r="RNR125" s="41"/>
      <c r="RNS125" s="41"/>
      <c r="RNT125" s="41"/>
      <c r="RNU125" s="41"/>
      <c r="RNV125" s="41"/>
      <c r="RNW125" s="41"/>
      <c r="RNX125" s="41"/>
      <c r="RNY125" s="41"/>
      <c r="RNZ125" s="41"/>
      <c r="ROA125" s="41"/>
      <c r="ROB125" s="41"/>
      <c r="ROC125" s="41"/>
      <c r="ROD125" s="41"/>
      <c r="ROE125" s="41"/>
      <c r="ROF125" s="41"/>
      <c r="ROG125" s="41"/>
      <c r="ROH125" s="41"/>
      <c r="ROI125" s="41"/>
      <c r="ROJ125" s="41"/>
      <c r="ROK125" s="41"/>
      <c r="ROL125" s="41"/>
      <c r="ROM125" s="41"/>
      <c r="RON125" s="41"/>
      <c r="ROO125" s="41"/>
      <c r="ROP125" s="41"/>
      <c r="ROQ125" s="41"/>
      <c r="ROR125" s="41"/>
      <c r="ROS125" s="41"/>
      <c r="ROT125" s="41"/>
      <c r="ROU125" s="41"/>
      <c r="ROV125" s="41"/>
      <c r="ROW125" s="41"/>
      <c r="ROX125" s="41"/>
      <c r="ROY125" s="41"/>
      <c r="ROZ125" s="41"/>
      <c r="RPA125" s="41"/>
      <c r="RPB125" s="41"/>
      <c r="RPC125" s="41"/>
      <c r="RPD125" s="41"/>
      <c r="RPE125" s="41"/>
      <c r="RPF125" s="41"/>
      <c r="RPG125" s="41"/>
      <c r="RPH125" s="41"/>
      <c r="RPI125" s="41"/>
      <c r="RPJ125" s="41"/>
      <c r="RPK125" s="41"/>
      <c r="RPL125" s="41"/>
      <c r="RPM125" s="41"/>
      <c r="RPN125" s="41"/>
      <c r="RPO125" s="41"/>
      <c r="RPP125" s="41"/>
      <c r="RPQ125" s="41"/>
      <c r="RPR125" s="41"/>
      <c r="RPS125" s="41"/>
      <c r="RPT125" s="41"/>
      <c r="RPU125" s="41"/>
      <c r="RPV125" s="41"/>
      <c r="RPW125" s="41"/>
      <c r="RPX125" s="41"/>
      <c r="RPY125" s="41"/>
      <c r="RPZ125" s="41"/>
      <c r="RQA125" s="41"/>
      <c r="RQB125" s="41"/>
      <c r="RQC125" s="41"/>
      <c r="RQD125" s="41"/>
      <c r="RQE125" s="41"/>
      <c r="RQF125" s="41"/>
      <c r="RQG125" s="41"/>
      <c r="RQH125" s="41"/>
      <c r="RQI125" s="41"/>
      <c r="RQJ125" s="41"/>
      <c r="RQK125" s="41"/>
      <c r="RQL125" s="41"/>
      <c r="RQM125" s="41"/>
      <c r="RQN125" s="41"/>
      <c r="RQO125" s="41"/>
      <c r="RQP125" s="41"/>
      <c r="RQQ125" s="41"/>
      <c r="RQR125" s="41"/>
      <c r="RQS125" s="41"/>
      <c r="RQT125" s="41"/>
      <c r="RQU125" s="41"/>
      <c r="RQV125" s="41"/>
      <c r="RQW125" s="41"/>
      <c r="RQX125" s="41"/>
      <c r="RQY125" s="41"/>
      <c r="RQZ125" s="41"/>
      <c r="RRA125" s="41"/>
      <c r="RRB125" s="41"/>
      <c r="RRC125" s="41"/>
      <c r="RRD125" s="41"/>
      <c r="RRE125" s="41"/>
      <c r="RRF125" s="41"/>
      <c r="RRG125" s="41"/>
      <c r="RRH125" s="41"/>
      <c r="RRI125" s="41"/>
      <c r="RRJ125" s="41"/>
      <c r="RRK125" s="41"/>
      <c r="RRL125" s="41"/>
      <c r="RRM125" s="41"/>
      <c r="RRN125" s="41"/>
      <c r="RRO125" s="41"/>
      <c r="RRP125" s="41"/>
      <c r="RRQ125" s="41"/>
      <c r="RRR125" s="41"/>
      <c r="RRS125" s="41"/>
      <c r="RRT125" s="41"/>
      <c r="RRU125" s="41"/>
      <c r="RRV125" s="41"/>
      <c r="RRW125" s="41"/>
      <c r="RRX125" s="41"/>
      <c r="RRY125" s="41"/>
      <c r="RRZ125" s="41"/>
      <c r="RSA125" s="41"/>
      <c r="RSB125" s="41"/>
      <c r="RSC125" s="41"/>
      <c r="RSD125" s="41"/>
      <c r="RSE125" s="41"/>
      <c r="RSF125" s="41"/>
      <c r="RSG125" s="41"/>
      <c r="RSH125" s="41"/>
      <c r="RSI125" s="41"/>
      <c r="RSJ125" s="41"/>
      <c r="RSK125" s="41"/>
      <c r="RSL125" s="41"/>
      <c r="RSM125" s="41"/>
      <c r="RSN125" s="41"/>
      <c r="RSO125" s="41"/>
      <c r="RSP125" s="41"/>
      <c r="RSQ125" s="41"/>
      <c r="RSR125" s="41"/>
      <c r="RSS125" s="41"/>
      <c r="RST125" s="41"/>
      <c r="RSU125" s="41"/>
      <c r="RSV125" s="41"/>
      <c r="RSW125" s="41"/>
      <c r="RSX125" s="41"/>
      <c r="RSY125" s="41"/>
      <c r="RSZ125" s="41"/>
      <c r="RTA125" s="41"/>
      <c r="RTB125" s="41"/>
      <c r="RTC125" s="41"/>
      <c r="RTD125" s="41"/>
      <c r="RTE125" s="41"/>
      <c r="RTF125" s="41"/>
      <c r="RTG125" s="41"/>
      <c r="RTH125" s="41"/>
      <c r="RTI125" s="41"/>
      <c r="RTJ125" s="41"/>
      <c r="RTK125" s="41"/>
      <c r="RTL125" s="41"/>
      <c r="RTM125" s="41"/>
      <c r="RTN125" s="41"/>
      <c r="RTO125" s="41"/>
      <c r="RTP125" s="41"/>
      <c r="RTQ125" s="41"/>
      <c r="RTR125" s="41"/>
      <c r="RTS125" s="41"/>
      <c r="RTT125" s="41"/>
      <c r="RTU125" s="41"/>
      <c r="RTV125" s="41"/>
      <c r="RTW125" s="41"/>
      <c r="RTX125" s="41"/>
      <c r="RTY125" s="41"/>
      <c r="RTZ125" s="41"/>
      <c r="RUA125" s="41"/>
      <c r="RUB125" s="41"/>
      <c r="RUC125" s="41"/>
      <c r="RUD125" s="41"/>
      <c r="RUE125" s="41"/>
      <c r="RUF125" s="41"/>
      <c r="RUG125" s="41"/>
      <c r="RUH125" s="41"/>
      <c r="RUI125" s="41"/>
      <c r="RUJ125" s="41"/>
      <c r="RUK125" s="41"/>
      <c r="RUL125" s="41"/>
      <c r="RUM125" s="41"/>
      <c r="RUN125" s="41"/>
      <c r="RUO125" s="41"/>
      <c r="RUP125" s="41"/>
      <c r="RUQ125" s="41"/>
      <c r="RUR125" s="41"/>
      <c r="RUS125" s="41"/>
      <c r="RUT125" s="41"/>
      <c r="RUU125" s="41"/>
      <c r="RUV125" s="41"/>
      <c r="RUW125" s="41"/>
      <c r="RUX125" s="41"/>
      <c r="RUY125" s="41"/>
      <c r="RUZ125" s="41"/>
      <c r="RVA125" s="41"/>
      <c r="RVB125" s="41"/>
      <c r="RVC125" s="41"/>
      <c r="RVD125" s="41"/>
      <c r="RVE125" s="41"/>
      <c r="RVF125" s="41"/>
      <c r="RVG125" s="41"/>
      <c r="RVH125" s="41"/>
      <c r="RVI125" s="41"/>
      <c r="RVJ125" s="41"/>
      <c r="RVK125" s="41"/>
      <c r="RVL125" s="41"/>
      <c r="RVM125" s="41"/>
      <c r="RVN125" s="41"/>
      <c r="RVO125" s="41"/>
      <c r="RVP125" s="41"/>
      <c r="RVQ125" s="41"/>
      <c r="RVR125" s="41"/>
      <c r="RVS125" s="41"/>
      <c r="RVT125" s="41"/>
      <c r="RVU125" s="41"/>
      <c r="RVV125" s="41"/>
      <c r="RVW125" s="41"/>
      <c r="RVX125" s="41"/>
      <c r="RVY125" s="41"/>
      <c r="RVZ125" s="41"/>
      <c r="RWA125" s="41"/>
      <c r="RWB125" s="41"/>
      <c r="RWC125" s="41"/>
      <c r="RWD125" s="41"/>
      <c r="RWE125" s="41"/>
      <c r="RWF125" s="41"/>
      <c r="RWG125" s="41"/>
      <c r="RWH125" s="41"/>
      <c r="RWI125" s="41"/>
      <c r="RWJ125" s="41"/>
      <c r="RWK125" s="41"/>
      <c r="RWL125" s="41"/>
      <c r="RWM125" s="41"/>
      <c r="RWN125" s="41"/>
      <c r="RWO125" s="41"/>
      <c r="RWP125" s="41"/>
      <c r="RWQ125" s="41"/>
      <c r="RWR125" s="41"/>
      <c r="RWS125" s="41"/>
      <c r="RWT125" s="41"/>
      <c r="RWU125" s="41"/>
      <c r="RWV125" s="41"/>
      <c r="RWW125" s="41"/>
      <c r="RWX125" s="41"/>
      <c r="RWY125" s="41"/>
      <c r="RWZ125" s="41"/>
      <c r="RXA125" s="41"/>
      <c r="RXB125" s="41"/>
      <c r="RXC125" s="41"/>
      <c r="RXD125" s="41"/>
      <c r="RXE125" s="41"/>
      <c r="RXF125" s="41"/>
      <c r="RXG125" s="41"/>
      <c r="RXH125" s="41"/>
      <c r="RXI125" s="41"/>
      <c r="RXJ125" s="41"/>
      <c r="RXK125" s="41"/>
      <c r="RXL125" s="41"/>
      <c r="RXM125" s="41"/>
      <c r="RXN125" s="41"/>
      <c r="RXO125" s="41"/>
      <c r="RXP125" s="41"/>
      <c r="RXQ125" s="41"/>
      <c r="RXR125" s="41"/>
      <c r="RXS125" s="41"/>
      <c r="RXT125" s="41"/>
      <c r="RXU125" s="41"/>
      <c r="RXV125" s="41"/>
      <c r="RXW125" s="41"/>
      <c r="RXX125" s="41"/>
      <c r="RXY125" s="41"/>
      <c r="RXZ125" s="41"/>
      <c r="RYA125" s="41"/>
      <c r="RYB125" s="41"/>
      <c r="RYC125" s="41"/>
      <c r="RYD125" s="41"/>
      <c r="RYE125" s="41"/>
      <c r="RYF125" s="41"/>
      <c r="RYG125" s="41"/>
      <c r="RYH125" s="41"/>
      <c r="RYI125" s="41"/>
      <c r="RYJ125" s="41"/>
      <c r="RYK125" s="41"/>
      <c r="RYL125" s="41"/>
      <c r="RYM125" s="41"/>
      <c r="RYN125" s="41"/>
      <c r="RYO125" s="41"/>
      <c r="RYP125" s="41"/>
      <c r="RYQ125" s="41"/>
      <c r="RYR125" s="41"/>
      <c r="RYS125" s="41"/>
      <c r="RYT125" s="41"/>
      <c r="RYU125" s="41"/>
      <c r="RYV125" s="41"/>
      <c r="RYW125" s="41"/>
      <c r="RYX125" s="41"/>
      <c r="RYY125" s="41"/>
      <c r="RYZ125" s="41"/>
      <c r="RZA125" s="41"/>
      <c r="RZB125" s="41"/>
      <c r="RZC125" s="41"/>
      <c r="RZD125" s="41"/>
      <c r="RZE125" s="41"/>
      <c r="RZF125" s="41"/>
      <c r="RZG125" s="41"/>
      <c r="RZH125" s="41"/>
      <c r="RZI125" s="41"/>
      <c r="RZJ125" s="41"/>
      <c r="RZK125" s="41"/>
      <c r="RZL125" s="41"/>
      <c r="RZM125" s="41"/>
      <c r="RZN125" s="41"/>
      <c r="RZO125" s="41"/>
      <c r="RZP125" s="41"/>
      <c r="RZQ125" s="41"/>
      <c r="RZR125" s="41"/>
      <c r="RZS125" s="41"/>
      <c r="RZT125" s="41"/>
      <c r="RZU125" s="41"/>
      <c r="RZV125" s="41"/>
      <c r="RZW125" s="41"/>
      <c r="RZX125" s="41"/>
      <c r="RZY125" s="41"/>
      <c r="RZZ125" s="41"/>
      <c r="SAA125" s="41"/>
      <c r="SAB125" s="41"/>
      <c r="SAC125" s="41"/>
      <c r="SAD125" s="41"/>
      <c r="SAE125" s="41"/>
      <c r="SAF125" s="41"/>
      <c r="SAG125" s="41"/>
      <c r="SAH125" s="41"/>
      <c r="SAI125" s="41"/>
      <c r="SAJ125" s="41"/>
      <c r="SAK125" s="41"/>
      <c r="SAL125" s="41"/>
      <c r="SAM125" s="41"/>
      <c r="SAN125" s="41"/>
      <c r="SAO125" s="41"/>
      <c r="SAP125" s="41"/>
      <c r="SAQ125" s="41"/>
      <c r="SAR125" s="41"/>
      <c r="SAS125" s="41"/>
      <c r="SAT125" s="41"/>
      <c r="SAU125" s="41"/>
      <c r="SAV125" s="41"/>
      <c r="SAW125" s="41"/>
      <c r="SAX125" s="41"/>
      <c r="SAY125" s="41"/>
      <c r="SAZ125" s="41"/>
      <c r="SBA125" s="41"/>
      <c r="SBB125" s="41"/>
      <c r="SBC125" s="41"/>
      <c r="SBD125" s="41"/>
      <c r="SBE125" s="41"/>
      <c r="SBF125" s="41"/>
      <c r="SBG125" s="41"/>
      <c r="SBH125" s="41"/>
      <c r="SBI125" s="41"/>
      <c r="SBJ125" s="41"/>
      <c r="SBK125" s="41"/>
      <c r="SBL125" s="41"/>
      <c r="SBM125" s="41"/>
      <c r="SBN125" s="41"/>
      <c r="SBO125" s="41"/>
      <c r="SBP125" s="41"/>
      <c r="SBQ125" s="41"/>
      <c r="SBR125" s="41"/>
      <c r="SBS125" s="41"/>
      <c r="SBT125" s="41"/>
      <c r="SBU125" s="41"/>
      <c r="SBV125" s="41"/>
      <c r="SBW125" s="41"/>
      <c r="SBX125" s="41"/>
      <c r="SBY125" s="41"/>
      <c r="SBZ125" s="41"/>
      <c r="SCA125" s="41"/>
      <c r="SCB125" s="41"/>
      <c r="SCC125" s="41"/>
      <c r="SCD125" s="41"/>
      <c r="SCE125" s="41"/>
      <c r="SCF125" s="41"/>
      <c r="SCG125" s="41"/>
      <c r="SCH125" s="41"/>
      <c r="SCI125" s="41"/>
      <c r="SCJ125" s="41"/>
      <c r="SCK125" s="41"/>
      <c r="SCL125" s="41"/>
      <c r="SCM125" s="41"/>
      <c r="SCN125" s="41"/>
      <c r="SCO125" s="41"/>
      <c r="SCP125" s="41"/>
      <c r="SCQ125" s="41"/>
      <c r="SCR125" s="41"/>
      <c r="SCS125" s="41"/>
      <c r="SCT125" s="41"/>
      <c r="SCU125" s="41"/>
      <c r="SCV125" s="41"/>
      <c r="SCW125" s="41"/>
      <c r="SCX125" s="41"/>
      <c r="SCY125" s="41"/>
      <c r="SCZ125" s="41"/>
      <c r="SDA125" s="41"/>
      <c r="SDB125" s="41"/>
      <c r="SDC125" s="41"/>
      <c r="SDD125" s="41"/>
      <c r="SDE125" s="41"/>
      <c r="SDF125" s="41"/>
      <c r="SDG125" s="41"/>
      <c r="SDH125" s="41"/>
      <c r="SDI125" s="41"/>
      <c r="SDJ125" s="41"/>
      <c r="SDK125" s="41"/>
      <c r="SDL125" s="41"/>
      <c r="SDM125" s="41"/>
      <c r="SDN125" s="41"/>
      <c r="SDO125" s="41"/>
      <c r="SDP125" s="41"/>
      <c r="SDQ125" s="41"/>
      <c r="SDR125" s="41"/>
      <c r="SDS125" s="41"/>
      <c r="SDT125" s="41"/>
      <c r="SDU125" s="41"/>
      <c r="SDV125" s="41"/>
      <c r="SDW125" s="41"/>
      <c r="SDX125" s="41"/>
      <c r="SDY125" s="41"/>
      <c r="SDZ125" s="41"/>
      <c r="SEA125" s="41"/>
      <c r="SEB125" s="41"/>
      <c r="SEC125" s="41"/>
      <c r="SED125" s="41"/>
      <c r="SEE125" s="41"/>
      <c r="SEF125" s="41"/>
      <c r="SEG125" s="41"/>
      <c r="SEH125" s="41"/>
      <c r="SEI125" s="41"/>
      <c r="SEJ125" s="41"/>
      <c r="SEK125" s="41"/>
      <c r="SEL125" s="41"/>
      <c r="SEM125" s="41"/>
      <c r="SEN125" s="41"/>
      <c r="SEO125" s="41"/>
      <c r="SEP125" s="41"/>
      <c r="SEQ125" s="41"/>
      <c r="SER125" s="41"/>
      <c r="SES125" s="41"/>
      <c r="SET125" s="41"/>
      <c r="SEU125" s="41"/>
      <c r="SEV125" s="41"/>
      <c r="SEW125" s="41"/>
      <c r="SEX125" s="41"/>
      <c r="SEY125" s="41"/>
      <c r="SEZ125" s="41"/>
      <c r="SFA125" s="41"/>
      <c r="SFB125" s="41"/>
      <c r="SFC125" s="41"/>
      <c r="SFD125" s="41"/>
      <c r="SFE125" s="41"/>
      <c r="SFF125" s="41"/>
      <c r="SFG125" s="41"/>
      <c r="SFH125" s="41"/>
      <c r="SFI125" s="41"/>
      <c r="SFJ125" s="41"/>
      <c r="SFK125" s="41"/>
      <c r="SFL125" s="41"/>
      <c r="SFM125" s="41"/>
      <c r="SFN125" s="41"/>
      <c r="SFO125" s="41"/>
      <c r="SFP125" s="41"/>
      <c r="SFQ125" s="41"/>
      <c r="SFR125" s="41"/>
      <c r="SFS125" s="41"/>
      <c r="SFT125" s="41"/>
      <c r="SFU125" s="41"/>
      <c r="SFV125" s="41"/>
      <c r="SFW125" s="41"/>
      <c r="SFX125" s="41"/>
      <c r="SFY125" s="41"/>
      <c r="SFZ125" s="41"/>
      <c r="SGA125" s="41"/>
      <c r="SGB125" s="41"/>
      <c r="SGC125" s="41"/>
      <c r="SGD125" s="41"/>
      <c r="SGE125" s="41"/>
      <c r="SGF125" s="41"/>
      <c r="SGG125" s="41"/>
      <c r="SGH125" s="41"/>
      <c r="SGI125" s="41"/>
      <c r="SGJ125" s="41"/>
      <c r="SGK125" s="41"/>
      <c r="SGL125" s="41"/>
      <c r="SGM125" s="41"/>
      <c r="SGN125" s="41"/>
      <c r="SGO125" s="41"/>
      <c r="SGP125" s="41"/>
      <c r="SGQ125" s="41"/>
      <c r="SGR125" s="41"/>
      <c r="SGS125" s="41"/>
      <c r="SGT125" s="41"/>
      <c r="SGU125" s="41"/>
      <c r="SGV125" s="41"/>
      <c r="SGW125" s="41"/>
      <c r="SGX125" s="41"/>
      <c r="SGY125" s="41"/>
      <c r="SGZ125" s="41"/>
      <c r="SHA125" s="41"/>
      <c r="SHB125" s="41"/>
      <c r="SHC125" s="41"/>
      <c r="SHD125" s="41"/>
      <c r="SHE125" s="41"/>
      <c r="SHF125" s="41"/>
      <c r="SHG125" s="41"/>
      <c r="SHH125" s="41"/>
      <c r="SHI125" s="41"/>
      <c r="SHJ125" s="41"/>
      <c r="SHK125" s="41"/>
      <c r="SHL125" s="41"/>
      <c r="SHM125" s="41"/>
      <c r="SHN125" s="41"/>
      <c r="SHO125" s="41"/>
      <c r="SHP125" s="41"/>
      <c r="SHQ125" s="41"/>
      <c r="SHR125" s="41"/>
      <c r="SHS125" s="41"/>
      <c r="SHT125" s="41"/>
      <c r="SHU125" s="41"/>
      <c r="SHV125" s="41"/>
      <c r="SHW125" s="41"/>
      <c r="SHX125" s="41"/>
      <c r="SHY125" s="41"/>
      <c r="SHZ125" s="41"/>
      <c r="SIA125" s="41"/>
      <c r="SIB125" s="41"/>
      <c r="SIC125" s="41"/>
      <c r="SID125" s="41"/>
      <c r="SIE125" s="41"/>
      <c r="SIF125" s="41"/>
      <c r="SIG125" s="41"/>
      <c r="SIH125" s="41"/>
      <c r="SII125" s="41"/>
      <c r="SIJ125" s="41"/>
      <c r="SIK125" s="41"/>
      <c r="SIL125" s="41"/>
      <c r="SIM125" s="41"/>
      <c r="SIN125" s="41"/>
      <c r="SIO125" s="41"/>
      <c r="SIP125" s="41"/>
      <c r="SIQ125" s="41"/>
      <c r="SIR125" s="41"/>
      <c r="SIS125" s="41"/>
      <c r="SIT125" s="41"/>
      <c r="SIU125" s="41"/>
      <c r="SIV125" s="41"/>
      <c r="SIW125" s="41"/>
      <c r="SIX125" s="41"/>
      <c r="SIY125" s="41"/>
      <c r="SIZ125" s="41"/>
      <c r="SJA125" s="41"/>
      <c r="SJB125" s="41"/>
      <c r="SJC125" s="41"/>
      <c r="SJD125" s="41"/>
      <c r="SJE125" s="41"/>
      <c r="SJF125" s="41"/>
      <c r="SJG125" s="41"/>
      <c r="SJH125" s="41"/>
      <c r="SJI125" s="41"/>
      <c r="SJJ125" s="41"/>
      <c r="SJK125" s="41"/>
      <c r="SJL125" s="41"/>
      <c r="SJM125" s="41"/>
      <c r="SJN125" s="41"/>
      <c r="SJO125" s="41"/>
      <c r="SJP125" s="41"/>
      <c r="SJQ125" s="41"/>
      <c r="SJR125" s="41"/>
      <c r="SJS125" s="41"/>
      <c r="SJT125" s="41"/>
      <c r="SJU125" s="41"/>
      <c r="SJV125" s="41"/>
      <c r="SJW125" s="41"/>
      <c r="SJX125" s="41"/>
      <c r="SJY125" s="41"/>
      <c r="SJZ125" s="41"/>
      <c r="SKA125" s="41"/>
      <c r="SKB125" s="41"/>
      <c r="SKC125" s="41"/>
      <c r="SKD125" s="41"/>
      <c r="SKE125" s="41"/>
      <c r="SKF125" s="41"/>
      <c r="SKG125" s="41"/>
      <c r="SKH125" s="41"/>
      <c r="SKI125" s="41"/>
      <c r="SKJ125" s="41"/>
      <c r="SKK125" s="41"/>
      <c r="SKL125" s="41"/>
      <c r="SKM125" s="41"/>
      <c r="SKN125" s="41"/>
      <c r="SKO125" s="41"/>
      <c r="SKP125" s="41"/>
      <c r="SKQ125" s="41"/>
      <c r="SKR125" s="41"/>
      <c r="SKS125" s="41"/>
      <c r="SKT125" s="41"/>
      <c r="SKU125" s="41"/>
      <c r="SKV125" s="41"/>
      <c r="SKW125" s="41"/>
      <c r="SKX125" s="41"/>
      <c r="SKY125" s="41"/>
      <c r="SKZ125" s="41"/>
      <c r="SLA125" s="41"/>
      <c r="SLB125" s="41"/>
      <c r="SLC125" s="41"/>
      <c r="SLD125" s="41"/>
      <c r="SLE125" s="41"/>
      <c r="SLF125" s="41"/>
      <c r="SLG125" s="41"/>
      <c r="SLH125" s="41"/>
      <c r="SLI125" s="41"/>
      <c r="SLJ125" s="41"/>
      <c r="SLK125" s="41"/>
      <c r="SLL125" s="41"/>
      <c r="SLM125" s="41"/>
      <c r="SLN125" s="41"/>
      <c r="SLO125" s="41"/>
      <c r="SLP125" s="41"/>
      <c r="SLQ125" s="41"/>
      <c r="SLR125" s="41"/>
      <c r="SLS125" s="41"/>
      <c r="SLT125" s="41"/>
      <c r="SLU125" s="41"/>
      <c r="SLV125" s="41"/>
      <c r="SLW125" s="41"/>
      <c r="SLX125" s="41"/>
      <c r="SLY125" s="41"/>
      <c r="SLZ125" s="41"/>
      <c r="SMA125" s="41"/>
      <c r="SMB125" s="41"/>
      <c r="SMC125" s="41"/>
      <c r="SMD125" s="41"/>
      <c r="SME125" s="41"/>
      <c r="SMF125" s="41"/>
      <c r="SMG125" s="41"/>
      <c r="SMH125" s="41"/>
      <c r="SMI125" s="41"/>
      <c r="SMJ125" s="41"/>
      <c r="SMK125" s="41"/>
      <c r="SML125" s="41"/>
      <c r="SMM125" s="41"/>
      <c r="SMN125" s="41"/>
      <c r="SMO125" s="41"/>
      <c r="SMP125" s="41"/>
      <c r="SMQ125" s="41"/>
      <c r="SMR125" s="41"/>
      <c r="SMS125" s="41"/>
      <c r="SMT125" s="41"/>
      <c r="SMU125" s="41"/>
      <c r="SMV125" s="41"/>
      <c r="SMW125" s="41"/>
      <c r="SMX125" s="41"/>
      <c r="SMY125" s="41"/>
      <c r="SMZ125" s="41"/>
      <c r="SNA125" s="41"/>
      <c r="SNB125" s="41"/>
      <c r="SNC125" s="41"/>
      <c r="SND125" s="41"/>
      <c r="SNE125" s="41"/>
      <c r="SNF125" s="41"/>
      <c r="SNG125" s="41"/>
      <c r="SNH125" s="41"/>
      <c r="SNI125" s="41"/>
      <c r="SNJ125" s="41"/>
      <c r="SNK125" s="41"/>
      <c r="SNL125" s="41"/>
      <c r="SNM125" s="41"/>
      <c r="SNN125" s="41"/>
      <c r="SNO125" s="41"/>
      <c r="SNP125" s="41"/>
      <c r="SNQ125" s="41"/>
      <c r="SNR125" s="41"/>
      <c r="SNS125" s="41"/>
      <c r="SNT125" s="41"/>
      <c r="SNU125" s="41"/>
      <c r="SNV125" s="41"/>
      <c r="SNW125" s="41"/>
      <c r="SNX125" s="41"/>
      <c r="SNY125" s="41"/>
      <c r="SNZ125" s="41"/>
      <c r="SOA125" s="41"/>
      <c r="SOB125" s="41"/>
      <c r="SOC125" s="41"/>
      <c r="SOD125" s="41"/>
      <c r="SOE125" s="41"/>
      <c r="SOF125" s="41"/>
      <c r="SOG125" s="41"/>
      <c r="SOH125" s="41"/>
      <c r="SOI125" s="41"/>
      <c r="SOJ125" s="41"/>
      <c r="SOK125" s="41"/>
      <c r="SOL125" s="41"/>
      <c r="SOM125" s="41"/>
      <c r="SON125" s="41"/>
      <c r="SOO125" s="41"/>
      <c r="SOP125" s="41"/>
      <c r="SOQ125" s="41"/>
      <c r="SOR125" s="41"/>
      <c r="SOS125" s="41"/>
      <c r="SOT125" s="41"/>
      <c r="SOU125" s="41"/>
      <c r="SOV125" s="41"/>
      <c r="SOW125" s="41"/>
      <c r="SOX125" s="41"/>
      <c r="SOY125" s="41"/>
      <c r="SOZ125" s="41"/>
      <c r="SPA125" s="41"/>
      <c r="SPB125" s="41"/>
      <c r="SPC125" s="41"/>
      <c r="SPD125" s="41"/>
      <c r="SPE125" s="41"/>
      <c r="SPF125" s="41"/>
      <c r="SPG125" s="41"/>
      <c r="SPH125" s="41"/>
      <c r="SPI125" s="41"/>
      <c r="SPJ125" s="41"/>
      <c r="SPK125" s="41"/>
      <c r="SPL125" s="41"/>
      <c r="SPM125" s="41"/>
      <c r="SPN125" s="41"/>
      <c r="SPO125" s="41"/>
      <c r="SPP125" s="41"/>
      <c r="SPQ125" s="41"/>
      <c r="SPR125" s="41"/>
      <c r="SPS125" s="41"/>
      <c r="SPT125" s="41"/>
      <c r="SPU125" s="41"/>
      <c r="SPV125" s="41"/>
      <c r="SPW125" s="41"/>
      <c r="SPX125" s="41"/>
      <c r="SPY125" s="41"/>
      <c r="SPZ125" s="41"/>
      <c r="SQA125" s="41"/>
      <c r="SQB125" s="41"/>
      <c r="SQC125" s="41"/>
      <c r="SQD125" s="41"/>
      <c r="SQE125" s="41"/>
      <c r="SQF125" s="41"/>
      <c r="SQG125" s="41"/>
      <c r="SQH125" s="41"/>
      <c r="SQI125" s="41"/>
      <c r="SQJ125" s="41"/>
      <c r="SQK125" s="41"/>
      <c r="SQL125" s="41"/>
      <c r="SQM125" s="41"/>
      <c r="SQN125" s="41"/>
      <c r="SQO125" s="41"/>
      <c r="SQP125" s="41"/>
      <c r="SQQ125" s="41"/>
      <c r="SQR125" s="41"/>
      <c r="SQS125" s="41"/>
      <c r="SQT125" s="41"/>
      <c r="SQU125" s="41"/>
      <c r="SQV125" s="41"/>
      <c r="SQW125" s="41"/>
      <c r="SQX125" s="41"/>
      <c r="SQY125" s="41"/>
      <c r="SQZ125" s="41"/>
      <c r="SRA125" s="41"/>
      <c r="SRB125" s="41"/>
      <c r="SRC125" s="41"/>
      <c r="SRD125" s="41"/>
      <c r="SRE125" s="41"/>
      <c r="SRF125" s="41"/>
      <c r="SRG125" s="41"/>
      <c r="SRH125" s="41"/>
      <c r="SRI125" s="41"/>
      <c r="SRJ125" s="41"/>
      <c r="SRK125" s="41"/>
      <c r="SRL125" s="41"/>
      <c r="SRM125" s="41"/>
      <c r="SRN125" s="41"/>
      <c r="SRO125" s="41"/>
      <c r="SRP125" s="41"/>
      <c r="SRQ125" s="41"/>
      <c r="SRR125" s="41"/>
      <c r="SRS125" s="41"/>
      <c r="SRT125" s="41"/>
      <c r="SRU125" s="41"/>
      <c r="SRV125" s="41"/>
      <c r="SRW125" s="41"/>
      <c r="SRX125" s="41"/>
      <c r="SRY125" s="41"/>
      <c r="SRZ125" s="41"/>
      <c r="SSA125" s="41"/>
      <c r="SSB125" s="41"/>
      <c r="SSC125" s="41"/>
      <c r="SSD125" s="41"/>
      <c r="SSE125" s="41"/>
      <c r="SSF125" s="41"/>
      <c r="SSG125" s="41"/>
      <c r="SSH125" s="41"/>
      <c r="SSI125" s="41"/>
      <c r="SSJ125" s="41"/>
      <c r="SSK125" s="41"/>
      <c r="SSL125" s="41"/>
      <c r="SSM125" s="41"/>
      <c r="SSN125" s="41"/>
      <c r="SSO125" s="41"/>
      <c r="SSP125" s="41"/>
      <c r="SSQ125" s="41"/>
      <c r="SSR125" s="41"/>
      <c r="SSS125" s="41"/>
      <c r="SST125" s="41"/>
      <c r="SSU125" s="41"/>
      <c r="SSV125" s="41"/>
      <c r="SSW125" s="41"/>
      <c r="SSX125" s="41"/>
      <c r="SSY125" s="41"/>
      <c r="SSZ125" s="41"/>
      <c r="STA125" s="41"/>
      <c r="STB125" s="41"/>
      <c r="STC125" s="41"/>
      <c r="STD125" s="41"/>
      <c r="STE125" s="41"/>
      <c r="STF125" s="41"/>
      <c r="STG125" s="41"/>
      <c r="STH125" s="41"/>
      <c r="STI125" s="41"/>
      <c r="STJ125" s="41"/>
      <c r="STK125" s="41"/>
      <c r="STL125" s="41"/>
      <c r="STM125" s="41"/>
      <c r="STN125" s="41"/>
      <c r="STO125" s="41"/>
      <c r="STP125" s="41"/>
      <c r="STQ125" s="41"/>
      <c r="STR125" s="41"/>
      <c r="STS125" s="41"/>
      <c r="STT125" s="41"/>
      <c r="STU125" s="41"/>
      <c r="STV125" s="41"/>
      <c r="STW125" s="41"/>
      <c r="STX125" s="41"/>
      <c r="STY125" s="41"/>
      <c r="STZ125" s="41"/>
      <c r="SUA125" s="41"/>
      <c r="SUB125" s="41"/>
      <c r="SUC125" s="41"/>
      <c r="SUD125" s="41"/>
      <c r="SUE125" s="41"/>
      <c r="SUF125" s="41"/>
      <c r="SUG125" s="41"/>
      <c r="SUH125" s="41"/>
      <c r="SUI125" s="41"/>
      <c r="SUJ125" s="41"/>
      <c r="SUK125" s="41"/>
      <c r="SUL125" s="41"/>
      <c r="SUM125" s="41"/>
      <c r="SUN125" s="41"/>
      <c r="SUO125" s="41"/>
      <c r="SUP125" s="41"/>
      <c r="SUQ125" s="41"/>
      <c r="SUR125" s="41"/>
      <c r="SUS125" s="41"/>
      <c r="SUT125" s="41"/>
      <c r="SUU125" s="41"/>
      <c r="SUV125" s="41"/>
      <c r="SUW125" s="41"/>
      <c r="SUX125" s="41"/>
      <c r="SUY125" s="41"/>
      <c r="SUZ125" s="41"/>
      <c r="SVA125" s="41"/>
      <c r="SVB125" s="41"/>
      <c r="SVC125" s="41"/>
      <c r="SVD125" s="41"/>
      <c r="SVE125" s="41"/>
      <c r="SVF125" s="41"/>
      <c r="SVG125" s="41"/>
      <c r="SVH125" s="41"/>
      <c r="SVI125" s="41"/>
      <c r="SVJ125" s="41"/>
      <c r="SVK125" s="41"/>
      <c r="SVL125" s="41"/>
      <c r="SVM125" s="41"/>
      <c r="SVN125" s="41"/>
      <c r="SVO125" s="41"/>
      <c r="SVP125" s="41"/>
      <c r="SVQ125" s="41"/>
      <c r="SVR125" s="41"/>
      <c r="SVS125" s="41"/>
      <c r="SVT125" s="41"/>
      <c r="SVU125" s="41"/>
      <c r="SVV125" s="41"/>
      <c r="SVW125" s="41"/>
      <c r="SVX125" s="41"/>
      <c r="SVY125" s="41"/>
      <c r="SVZ125" s="41"/>
      <c r="SWA125" s="41"/>
      <c r="SWB125" s="41"/>
      <c r="SWC125" s="41"/>
      <c r="SWD125" s="41"/>
      <c r="SWE125" s="41"/>
      <c r="SWF125" s="41"/>
      <c r="SWG125" s="41"/>
      <c r="SWH125" s="41"/>
      <c r="SWI125" s="41"/>
      <c r="SWJ125" s="41"/>
      <c r="SWK125" s="41"/>
      <c r="SWL125" s="41"/>
      <c r="SWM125" s="41"/>
      <c r="SWN125" s="41"/>
      <c r="SWO125" s="41"/>
      <c r="SWP125" s="41"/>
      <c r="SWQ125" s="41"/>
      <c r="SWR125" s="41"/>
      <c r="SWS125" s="41"/>
      <c r="SWT125" s="41"/>
      <c r="SWU125" s="41"/>
      <c r="SWV125" s="41"/>
      <c r="SWW125" s="41"/>
      <c r="SWX125" s="41"/>
      <c r="SWY125" s="41"/>
      <c r="SWZ125" s="41"/>
      <c r="SXA125" s="41"/>
      <c r="SXB125" s="41"/>
      <c r="SXC125" s="41"/>
      <c r="SXD125" s="41"/>
      <c r="SXE125" s="41"/>
      <c r="SXF125" s="41"/>
      <c r="SXG125" s="41"/>
      <c r="SXH125" s="41"/>
      <c r="SXI125" s="41"/>
      <c r="SXJ125" s="41"/>
      <c r="SXK125" s="41"/>
      <c r="SXL125" s="41"/>
      <c r="SXM125" s="41"/>
      <c r="SXN125" s="41"/>
      <c r="SXO125" s="41"/>
      <c r="SXP125" s="41"/>
      <c r="SXQ125" s="41"/>
      <c r="SXR125" s="41"/>
      <c r="SXS125" s="41"/>
      <c r="SXT125" s="41"/>
      <c r="SXU125" s="41"/>
      <c r="SXV125" s="41"/>
      <c r="SXW125" s="41"/>
      <c r="SXX125" s="41"/>
      <c r="SXY125" s="41"/>
      <c r="SXZ125" s="41"/>
      <c r="SYA125" s="41"/>
      <c r="SYB125" s="41"/>
      <c r="SYC125" s="41"/>
      <c r="SYD125" s="41"/>
      <c r="SYE125" s="41"/>
      <c r="SYF125" s="41"/>
      <c r="SYG125" s="41"/>
      <c r="SYH125" s="41"/>
      <c r="SYI125" s="41"/>
      <c r="SYJ125" s="41"/>
      <c r="SYK125" s="41"/>
      <c r="SYL125" s="41"/>
      <c r="SYM125" s="41"/>
      <c r="SYN125" s="41"/>
      <c r="SYO125" s="41"/>
      <c r="SYP125" s="41"/>
      <c r="SYQ125" s="41"/>
      <c r="SYR125" s="41"/>
      <c r="SYS125" s="41"/>
      <c r="SYT125" s="41"/>
      <c r="SYU125" s="41"/>
      <c r="SYV125" s="41"/>
      <c r="SYW125" s="41"/>
      <c r="SYX125" s="41"/>
      <c r="SYY125" s="41"/>
      <c r="SYZ125" s="41"/>
      <c r="SZA125" s="41"/>
      <c r="SZB125" s="41"/>
      <c r="SZC125" s="41"/>
      <c r="SZD125" s="41"/>
      <c r="SZE125" s="41"/>
      <c r="SZF125" s="41"/>
      <c r="SZG125" s="41"/>
      <c r="SZH125" s="41"/>
      <c r="SZI125" s="41"/>
      <c r="SZJ125" s="41"/>
      <c r="SZK125" s="41"/>
      <c r="SZL125" s="41"/>
      <c r="SZM125" s="41"/>
      <c r="SZN125" s="41"/>
      <c r="SZO125" s="41"/>
      <c r="SZP125" s="41"/>
      <c r="SZQ125" s="41"/>
      <c r="SZR125" s="41"/>
      <c r="SZS125" s="41"/>
      <c r="SZT125" s="41"/>
      <c r="SZU125" s="41"/>
      <c r="SZV125" s="41"/>
      <c r="SZW125" s="41"/>
      <c r="SZX125" s="41"/>
      <c r="SZY125" s="41"/>
      <c r="SZZ125" s="41"/>
      <c r="TAA125" s="41"/>
      <c r="TAB125" s="41"/>
      <c r="TAC125" s="41"/>
      <c r="TAD125" s="41"/>
      <c r="TAE125" s="41"/>
      <c r="TAF125" s="41"/>
      <c r="TAG125" s="41"/>
      <c r="TAH125" s="41"/>
      <c r="TAI125" s="41"/>
      <c r="TAJ125" s="41"/>
      <c r="TAK125" s="41"/>
      <c r="TAL125" s="41"/>
      <c r="TAM125" s="41"/>
      <c r="TAN125" s="41"/>
      <c r="TAO125" s="41"/>
      <c r="TAP125" s="41"/>
      <c r="TAQ125" s="41"/>
      <c r="TAR125" s="41"/>
      <c r="TAS125" s="41"/>
      <c r="TAT125" s="41"/>
      <c r="TAU125" s="41"/>
      <c r="TAV125" s="41"/>
      <c r="TAW125" s="41"/>
      <c r="TAX125" s="41"/>
      <c r="TAY125" s="41"/>
      <c r="TAZ125" s="41"/>
      <c r="TBA125" s="41"/>
      <c r="TBB125" s="41"/>
      <c r="TBC125" s="41"/>
      <c r="TBD125" s="41"/>
      <c r="TBE125" s="41"/>
      <c r="TBF125" s="41"/>
      <c r="TBG125" s="41"/>
      <c r="TBH125" s="41"/>
      <c r="TBI125" s="41"/>
      <c r="TBJ125" s="41"/>
      <c r="TBK125" s="41"/>
      <c r="TBL125" s="41"/>
      <c r="TBM125" s="41"/>
      <c r="TBN125" s="41"/>
      <c r="TBO125" s="41"/>
      <c r="TBP125" s="41"/>
      <c r="TBQ125" s="41"/>
      <c r="TBR125" s="41"/>
      <c r="TBS125" s="41"/>
      <c r="TBT125" s="41"/>
      <c r="TBU125" s="41"/>
      <c r="TBV125" s="41"/>
      <c r="TBW125" s="41"/>
      <c r="TBX125" s="41"/>
      <c r="TBY125" s="41"/>
      <c r="TBZ125" s="41"/>
      <c r="TCA125" s="41"/>
      <c r="TCB125" s="41"/>
      <c r="TCC125" s="41"/>
      <c r="TCD125" s="41"/>
      <c r="TCE125" s="41"/>
      <c r="TCF125" s="41"/>
      <c r="TCG125" s="41"/>
      <c r="TCH125" s="41"/>
      <c r="TCI125" s="41"/>
      <c r="TCJ125" s="41"/>
      <c r="TCK125" s="41"/>
      <c r="TCL125" s="41"/>
      <c r="TCM125" s="41"/>
      <c r="TCN125" s="41"/>
      <c r="TCO125" s="41"/>
      <c r="TCP125" s="41"/>
      <c r="TCQ125" s="41"/>
      <c r="TCR125" s="41"/>
      <c r="TCS125" s="41"/>
      <c r="TCT125" s="41"/>
      <c r="TCU125" s="41"/>
      <c r="TCV125" s="41"/>
      <c r="TCW125" s="41"/>
      <c r="TCX125" s="41"/>
      <c r="TCY125" s="41"/>
      <c r="TCZ125" s="41"/>
      <c r="TDA125" s="41"/>
      <c r="TDB125" s="41"/>
      <c r="TDC125" s="41"/>
      <c r="TDD125" s="41"/>
      <c r="TDE125" s="41"/>
      <c r="TDF125" s="41"/>
      <c r="TDG125" s="41"/>
      <c r="TDH125" s="41"/>
      <c r="TDI125" s="41"/>
      <c r="TDJ125" s="41"/>
      <c r="TDK125" s="41"/>
      <c r="TDL125" s="41"/>
      <c r="TDM125" s="41"/>
      <c r="TDN125" s="41"/>
      <c r="TDO125" s="41"/>
      <c r="TDP125" s="41"/>
      <c r="TDQ125" s="41"/>
      <c r="TDR125" s="41"/>
      <c r="TDS125" s="41"/>
      <c r="TDT125" s="41"/>
      <c r="TDU125" s="41"/>
      <c r="TDV125" s="41"/>
      <c r="TDW125" s="41"/>
      <c r="TDX125" s="41"/>
      <c r="TDY125" s="41"/>
      <c r="TDZ125" s="41"/>
      <c r="TEA125" s="41"/>
      <c r="TEB125" s="41"/>
      <c r="TEC125" s="41"/>
      <c r="TED125" s="41"/>
      <c r="TEE125" s="41"/>
      <c r="TEF125" s="41"/>
      <c r="TEG125" s="41"/>
      <c r="TEH125" s="41"/>
      <c r="TEI125" s="41"/>
      <c r="TEJ125" s="41"/>
      <c r="TEK125" s="41"/>
      <c r="TEL125" s="41"/>
      <c r="TEM125" s="41"/>
      <c r="TEN125" s="41"/>
      <c r="TEO125" s="41"/>
      <c r="TEP125" s="41"/>
      <c r="TEQ125" s="41"/>
      <c r="TER125" s="41"/>
      <c r="TES125" s="41"/>
      <c r="TET125" s="41"/>
      <c r="TEU125" s="41"/>
      <c r="TEV125" s="41"/>
      <c r="TEW125" s="41"/>
      <c r="TEX125" s="41"/>
      <c r="TEY125" s="41"/>
      <c r="TEZ125" s="41"/>
      <c r="TFA125" s="41"/>
      <c r="TFB125" s="41"/>
      <c r="TFC125" s="41"/>
      <c r="TFD125" s="41"/>
      <c r="TFE125" s="41"/>
      <c r="TFF125" s="41"/>
      <c r="TFG125" s="41"/>
      <c r="TFH125" s="41"/>
      <c r="TFI125" s="41"/>
      <c r="TFJ125" s="41"/>
      <c r="TFK125" s="41"/>
      <c r="TFL125" s="41"/>
      <c r="TFM125" s="41"/>
      <c r="TFN125" s="41"/>
      <c r="TFO125" s="41"/>
      <c r="TFP125" s="41"/>
      <c r="TFQ125" s="41"/>
      <c r="TFR125" s="41"/>
      <c r="TFS125" s="41"/>
      <c r="TFT125" s="41"/>
      <c r="TFU125" s="41"/>
      <c r="TFV125" s="41"/>
      <c r="TFW125" s="41"/>
      <c r="TFX125" s="41"/>
      <c r="TFY125" s="41"/>
      <c r="TFZ125" s="41"/>
      <c r="TGA125" s="41"/>
      <c r="TGB125" s="41"/>
      <c r="TGC125" s="41"/>
      <c r="TGD125" s="41"/>
      <c r="TGE125" s="41"/>
      <c r="TGF125" s="41"/>
      <c r="TGG125" s="41"/>
      <c r="TGH125" s="41"/>
      <c r="TGI125" s="41"/>
      <c r="TGJ125" s="41"/>
      <c r="TGK125" s="41"/>
      <c r="TGL125" s="41"/>
      <c r="TGM125" s="41"/>
      <c r="TGN125" s="41"/>
      <c r="TGO125" s="41"/>
      <c r="TGP125" s="41"/>
      <c r="TGQ125" s="41"/>
      <c r="TGR125" s="41"/>
      <c r="TGS125" s="41"/>
      <c r="TGT125" s="41"/>
      <c r="TGU125" s="41"/>
      <c r="TGV125" s="41"/>
      <c r="TGW125" s="41"/>
      <c r="TGX125" s="41"/>
      <c r="TGY125" s="41"/>
      <c r="TGZ125" s="41"/>
      <c r="THA125" s="41"/>
      <c r="THB125" s="41"/>
      <c r="THC125" s="41"/>
      <c r="THD125" s="41"/>
      <c r="THE125" s="41"/>
      <c r="THF125" s="41"/>
      <c r="THG125" s="41"/>
      <c r="THH125" s="41"/>
      <c r="THI125" s="41"/>
      <c r="THJ125" s="41"/>
      <c r="THK125" s="41"/>
      <c r="THL125" s="41"/>
      <c r="THM125" s="41"/>
      <c r="THN125" s="41"/>
      <c r="THO125" s="41"/>
      <c r="THP125" s="41"/>
      <c r="THQ125" s="41"/>
      <c r="THR125" s="41"/>
      <c r="THS125" s="41"/>
      <c r="THT125" s="41"/>
      <c r="THU125" s="41"/>
      <c r="THV125" s="41"/>
      <c r="THW125" s="41"/>
      <c r="THX125" s="41"/>
      <c r="THY125" s="41"/>
      <c r="THZ125" s="41"/>
      <c r="TIA125" s="41"/>
      <c r="TIB125" s="41"/>
      <c r="TIC125" s="41"/>
      <c r="TID125" s="41"/>
      <c r="TIE125" s="41"/>
      <c r="TIF125" s="41"/>
      <c r="TIG125" s="41"/>
      <c r="TIH125" s="41"/>
      <c r="TII125" s="41"/>
      <c r="TIJ125" s="41"/>
      <c r="TIK125" s="41"/>
      <c r="TIL125" s="41"/>
      <c r="TIM125" s="41"/>
      <c r="TIN125" s="41"/>
      <c r="TIO125" s="41"/>
      <c r="TIP125" s="41"/>
      <c r="TIQ125" s="41"/>
      <c r="TIR125" s="41"/>
      <c r="TIS125" s="41"/>
      <c r="TIT125" s="41"/>
      <c r="TIU125" s="41"/>
      <c r="TIV125" s="41"/>
      <c r="TIW125" s="41"/>
      <c r="TIX125" s="41"/>
      <c r="TIY125" s="41"/>
      <c r="TIZ125" s="41"/>
      <c r="TJA125" s="41"/>
      <c r="TJB125" s="41"/>
      <c r="TJC125" s="41"/>
      <c r="TJD125" s="41"/>
      <c r="TJE125" s="41"/>
      <c r="TJF125" s="41"/>
      <c r="TJG125" s="41"/>
      <c r="TJH125" s="41"/>
      <c r="TJI125" s="41"/>
      <c r="TJJ125" s="41"/>
      <c r="TJK125" s="41"/>
      <c r="TJL125" s="41"/>
      <c r="TJM125" s="41"/>
      <c r="TJN125" s="41"/>
      <c r="TJO125" s="41"/>
      <c r="TJP125" s="41"/>
      <c r="TJQ125" s="41"/>
      <c r="TJR125" s="41"/>
      <c r="TJS125" s="41"/>
      <c r="TJT125" s="41"/>
      <c r="TJU125" s="41"/>
      <c r="TJV125" s="41"/>
      <c r="TJW125" s="41"/>
      <c r="TJX125" s="41"/>
      <c r="TJY125" s="41"/>
      <c r="TJZ125" s="41"/>
      <c r="TKA125" s="41"/>
      <c r="TKB125" s="41"/>
      <c r="TKC125" s="41"/>
      <c r="TKD125" s="41"/>
      <c r="TKE125" s="41"/>
      <c r="TKF125" s="41"/>
      <c r="TKG125" s="41"/>
      <c r="TKH125" s="41"/>
      <c r="TKI125" s="41"/>
      <c r="TKJ125" s="41"/>
      <c r="TKK125" s="41"/>
      <c r="TKL125" s="41"/>
      <c r="TKM125" s="41"/>
      <c r="TKN125" s="41"/>
      <c r="TKO125" s="41"/>
      <c r="TKP125" s="41"/>
      <c r="TKQ125" s="41"/>
      <c r="TKR125" s="41"/>
      <c r="TKS125" s="41"/>
      <c r="TKT125" s="41"/>
      <c r="TKU125" s="41"/>
      <c r="TKV125" s="41"/>
      <c r="TKW125" s="41"/>
      <c r="TKX125" s="41"/>
      <c r="TKY125" s="41"/>
      <c r="TKZ125" s="41"/>
      <c r="TLA125" s="41"/>
      <c r="TLB125" s="41"/>
      <c r="TLC125" s="41"/>
      <c r="TLD125" s="41"/>
      <c r="TLE125" s="41"/>
      <c r="TLF125" s="41"/>
      <c r="TLG125" s="41"/>
      <c r="TLH125" s="41"/>
      <c r="TLI125" s="41"/>
      <c r="TLJ125" s="41"/>
      <c r="TLK125" s="41"/>
      <c r="TLL125" s="41"/>
      <c r="TLM125" s="41"/>
      <c r="TLN125" s="41"/>
      <c r="TLO125" s="41"/>
      <c r="TLP125" s="41"/>
      <c r="TLQ125" s="41"/>
      <c r="TLR125" s="41"/>
      <c r="TLS125" s="41"/>
      <c r="TLT125" s="41"/>
      <c r="TLU125" s="41"/>
      <c r="TLV125" s="41"/>
      <c r="TLW125" s="41"/>
      <c r="TLX125" s="41"/>
      <c r="TLY125" s="41"/>
      <c r="TLZ125" s="41"/>
      <c r="TMA125" s="41"/>
      <c r="TMB125" s="41"/>
      <c r="TMC125" s="41"/>
      <c r="TMD125" s="41"/>
      <c r="TME125" s="41"/>
      <c r="TMF125" s="41"/>
      <c r="TMG125" s="41"/>
      <c r="TMH125" s="41"/>
      <c r="TMI125" s="41"/>
      <c r="TMJ125" s="41"/>
      <c r="TMK125" s="41"/>
      <c r="TML125" s="41"/>
      <c r="TMM125" s="41"/>
      <c r="TMN125" s="41"/>
      <c r="TMO125" s="41"/>
      <c r="TMP125" s="41"/>
      <c r="TMQ125" s="41"/>
      <c r="TMR125" s="41"/>
      <c r="TMS125" s="41"/>
      <c r="TMT125" s="41"/>
      <c r="TMU125" s="41"/>
      <c r="TMV125" s="41"/>
      <c r="TMW125" s="41"/>
      <c r="TMX125" s="41"/>
      <c r="TMY125" s="41"/>
      <c r="TMZ125" s="41"/>
      <c r="TNA125" s="41"/>
      <c r="TNB125" s="41"/>
      <c r="TNC125" s="41"/>
      <c r="TND125" s="41"/>
      <c r="TNE125" s="41"/>
      <c r="TNF125" s="41"/>
      <c r="TNG125" s="41"/>
      <c r="TNH125" s="41"/>
      <c r="TNI125" s="41"/>
      <c r="TNJ125" s="41"/>
      <c r="TNK125" s="41"/>
      <c r="TNL125" s="41"/>
      <c r="TNM125" s="41"/>
      <c r="TNN125" s="41"/>
      <c r="TNO125" s="41"/>
      <c r="TNP125" s="41"/>
      <c r="TNQ125" s="41"/>
      <c r="TNR125" s="41"/>
      <c r="TNS125" s="41"/>
      <c r="TNT125" s="41"/>
      <c r="TNU125" s="41"/>
      <c r="TNV125" s="41"/>
      <c r="TNW125" s="41"/>
      <c r="TNX125" s="41"/>
      <c r="TNY125" s="41"/>
      <c r="TNZ125" s="41"/>
      <c r="TOA125" s="41"/>
      <c r="TOB125" s="41"/>
      <c r="TOC125" s="41"/>
      <c r="TOD125" s="41"/>
      <c r="TOE125" s="41"/>
      <c r="TOF125" s="41"/>
      <c r="TOG125" s="41"/>
      <c r="TOH125" s="41"/>
      <c r="TOI125" s="41"/>
      <c r="TOJ125" s="41"/>
      <c r="TOK125" s="41"/>
      <c r="TOL125" s="41"/>
      <c r="TOM125" s="41"/>
      <c r="TON125" s="41"/>
      <c r="TOO125" s="41"/>
      <c r="TOP125" s="41"/>
      <c r="TOQ125" s="41"/>
      <c r="TOR125" s="41"/>
      <c r="TOS125" s="41"/>
      <c r="TOT125" s="41"/>
      <c r="TOU125" s="41"/>
      <c r="TOV125" s="41"/>
      <c r="TOW125" s="41"/>
      <c r="TOX125" s="41"/>
      <c r="TOY125" s="41"/>
      <c r="TOZ125" s="41"/>
      <c r="TPA125" s="41"/>
      <c r="TPB125" s="41"/>
      <c r="TPC125" s="41"/>
      <c r="TPD125" s="41"/>
      <c r="TPE125" s="41"/>
      <c r="TPF125" s="41"/>
      <c r="TPG125" s="41"/>
      <c r="TPH125" s="41"/>
      <c r="TPI125" s="41"/>
      <c r="TPJ125" s="41"/>
      <c r="TPK125" s="41"/>
      <c r="TPL125" s="41"/>
      <c r="TPM125" s="41"/>
      <c r="TPN125" s="41"/>
      <c r="TPO125" s="41"/>
      <c r="TPP125" s="41"/>
      <c r="TPQ125" s="41"/>
      <c r="TPR125" s="41"/>
      <c r="TPS125" s="41"/>
      <c r="TPT125" s="41"/>
      <c r="TPU125" s="41"/>
      <c r="TPV125" s="41"/>
      <c r="TPW125" s="41"/>
      <c r="TPX125" s="41"/>
      <c r="TPY125" s="41"/>
      <c r="TPZ125" s="41"/>
      <c r="TQA125" s="41"/>
      <c r="TQB125" s="41"/>
      <c r="TQC125" s="41"/>
      <c r="TQD125" s="41"/>
      <c r="TQE125" s="41"/>
      <c r="TQF125" s="41"/>
      <c r="TQG125" s="41"/>
      <c r="TQH125" s="41"/>
      <c r="TQI125" s="41"/>
      <c r="TQJ125" s="41"/>
      <c r="TQK125" s="41"/>
      <c r="TQL125" s="41"/>
      <c r="TQM125" s="41"/>
      <c r="TQN125" s="41"/>
      <c r="TQO125" s="41"/>
      <c r="TQP125" s="41"/>
      <c r="TQQ125" s="41"/>
      <c r="TQR125" s="41"/>
      <c r="TQS125" s="41"/>
      <c r="TQT125" s="41"/>
      <c r="TQU125" s="41"/>
      <c r="TQV125" s="41"/>
      <c r="TQW125" s="41"/>
      <c r="TQX125" s="41"/>
      <c r="TQY125" s="41"/>
      <c r="TQZ125" s="41"/>
      <c r="TRA125" s="41"/>
      <c r="TRB125" s="41"/>
      <c r="TRC125" s="41"/>
      <c r="TRD125" s="41"/>
      <c r="TRE125" s="41"/>
      <c r="TRF125" s="41"/>
      <c r="TRG125" s="41"/>
      <c r="TRH125" s="41"/>
      <c r="TRI125" s="41"/>
      <c r="TRJ125" s="41"/>
      <c r="TRK125" s="41"/>
      <c r="TRL125" s="41"/>
      <c r="TRM125" s="41"/>
      <c r="TRN125" s="41"/>
      <c r="TRO125" s="41"/>
      <c r="TRP125" s="41"/>
      <c r="TRQ125" s="41"/>
      <c r="TRR125" s="41"/>
      <c r="TRS125" s="41"/>
      <c r="TRT125" s="41"/>
      <c r="TRU125" s="41"/>
      <c r="TRV125" s="41"/>
      <c r="TRW125" s="41"/>
      <c r="TRX125" s="41"/>
      <c r="TRY125" s="41"/>
      <c r="TRZ125" s="41"/>
      <c r="TSA125" s="41"/>
      <c r="TSB125" s="41"/>
      <c r="TSC125" s="41"/>
      <c r="TSD125" s="41"/>
      <c r="TSE125" s="41"/>
      <c r="TSF125" s="41"/>
      <c r="TSG125" s="41"/>
      <c r="TSH125" s="41"/>
      <c r="TSI125" s="41"/>
      <c r="TSJ125" s="41"/>
      <c r="TSK125" s="41"/>
      <c r="TSL125" s="41"/>
      <c r="TSM125" s="41"/>
      <c r="TSN125" s="41"/>
      <c r="TSO125" s="41"/>
      <c r="TSP125" s="41"/>
      <c r="TSQ125" s="41"/>
      <c r="TSR125" s="41"/>
      <c r="TSS125" s="41"/>
      <c r="TST125" s="41"/>
      <c r="TSU125" s="41"/>
      <c r="TSV125" s="41"/>
      <c r="TSW125" s="41"/>
      <c r="TSX125" s="41"/>
      <c r="TSY125" s="41"/>
      <c r="TSZ125" s="41"/>
      <c r="TTA125" s="41"/>
      <c r="TTB125" s="41"/>
      <c r="TTC125" s="41"/>
      <c r="TTD125" s="41"/>
      <c r="TTE125" s="41"/>
      <c r="TTF125" s="41"/>
      <c r="TTG125" s="41"/>
      <c r="TTH125" s="41"/>
      <c r="TTI125" s="41"/>
      <c r="TTJ125" s="41"/>
      <c r="TTK125" s="41"/>
      <c r="TTL125" s="41"/>
      <c r="TTM125" s="41"/>
      <c r="TTN125" s="41"/>
      <c r="TTO125" s="41"/>
      <c r="TTP125" s="41"/>
      <c r="TTQ125" s="41"/>
      <c r="TTR125" s="41"/>
      <c r="TTS125" s="41"/>
      <c r="TTT125" s="41"/>
      <c r="TTU125" s="41"/>
      <c r="TTV125" s="41"/>
      <c r="TTW125" s="41"/>
      <c r="TTX125" s="41"/>
      <c r="TTY125" s="41"/>
      <c r="TTZ125" s="41"/>
      <c r="TUA125" s="41"/>
      <c r="TUB125" s="41"/>
      <c r="TUC125" s="41"/>
      <c r="TUD125" s="41"/>
      <c r="TUE125" s="41"/>
      <c r="TUF125" s="41"/>
      <c r="TUG125" s="41"/>
      <c r="TUH125" s="41"/>
      <c r="TUI125" s="41"/>
      <c r="TUJ125" s="41"/>
      <c r="TUK125" s="41"/>
      <c r="TUL125" s="41"/>
      <c r="TUM125" s="41"/>
      <c r="TUN125" s="41"/>
      <c r="TUO125" s="41"/>
      <c r="TUP125" s="41"/>
      <c r="TUQ125" s="41"/>
      <c r="TUR125" s="41"/>
      <c r="TUS125" s="41"/>
      <c r="TUT125" s="41"/>
      <c r="TUU125" s="41"/>
      <c r="TUV125" s="41"/>
      <c r="TUW125" s="41"/>
      <c r="TUX125" s="41"/>
      <c r="TUY125" s="41"/>
      <c r="TUZ125" s="41"/>
      <c r="TVA125" s="41"/>
      <c r="TVB125" s="41"/>
      <c r="TVC125" s="41"/>
      <c r="TVD125" s="41"/>
      <c r="TVE125" s="41"/>
      <c r="TVF125" s="41"/>
      <c r="TVG125" s="41"/>
      <c r="TVH125" s="41"/>
      <c r="TVI125" s="41"/>
      <c r="TVJ125" s="41"/>
      <c r="TVK125" s="41"/>
      <c r="TVL125" s="41"/>
      <c r="TVM125" s="41"/>
      <c r="TVN125" s="41"/>
      <c r="TVO125" s="41"/>
      <c r="TVP125" s="41"/>
      <c r="TVQ125" s="41"/>
      <c r="TVR125" s="41"/>
      <c r="TVS125" s="41"/>
      <c r="TVT125" s="41"/>
      <c r="TVU125" s="41"/>
      <c r="TVV125" s="41"/>
      <c r="TVW125" s="41"/>
      <c r="TVX125" s="41"/>
      <c r="TVY125" s="41"/>
      <c r="TVZ125" s="41"/>
      <c r="TWA125" s="41"/>
      <c r="TWB125" s="41"/>
      <c r="TWC125" s="41"/>
      <c r="TWD125" s="41"/>
      <c r="TWE125" s="41"/>
      <c r="TWF125" s="41"/>
      <c r="TWG125" s="41"/>
      <c r="TWH125" s="41"/>
      <c r="TWI125" s="41"/>
      <c r="TWJ125" s="41"/>
      <c r="TWK125" s="41"/>
      <c r="TWL125" s="41"/>
      <c r="TWM125" s="41"/>
      <c r="TWN125" s="41"/>
      <c r="TWO125" s="41"/>
      <c r="TWP125" s="41"/>
      <c r="TWQ125" s="41"/>
      <c r="TWR125" s="41"/>
      <c r="TWS125" s="41"/>
      <c r="TWT125" s="41"/>
      <c r="TWU125" s="41"/>
      <c r="TWV125" s="41"/>
      <c r="TWW125" s="41"/>
      <c r="TWX125" s="41"/>
      <c r="TWY125" s="41"/>
      <c r="TWZ125" s="41"/>
      <c r="TXA125" s="41"/>
      <c r="TXB125" s="41"/>
      <c r="TXC125" s="41"/>
      <c r="TXD125" s="41"/>
      <c r="TXE125" s="41"/>
      <c r="TXF125" s="41"/>
      <c r="TXG125" s="41"/>
      <c r="TXH125" s="41"/>
      <c r="TXI125" s="41"/>
      <c r="TXJ125" s="41"/>
      <c r="TXK125" s="41"/>
      <c r="TXL125" s="41"/>
      <c r="TXM125" s="41"/>
      <c r="TXN125" s="41"/>
      <c r="TXO125" s="41"/>
      <c r="TXP125" s="41"/>
      <c r="TXQ125" s="41"/>
      <c r="TXR125" s="41"/>
      <c r="TXS125" s="41"/>
      <c r="TXT125" s="41"/>
      <c r="TXU125" s="41"/>
      <c r="TXV125" s="41"/>
      <c r="TXW125" s="41"/>
      <c r="TXX125" s="41"/>
      <c r="TXY125" s="41"/>
      <c r="TXZ125" s="41"/>
      <c r="TYA125" s="41"/>
      <c r="TYB125" s="41"/>
      <c r="TYC125" s="41"/>
      <c r="TYD125" s="41"/>
      <c r="TYE125" s="41"/>
      <c r="TYF125" s="41"/>
      <c r="TYG125" s="41"/>
      <c r="TYH125" s="41"/>
      <c r="TYI125" s="41"/>
      <c r="TYJ125" s="41"/>
      <c r="TYK125" s="41"/>
      <c r="TYL125" s="41"/>
      <c r="TYM125" s="41"/>
      <c r="TYN125" s="41"/>
      <c r="TYO125" s="41"/>
      <c r="TYP125" s="41"/>
      <c r="TYQ125" s="41"/>
      <c r="TYR125" s="41"/>
      <c r="TYS125" s="41"/>
      <c r="TYT125" s="41"/>
      <c r="TYU125" s="41"/>
      <c r="TYV125" s="41"/>
      <c r="TYW125" s="41"/>
      <c r="TYX125" s="41"/>
      <c r="TYY125" s="41"/>
      <c r="TYZ125" s="41"/>
      <c r="TZA125" s="41"/>
      <c r="TZB125" s="41"/>
      <c r="TZC125" s="41"/>
      <c r="TZD125" s="41"/>
      <c r="TZE125" s="41"/>
      <c r="TZF125" s="41"/>
      <c r="TZG125" s="41"/>
      <c r="TZH125" s="41"/>
      <c r="TZI125" s="41"/>
      <c r="TZJ125" s="41"/>
      <c r="TZK125" s="41"/>
      <c r="TZL125" s="41"/>
      <c r="TZM125" s="41"/>
      <c r="TZN125" s="41"/>
      <c r="TZO125" s="41"/>
      <c r="TZP125" s="41"/>
      <c r="TZQ125" s="41"/>
      <c r="TZR125" s="41"/>
      <c r="TZS125" s="41"/>
      <c r="TZT125" s="41"/>
      <c r="TZU125" s="41"/>
      <c r="TZV125" s="41"/>
      <c r="TZW125" s="41"/>
      <c r="TZX125" s="41"/>
      <c r="TZY125" s="41"/>
      <c r="TZZ125" s="41"/>
      <c r="UAA125" s="41"/>
      <c r="UAB125" s="41"/>
      <c r="UAC125" s="41"/>
      <c r="UAD125" s="41"/>
      <c r="UAE125" s="41"/>
      <c r="UAF125" s="41"/>
      <c r="UAG125" s="41"/>
      <c r="UAH125" s="41"/>
      <c r="UAI125" s="41"/>
      <c r="UAJ125" s="41"/>
      <c r="UAK125" s="41"/>
      <c r="UAL125" s="41"/>
      <c r="UAM125" s="41"/>
      <c r="UAN125" s="41"/>
      <c r="UAO125" s="41"/>
      <c r="UAP125" s="41"/>
      <c r="UAQ125" s="41"/>
      <c r="UAR125" s="41"/>
      <c r="UAS125" s="41"/>
      <c r="UAT125" s="41"/>
      <c r="UAU125" s="41"/>
      <c r="UAV125" s="41"/>
      <c r="UAW125" s="41"/>
      <c r="UAX125" s="41"/>
      <c r="UAY125" s="41"/>
      <c r="UAZ125" s="41"/>
      <c r="UBA125" s="41"/>
      <c r="UBB125" s="41"/>
      <c r="UBC125" s="41"/>
      <c r="UBD125" s="41"/>
      <c r="UBE125" s="41"/>
      <c r="UBF125" s="41"/>
      <c r="UBG125" s="41"/>
      <c r="UBH125" s="41"/>
      <c r="UBI125" s="41"/>
      <c r="UBJ125" s="41"/>
      <c r="UBK125" s="41"/>
      <c r="UBL125" s="41"/>
      <c r="UBM125" s="41"/>
      <c r="UBN125" s="41"/>
      <c r="UBO125" s="41"/>
      <c r="UBP125" s="41"/>
      <c r="UBQ125" s="41"/>
      <c r="UBR125" s="41"/>
      <c r="UBS125" s="41"/>
      <c r="UBT125" s="41"/>
      <c r="UBU125" s="41"/>
      <c r="UBV125" s="41"/>
      <c r="UBW125" s="41"/>
      <c r="UBX125" s="41"/>
      <c r="UBY125" s="41"/>
      <c r="UBZ125" s="41"/>
      <c r="UCA125" s="41"/>
      <c r="UCB125" s="41"/>
      <c r="UCC125" s="41"/>
      <c r="UCD125" s="41"/>
      <c r="UCE125" s="41"/>
      <c r="UCF125" s="41"/>
      <c r="UCG125" s="41"/>
      <c r="UCH125" s="41"/>
      <c r="UCI125" s="41"/>
      <c r="UCJ125" s="41"/>
      <c r="UCK125" s="41"/>
      <c r="UCL125" s="41"/>
      <c r="UCM125" s="41"/>
      <c r="UCN125" s="41"/>
      <c r="UCO125" s="41"/>
      <c r="UCP125" s="41"/>
      <c r="UCQ125" s="41"/>
      <c r="UCR125" s="41"/>
      <c r="UCS125" s="41"/>
      <c r="UCT125" s="41"/>
      <c r="UCU125" s="41"/>
      <c r="UCV125" s="41"/>
      <c r="UCW125" s="41"/>
      <c r="UCX125" s="41"/>
      <c r="UCY125" s="41"/>
      <c r="UCZ125" s="41"/>
      <c r="UDA125" s="41"/>
      <c r="UDB125" s="41"/>
      <c r="UDC125" s="41"/>
      <c r="UDD125" s="41"/>
      <c r="UDE125" s="41"/>
      <c r="UDF125" s="41"/>
      <c r="UDG125" s="41"/>
      <c r="UDH125" s="41"/>
      <c r="UDI125" s="41"/>
      <c r="UDJ125" s="41"/>
      <c r="UDK125" s="41"/>
      <c r="UDL125" s="41"/>
      <c r="UDM125" s="41"/>
      <c r="UDN125" s="41"/>
      <c r="UDO125" s="41"/>
      <c r="UDP125" s="41"/>
      <c r="UDQ125" s="41"/>
      <c r="UDR125" s="41"/>
      <c r="UDS125" s="41"/>
      <c r="UDT125" s="41"/>
      <c r="UDU125" s="41"/>
      <c r="UDV125" s="41"/>
      <c r="UDW125" s="41"/>
      <c r="UDX125" s="41"/>
      <c r="UDY125" s="41"/>
      <c r="UDZ125" s="41"/>
      <c r="UEA125" s="41"/>
      <c r="UEB125" s="41"/>
      <c r="UEC125" s="41"/>
      <c r="UED125" s="41"/>
      <c r="UEE125" s="41"/>
      <c r="UEF125" s="41"/>
      <c r="UEG125" s="41"/>
      <c r="UEH125" s="41"/>
      <c r="UEI125" s="41"/>
      <c r="UEJ125" s="41"/>
      <c r="UEK125" s="41"/>
      <c r="UEL125" s="41"/>
      <c r="UEM125" s="41"/>
      <c r="UEN125" s="41"/>
      <c r="UEO125" s="41"/>
      <c r="UEP125" s="41"/>
      <c r="UEQ125" s="41"/>
      <c r="UER125" s="41"/>
      <c r="UES125" s="41"/>
      <c r="UET125" s="41"/>
      <c r="UEU125" s="41"/>
      <c r="UEV125" s="41"/>
      <c r="UEW125" s="41"/>
      <c r="UEX125" s="41"/>
      <c r="UEY125" s="41"/>
      <c r="UEZ125" s="41"/>
      <c r="UFA125" s="41"/>
      <c r="UFB125" s="41"/>
      <c r="UFC125" s="41"/>
      <c r="UFD125" s="41"/>
      <c r="UFE125" s="41"/>
      <c r="UFF125" s="41"/>
      <c r="UFG125" s="41"/>
      <c r="UFH125" s="41"/>
      <c r="UFI125" s="41"/>
      <c r="UFJ125" s="41"/>
      <c r="UFK125" s="41"/>
      <c r="UFL125" s="41"/>
      <c r="UFM125" s="41"/>
      <c r="UFN125" s="41"/>
      <c r="UFO125" s="41"/>
      <c r="UFP125" s="41"/>
      <c r="UFQ125" s="41"/>
      <c r="UFR125" s="41"/>
      <c r="UFS125" s="41"/>
      <c r="UFT125" s="41"/>
      <c r="UFU125" s="41"/>
      <c r="UFV125" s="41"/>
      <c r="UFW125" s="41"/>
      <c r="UFX125" s="41"/>
      <c r="UFY125" s="41"/>
      <c r="UFZ125" s="41"/>
      <c r="UGA125" s="41"/>
      <c r="UGB125" s="41"/>
      <c r="UGC125" s="41"/>
      <c r="UGD125" s="41"/>
      <c r="UGE125" s="41"/>
      <c r="UGF125" s="41"/>
      <c r="UGG125" s="41"/>
      <c r="UGH125" s="41"/>
      <c r="UGI125" s="41"/>
      <c r="UGJ125" s="41"/>
      <c r="UGK125" s="41"/>
      <c r="UGL125" s="41"/>
      <c r="UGM125" s="41"/>
      <c r="UGN125" s="41"/>
      <c r="UGO125" s="41"/>
      <c r="UGP125" s="41"/>
      <c r="UGQ125" s="41"/>
      <c r="UGR125" s="41"/>
      <c r="UGS125" s="41"/>
      <c r="UGT125" s="41"/>
      <c r="UGU125" s="41"/>
      <c r="UGV125" s="41"/>
      <c r="UGW125" s="41"/>
      <c r="UGX125" s="41"/>
      <c r="UGY125" s="41"/>
      <c r="UGZ125" s="41"/>
      <c r="UHA125" s="41"/>
      <c r="UHB125" s="41"/>
      <c r="UHC125" s="41"/>
      <c r="UHD125" s="41"/>
      <c r="UHE125" s="41"/>
      <c r="UHF125" s="41"/>
      <c r="UHG125" s="41"/>
      <c r="UHH125" s="41"/>
      <c r="UHI125" s="41"/>
      <c r="UHJ125" s="41"/>
      <c r="UHK125" s="41"/>
      <c r="UHL125" s="41"/>
      <c r="UHM125" s="41"/>
      <c r="UHN125" s="41"/>
      <c r="UHO125" s="41"/>
      <c r="UHP125" s="41"/>
      <c r="UHQ125" s="41"/>
      <c r="UHR125" s="41"/>
      <c r="UHS125" s="41"/>
      <c r="UHT125" s="41"/>
      <c r="UHU125" s="41"/>
      <c r="UHV125" s="41"/>
      <c r="UHW125" s="41"/>
      <c r="UHX125" s="41"/>
      <c r="UHY125" s="41"/>
      <c r="UHZ125" s="41"/>
      <c r="UIA125" s="41"/>
      <c r="UIB125" s="41"/>
      <c r="UIC125" s="41"/>
      <c r="UID125" s="41"/>
      <c r="UIE125" s="41"/>
      <c r="UIF125" s="41"/>
      <c r="UIG125" s="41"/>
      <c r="UIH125" s="41"/>
      <c r="UII125" s="41"/>
      <c r="UIJ125" s="41"/>
      <c r="UIK125" s="41"/>
      <c r="UIL125" s="41"/>
      <c r="UIM125" s="41"/>
      <c r="UIN125" s="41"/>
      <c r="UIO125" s="41"/>
      <c r="UIP125" s="41"/>
      <c r="UIQ125" s="41"/>
      <c r="UIR125" s="41"/>
      <c r="UIS125" s="41"/>
      <c r="UIT125" s="41"/>
      <c r="UIU125" s="41"/>
      <c r="UIV125" s="41"/>
      <c r="UIW125" s="41"/>
      <c r="UIX125" s="41"/>
      <c r="UIY125" s="41"/>
      <c r="UIZ125" s="41"/>
      <c r="UJA125" s="41"/>
      <c r="UJB125" s="41"/>
      <c r="UJC125" s="41"/>
      <c r="UJD125" s="41"/>
      <c r="UJE125" s="41"/>
      <c r="UJF125" s="41"/>
      <c r="UJG125" s="41"/>
      <c r="UJH125" s="41"/>
      <c r="UJI125" s="41"/>
      <c r="UJJ125" s="41"/>
      <c r="UJK125" s="41"/>
      <c r="UJL125" s="41"/>
      <c r="UJM125" s="41"/>
      <c r="UJN125" s="41"/>
      <c r="UJO125" s="41"/>
      <c r="UJP125" s="41"/>
      <c r="UJQ125" s="41"/>
      <c r="UJR125" s="41"/>
      <c r="UJS125" s="41"/>
      <c r="UJT125" s="41"/>
      <c r="UJU125" s="41"/>
      <c r="UJV125" s="41"/>
      <c r="UJW125" s="41"/>
      <c r="UJX125" s="41"/>
      <c r="UJY125" s="41"/>
      <c r="UJZ125" s="41"/>
      <c r="UKA125" s="41"/>
      <c r="UKB125" s="41"/>
      <c r="UKC125" s="41"/>
      <c r="UKD125" s="41"/>
      <c r="UKE125" s="41"/>
      <c r="UKF125" s="41"/>
      <c r="UKG125" s="41"/>
      <c r="UKH125" s="41"/>
      <c r="UKI125" s="41"/>
      <c r="UKJ125" s="41"/>
      <c r="UKK125" s="41"/>
      <c r="UKL125" s="41"/>
      <c r="UKM125" s="41"/>
      <c r="UKN125" s="41"/>
      <c r="UKO125" s="41"/>
      <c r="UKP125" s="41"/>
      <c r="UKQ125" s="41"/>
      <c r="UKR125" s="41"/>
      <c r="UKS125" s="41"/>
      <c r="UKT125" s="41"/>
      <c r="UKU125" s="41"/>
      <c r="UKV125" s="41"/>
      <c r="UKW125" s="41"/>
      <c r="UKX125" s="41"/>
      <c r="UKY125" s="41"/>
      <c r="UKZ125" s="41"/>
      <c r="ULA125" s="41"/>
      <c r="ULB125" s="41"/>
      <c r="ULC125" s="41"/>
      <c r="ULD125" s="41"/>
      <c r="ULE125" s="41"/>
      <c r="ULF125" s="41"/>
      <c r="ULG125" s="41"/>
      <c r="ULH125" s="41"/>
      <c r="ULI125" s="41"/>
      <c r="ULJ125" s="41"/>
      <c r="ULK125" s="41"/>
      <c r="ULL125" s="41"/>
      <c r="ULM125" s="41"/>
      <c r="ULN125" s="41"/>
      <c r="ULO125" s="41"/>
      <c r="ULP125" s="41"/>
      <c r="ULQ125" s="41"/>
      <c r="ULR125" s="41"/>
      <c r="ULS125" s="41"/>
      <c r="ULT125" s="41"/>
      <c r="ULU125" s="41"/>
      <c r="ULV125" s="41"/>
      <c r="ULW125" s="41"/>
      <c r="ULX125" s="41"/>
      <c r="ULY125" s="41"/>
      <c r="ULZ125" s="41"/>
      <c r="UMA125" s="41"/>
      <c r="UMB125" s="41"/>
      <c r="UMC125" s="41"/>
      <c r="UMD125" s="41"/>
      <c r="UME125" s="41"/>
      <c r="UMF125" s="41"/>
      <c r="UMG125" s="41"/>
      <c r="UMH125" s="41"/>
      <c r="UMI125" s="41"/>
      <c r="UMJ125" s="41"/>
      <c r="UMK125" s="41"/>
      <c r="UML125" s="41"/>
      <c r="UMM125" s="41"/>
      <c r="UMN125" s="41"/>
      <c r="UMO125" s="41"/>
      <c r="UMP125" s="41"/>
      <c r="UMQ125" s="41"/>
      <c r="UMR125" s="41"/>
      <c r="UMS125" s="41"/>
      <c r="UMT125" s="41"/>
      <c r="UMU125" s="41"/>
      <c r="UMV125" s="41"/>
      <c r="UMW125" s="41"/>
      <c r="UMX125" s="41"/>
      <c r="UMY125" s="41"/>
      <c r="UMZ125" s="41"/>
      <c r="UNA125" s="41"/>
      <c r="UNB125" s="41"/>
      <c r="UNC125" s="41"/>
      <c r="UND125" s="41"/>
      <c r="UNE125" s="41"/>
      <c r="UNF125" s="41"/>
      <c r="UNG125" s="41"/>
      <c r="UNH125" s="41"/>
      <c r="UNI125" s="41"/>
      <c r="UNJ125" s="41"/>
      <c r="UNK125" s="41"/>
      <c r="UNL125" s="41"/>
      <c r="UNM125" s="41"/>
      <c r="UNN125" s="41"/>
      <c r="UNO125" s="41"/>
      <c r="UNP125" s="41"/>
      <c r="UNQ125" s="41"/>
      <c r="UNR125" s="41"/>
      <c r="UNS125" s="41"/>
      <c r="UNT125" s="41"/>
      <c r="UNU125" s="41"/>
      <c r="UNV125" s="41"/>
      <c r="UNW125" s="41"/>
      <c r="UNX125" s="41"/>
      <c r="UNY125" s="41"/>
      <c r="UNZ125" s="41"/>
      <c r="UOA125" s="41"/>
      <c r="UOB125" s="41"/>
      <c r="UOC125" s="41"/>
      <c r="UOD125" s="41"/>
      <c r="UOE125" s="41"/>
      <c r="UOF125" s="41"/>
      <c r="UOG125" s="41"/>
      <c r="UOH125" s="41"/>
      <c r="UOI125" s="41"/>
      <c r="UOJ125" s="41"/>
      <c r="UOK125" s="41"/>
      <c r="UOL125" s="41"/>
      <c r="UOM125" s="41"/>
      <c r="UON125" s="41"/>
      <c r="UOO125" s="41"/>
      <c r="UOP125" s="41"/>
      <c r="UOQ125" s="41"/>
      <c r="UOR125" s="41"/>
      <c r="UOS125" s="41"/>
      <c r="UOT125" s="41"/>
      <c r="UOU125" s="41"/>
      <c r="UOV125" s="41"/>
      <c r="UOW125" s="41"/>
      <c r="UOX125" s="41"/>
      <c r="UOY125" s="41"/>
      <c r="UOZ125" s="41"/>
      <c r="UPA125" s="41"/>
      <c r="UPB125" s="41"/>
      <c r="UPC125" s="41"/>
      <c r="UPD125" s="41"/>
      <c r="UPE125" s="41"/>
      <c r="UPF125" s="41"/>
      <c r="UPG125" s="41"/>
      <c r="UPH125" s="41"/>
      <c r="UPI125" s="41"/>
      <c r="UPJ125" s="41"/>
      <c r="UPK125" s="41"/>
      <c r="UPL125" s="41"/>
      <c r="UPM125" s="41"/>
      <c r="UPN125" s="41"/>
      <c r="UPO125" s="41"/>
      <c r="UPP125" s="41"/>
      <c r="UPQ125" s="41"/>
      <c r="UPR125" s="41"/>
      <c r="UPS125" s="41"/>
      <c r="UPT125" s="41"/>
      <c r="UPU125" s="41"/>
      <c r="UPV125" s="41"/>
      <c r="UPW125" s="41"/>
      <c r="UPX125" s="41"/>
      <c r="UPY125" s="41"/>
      <c r="UPZ125" s="41"/>
      <c r="UQA125" s="41"/>
      <c r="UQB125" s="41"/>
      <c r="UQC125" s="41"/>
      <c r="UQD125" s="41"/>
      <c r="UQE125" s="41"/>
      <c r="UQF125" s="41"/>
      <c r="UQG125" s="41"/>
      <c r="UQH125" s="41"/>
      <c r="UQI125" s="41"/>
      <c r="UQJ125" s="41"/>
      <c r="UQK125" s="41"/>
      <c r="UQL125" s="41"/>
      <c r="UQM125" s="41"/>
      <c r="UQN125" s="41"/>
      <c r="UQO125" s="41"/>
      <c r="UQP125" s="41"/>
      <c r="UQQ125" s="41"/>
      <c r="UQR125" s="41"/>
      <c r="UQS125" s="41"/>
      <c r="UQT125" s="41"/>
      <c r="UQU125" s="41"/>
      <c r="UQV125" s="41"/>
      <c r="UQW125" s="41"/>
      <c r="UQX125" s="41"/>
      <c r="UQY125" s="41"/>
      <c r="UQZ125" s="41"/>
      <c r="URA125" s="41"/>
      <c r="URB125" s="41"/>
      <c r="URC125" s="41"/>
      <c r="URD125" s="41"/>
      <c r="URE125" s="41"/>
      <c r="URF125" s="41"/>
      <c r="URG125" s="41"/>
      <c r="URH125" s="41"/>
      <c r="URI125" s="41"/>
      <c r="URJ125" s="41"/>
      <c r="URK125" s="41"/>
      <c r="URL125" s="41"/>
      <c r="URM125" s="41"/>
      <c r="URN125" s="41"/>
      <c r="URO125" s="41"/>
      <c r="URP125" s="41"/>
      <c r="URQ125" s="41"/>
      <c r="URR125" s="41"/>
      <c r="URS125" s="41"/>
      <c r="URT125" s="41"/>
      <c r="URU125" s="41"/>
      <c r="URV125" s="41"/>
      <c r="URW125" s="41"/>
      <c r="URX125" s="41"/>
      <c r="URY125" s="41"/>
      <c r="URZ125" s="41"/>
      <c r="USA125" s="41"/>
      <c r="USB125" s="41"/>
      <c r="USC125" s="41"/>
      <c r="USD125" s="41"/>
      <c r="USE125" s="41"/>
      <c r="USF125" s="41"/>
      <c r="USG125" s="41"/>
      <c r="USH125" s="41"/>
      <c r="USI125" s="41"/>
      <c r="USJ125" s="41"/>
      <c r="USK125" s="41"/>
      <c r="USL125" s="41"/>
      <c r="USM125" s="41"/>
      <c r="USN125" s="41"/>
      <c r="USO125" s="41"/>
      <c r="USP125" s="41"/>
      <c r="USQ125" s="41"/>
      <c r="USR125" s="41"/>
      <c r="USS125" s="41"/>
      <c r="UST125" s="41"/>
      <c r="USU125" s="41"/>
      <c r="USV125" s="41"/>
      <c r="USW125" s="41"/>
      <c r="USX125" s="41"/>
      <c r="USY125" s="41"/>
      <c r="USZ125" s="41"/>
      <c r="UTA125" s="41"/>
      <c r="UTB125" s="41"/>
      <c r="UTC125" s="41"/>
      <c r="UTD125" s="41"/>
      <c r="UTE125" s="41"/>
      <c r="UTF125" s="41"/>
      <c r="UTG125" s="41"/>
      <c r="UTH125" s="41"/>
      <c r="UTI125" s="41"/>
      <c r="UTJ125" s="41"/>
      <c r="UTK125" s="41"/>
      <c r="UTL125" s="41"/>
      <c r="UTM125" s="41"/>
      <c r="UTN125" s="41"/>
      <c r="UTO125" s="41"/>
      <c r="UTP125" s="41"/>
      <c r="UTQ125" s="41"/>
      <c r="UTR125" s="41"/>
      <c r="UTS125" s="41"/>
      <c r="UTT125" s="41"/>
      <c r="UTU125" s="41"/>
      <c r="UTV125" s="41"/>
      <c r="UTW125" s="41"/>
      <c r="UTX125" s="41"/>
      <c r="UTY125" s="41"/>
      <c r="UTZ125" s="41"/>
      <c r="UUA125" s="41"/>
      <c r="UUB125" s="41"/>
      <c r="UUC125" s="41"/>
      <c r="UUD125" s="41"/>
      <c r="UUE125" s="41"/>
      <c r="UUF125" s="41"/>
      <c r="UUG125" s="41"/>
      <c r="UUH125" s="41"/>
      <c r="UUI125" s="41"/>
      <c r="UUJ125" s="41"/>
      <c r="UUK125" s="41"/>
      <c r="UUL125" s="41"/>
      <c r="UUM125" s="41"/>
      <c r="UUN125" s="41"/>
      <c r="UUO125" s="41"/>
      <c r="UUP125" s="41"/>
      <c r="UUQ125" s="41"/>
      <c r="UUR125" s="41"/>
      <c r="UUS125" s="41"/>
      <c r="UUT125" s="41"/>
      <c r="UUU125" s="41"/>
      <c r="UUV125" s="41"/>
      <c r="UUW125" s="41"/>
      <c r="UUX125" s="41"/>
      <c r="UUY125" s="41"/>
      <c r="UUZ125" s="41"/>
      <c r="UVA125" s="41"/>
      <c r="UVB125" s="41"/>
      <c r="UVC125" s="41"/>
      <c r="UVD125" s="41"/>
      <c r="UVE125" s="41"/>
      <c r="UVF125" s="41"/>
      <c r="UVG125" s="41"/>
      <c r="UVH125" s="41"/>
      <c r="UVI125" s="41"/>
      <c r="UVJ125" s="41"/>
      <c r="UVK125" s="41"/>
      <c r="UVL125" s="41"/>
      <c r="UVM125" s="41"/>
      <c r="UVN125" s="41"/>
      <c r="UVO125" s="41"/>
      <c r="UVP125" s="41"/>
      <c r="UVQ125" s="41"/>
      <c r="UVR125" s="41"/>
      <c r="UVS125" s="41"/>
      <c r="UVT125" s="41"/>
      <c r="UVU125" s="41"/>
      <c r="UVV125" s="41"/>
      <c r="UVW125" s="41"/>
      <c r="UVX125" s="41"/>
      <c r="UVY125" s="41"/>
      <c r="UVZ125" s="41"/>
      <c r="UWA125" s="41"/>
      <c r="UWB125" s="41"/>
      <c r="UWC125" s="41"/>
      <c r="UWD125" s="41"/>
      <c r="UWE125" s="41"/>
      <c r="UWF125" s="41"/>
      <c r="UWG125" s="41"/>
      <c r="UWH125" s="41"/>
      <c r="UWI125" s="41"/>
      <c r="UWJ125" s="41"/>
      <c r="UWK125" s="41"/>
      <c r="UWL125" s="41"/>
      <c r="UWM125" s="41"/>
      <c r="UWN125" s="41"/>
      <c r="UWO125" s="41"/>
      <c r="UWP125" s="41"/>
      <c r="UWQ125" s="41"/>
      <c r="UWR125" s="41"/>
      <c r="UWS125" s="41"/>
      <c r="UWT125" s="41"/>
      <c r="UWU125" s="41"/>
      <c r="UWV125" s="41"/>
      <c r="UWW125" s="41"/>
      <c r="UWX125" s="41"/>
      <c r="UWY125" s="41"/>
      <c r="UWZ125" s="41"/>
      <c r="UXA125" s="41"/>
      <c r="UXB125" s="41"/>
      <c r="UXC125" s="41"/>
      <c r="UXD125" s="41"/>
      <c r="UXE125" s="41"/>
      <c r="UXF125" s="41"/>
      <c r="UXG125" s="41"/>
      <c r="UXH125" s="41"/>
      <c r="UXI125" s="41"/>
      <c r="UXJ125" s="41"/>
      <c r="UXK125" s="41"/>
      <c r="UXL125" s="41"/>
      <c r="UXM125" s="41"/>
      <c r="UXN125" s="41"/>
      <c r="UXO125" s="41"/>
      <c r="UXP125" s="41"/>
      <c r="UXQ125" s="41"/>
      <c r="UXR125" s="41"/>
      <c r="UXS125" s="41"/>
      <c r="UXT125" s="41"/>
      <c r="UXU125" s="41"/>
      <c r="UXV125" s="41"/>
      <c r="UXW125" s="41"/>
      <c r="UXX125" s="41"/>
      <c r="UXY125" s="41"/>
      <c r="UXZ125" s="41"/>
      <c r="UYA125" s="41"/>
      <c r="UYB125" s="41"/>
      <c r="UYC125" s="41"/>
      <c r="UYD125" s="41"/>
      <c r="UYE125" s="41"/>
      <c r="UYF125" s="41"/>
      <c r="UYG125" s="41"/>
      <c r="UYH125" s="41"/>
      <c r="UYI125" s="41"/>
      <c r="UYJ125" s="41"/>
      <c r="UYK125" s="41"/>
      <c r="UYL125" s="41"/>
      <c r="UYM125" s="41"/>
      <c r="UYN125" s="41"/>
      <c r="UYO125" s="41"/>
      <c r="UYP125" s="41"/>
      <c r="UYQ125" s="41"/>
      <c r="UYR125" s="41"/>
      <c r="UYS125" s="41"/>
      <c r="UYT125" s="41"/>
      <c r="UYU125" s="41"/>
      <c r="UYV125" s="41"/>
      <c r="UYW125" s="41"/>
      <c r="UYX125" s="41"/>
      <c r="UYY125" s="41"/>
      <c r="UYZ125" s="41"/>
      <c r="UZA125" s="41"/>
      <c r="UZB125" s="41"/>
      <c r="UZC125" s="41"/>
      <c r="UZD125" s="41"/>
      <c r="UZE125" s="41"/>
      <c r="UZF125" s="41"/>
      <c r="UZG125" s="41"/>
      <c r="UZH125" s="41"/>
      <c r="UZI125" s="41"/>
      <c r="UZJ125" s="41"/>
      <c r="UZK125" s="41"/>
      <c r="UZL125" s="41"/>
      <c r="UZM125" s="41"/>
      <c r="UZN125" s="41"/>
      <c r="UZO125" s="41"/>
      <c r="UZP125" s="41"/>
      <c r="UZQ125" s="41"/>
      <c r="UZR125" s="41"/>
      <c r="UZS125" s="41"/>
      <c r="UZT125" s="41"/>
      <c r="UZU125" s="41"/>
      <c r="UZV125" s="41"/>
      <c r="UZW125" s="41"/>
      <c r="UZX125" s="41"/>
      <c r="UZY125" s="41"/>
      <c r="UZZ125" s="41"/>
      <c r="VAA125" s="41"/>
      <c r="VAB125" s="41"/>
      <c r="VAC125" s="41"/>
      <c r="VAD125" s="41"/>
      <c r="VAE125" s="41"/>
      <c r="VAF125" s="41"/>
      <c r="VAG125" s="41"/>
      <c r="VAH125" s="41"/>
      <c r="VAI125" s="41"/>
      <c r="VAJ125" s="41"/>
      <c r="VAK125" s="41"/>
      <c r="VAL125" s="41"/>
      <c r="VAM125" s="41"/>
      <c r="VAN125" s="41"/>
      <c r="VAO125" s="41"/>
      <c r="VAP125" s="41"/>
      <c r="VAQ125" s="41"/>
      <c r="VAR125" s="41"/>
      <c r="VAS125" s="41"/>
      <c r="VAT125" s="41"/>
      <c r="VAU125" s="41"/>
      <c r="VAV125" s="41"/>
      <c r="VAW125" s="41"/>
      <c r="VAX125" s="41"/>
      <c r="VAY125" s="41"/>
      <c r="VAZ125" s="41"/>
      <c r="VBA125" s="41"/>
      <c r="VBB125" s="41"/>
      <c r="VBC125" s="41"/>
      <c r="VBD125" s="41"/>
      <c r="VBE125" s="41"/>
      <c r="VBF125" s="41"/>
      <c r="VBG125" s="41"/>
      <c r="VBH125" s="41"/>
      <c r="VBI125" s="41"/>
      <c r="VBJ125" s="41"/>
      <c r="VBK125" s="41"/>
      <c r="VBL125" s="41"/>
      <c r="VBM125" s="41"/>
      <c r="VBN125" s="41"/>
      <c r="VBO125" s="41"/>
      <c r="VBP125" s="41"/>
      <c r="VBQ125" s="41"/>
      <c r="VBR125" s="41"/>
      <c r="VBS125" s="41"/>
      <c r="VBT125" s="41"/>
      <c r="VBU125" s="41"/>
      <c r="VBV125" s="41"/>
      <c r="VBW125" s="41"/>
      <c r="VBX125" s="41"/>
      <c r="VBY125" s="41"/>
      <c r="VBZ125" s="41"/>
      <c r="VCA125" s="41"/>
      <c r="VCB125" s="41"/>
      <c r="VCC125" s="41"/>
      <c r="VCD125" s="41"/>
      <c r="VCE125" s="41"/>
      <c r="VCF125" s="41"/>
      <c r="VCG125" s="41"/>
      <c r="VCH125" s="41"/>
      <c r="VCI125" s="41"/>
      <c r="VCJ125" s="41"/>
      <c r="VCK125" s="41"/>
      <c r="VCL125" s="41"/>
      <c r="VCM125" s="41"/>
      <c r="VCN125" s="41"/>
      <c r="VCO125" s="41"/>
      <c r="VCP125" s="41"/>
      <c r="VCQ125" s="41"/>
      <c r="VCR125" s="41"/>
      <c r="VCS125" s="41"/>
      <c r="VCT125" s="41"/>
      <c r="VCU125" s="41"/>
      <c r="VCV125" s="41"/>
      <c r="VCW125" s="41"/>
      <c r="VCX125" s="41"/>
      <c r="VCY125" s="41"/>
      <c r="VCZ125" s="41"/>
      <c r="VDA125" s="41"/>
      <c r="VDB125" s="41"/>
      <c r="VDC125" s="41"/>
      <c r="VDD125" s="41"/>
      <c r="VDE125" s="41"/>
      <c r="VDF125" s="41"/>
      <c r="VDG125" s="41"/>
      <c r="VDH125" s="41"/>
      <c r="VDI125" s="41"/>
      <c r="VDJ125" s="41"/>
      <c r="VDK125" s="41"/>
      <c r="VDL125" s="41"/>
      <c r="VDM125" s="41"/>
      <c r="VDN125" s="41"/>
      <c r="VDO125" s="41"/>
      <c r="VDP125" s="41"/>
      <c r="VDQ125" s="41"/>
      <c r="VDR125" s="41"/>
      <c r="VDS125" s="41"/>
      <c r="VDT125" s="41"/>
      <c r="VDU125" s="41"/>
      <c r="VDV125" s="41"/>
      <c r="VDW125" s="41"/>
      <c r="VDX125" s="41"/>
      <c r="VDY125" s="41"/>
      <c r="VDZ125" s="41"/>
      <c r="VEA125" s="41"/>
      <c r="VEB125" s="41"/>
      <c r="VEC125" s="41"/>
      <c r="VED125" s="41"/>
      <c r="VEE125" s="41"/>
      <c r="VEF125" s="41"/>
      <c r="VEG125" s="41"/>
      <c r="VEH125" s="41"/>
      <c r="VEI125" s="41"/>
      <c r="VEJ125" s="41"/>
      <c r="VEK125" s="41"/>
      <c r="VEL125" s="41"/>
      <c r="VEM125" s="41"/>
      <c r="VEN125" s="41"/>
      <c r="VEO125" s="41"/>
      <c r="VEP125" s="41"/>
      <c r="VEQ125" s="41"/>
      <c r="VER125" s="41"/>
      <c r="VES125" s="41"/>
      <c r="VET125" s="41"/>
      <c r="VEU125" s="41"/>
      <c r="VEV125" s="41"/>
      <c r="VEW125" s="41"/>
      <c r="VEX125" s="41"/>
      <c r="VEY125" s="41"/>
      <c r="VEZ125" s="41"/>
      <c r="VFA125" s="41"/>
      <c r="VFB125" s="41"/>
      <c r="VFC125" s="41"/>
      <c r="VFD125" s="41"/>
      <c r="VFE125" s="41"/>
      <c r="VFF125" s="41"/>
      <c r="VFG125" s="41"/>
      <c r="VFH125" s="41"/>
      <c r="VFI125" s="41"/>
      <c r="VFJ125" s="41"/>
      <c r="VFK125" s="41"/>
      <c r="VFL125" s="41"/>
      <c r="VFM125" s="41"/>
      <c r="VFN125" s="41"/>
      <c r="VFO125" s="41"/>
      <c r="VFP125" s="41"/>
      <c r="VFQ125" s="41"/>
      <c r="VFR125" s="41"/>
      <c r="VFS125" s="41"/>
      <c r="VFT125" s="41"/>
      <c r="VFU125" s="41"/>
      <c r="VFV125" s="41"/>
      <c r="VFW125" s="41"/>
      <c r="VFX125" s="41"/>
      <c r="VFY125" s="41"/>
      <c r="VFZ125" s="41"/>
      <c r="VGA125" s="41"/>
      <c r="VGB125" s="41"/>
      <c r="VGC125" s="41"/>
      <c r="VGD125" s="41"/>
      <c r="VGE125" s="41"/>
      <c r="VGF125" s="41"/>
      <c r="VGG125" s="41"/>
      <c r="VGH125" s="41"/>
      <c r="VGI125" s="41"/>
      <c r="VGJ125" s="41"/>
      <c r="VGK125" s="41"/>
      <c r="VGL125" s="41"/>
      <c r="VGM125" s="41"/>
      <c r="VGN125" s="41"/>
      <c r="VGO125" s="41"/>
      <c r="VGP125" s="41"/>
      <c r="VGQ125" s="41"/>
      <c r="VGR125" s="41"/>
      <c r="VGS125" s="41"/>
      <c r="VGT125" s="41"/>
      <c r="VGU125" s="41"/>
      <c r="VGV125" s="41"/>
      <c r="VGW125" s="41"/>
      <c r="VGX125" s="41"/>
      <c r="VGY125" s="41"/>
      <c r="VGZ125" s="41"/>
      <c r="VHA125" s="41"/>
      <c r="VHB125" s="41"/>
      <c r="VHC125" s="41"/>
      <c r="VHD125" s="41"/>
      <c r="VHE125" s="41"/>
      <c r="VHF125" s="41"/>
      <c r="VHG125" s="41"/>
      <c r="VHH125" s="41"/>
      <c r="VHI125" s="41"/>
      <c r="VHJ125" s="41"/>
      <c r="VHK125" s="41"/>
      <c r="VHL125" s="41"/>
      <c r="VHM125" s="41"/>
      <c r="VHN125" s="41"/>
      <c r="VHO125" s="41"/>
      <c r="VHP125" s="41"/>
      <c r="VHQ125" s="41"/>
      <c r="VHR125" s="41"/>
      <c r="VHS125" s="41"/>
      <c r="VHT125" s="41"/>
      <c r="VHU125" s="41"/>
      <c r="VHV125" s="41"/>
      <c r="VHW125" s="41"/>
      <c r="VHX125" s="41"/>
      <c r="VHY125" s="41"/>
      <c r="VHZ125" s="41"/>
      <c r="VIA125" s="41"/>
      <c r="VIB125" s="41"/>
      <c r="VIC125" s="41"/>
      <c r="VID125" s="41"/>
      <c r="VIE125" s="41"/>
      <c r="VIF125" s="41"/>
      <c r="VIG125" s="41"/>
      <c r="VIH125" s="41"/>
      <c r="VII125" s="41"/>
      <c r="VIJ125" s="41"/>
      <c r="VIK125" s="41"/>
      <c r="VIL125" s="41"/>
      <c r="VIM125" s="41"/>
      <c r="VIN125" s="41"/>
      <c r="VIO125" s="41"/>
      <c r="VIP125" s="41"/>
      <c r="VIQ125" s="41"/>
      <c r="VIR125" s="41"/>
      <c r="VIS125" s="41"/>
      <c r="VIT125" s="41"/>
      <c r="VIU125" s="41"/>
      <c r="VIV125" s="41"/>
      <c r="VIW125" s="41"/>
      <c r="VIX125" s="41"/>
      <c r="VIY125" s="41"/>
      <c r="VIZ125" s="41"/>
      <c r="VJA125" s="41"/>
      <c r="VJB125" s="41"/>
      <c r="VJC125" s="41"/>
      <c r="VJD125" s="41"/>
      <c r="VJE125" s="41"/>
      <c r="VJF125" s="41"/>
      <c r="VJG125" s="41"/>
      <c r="VJH125" s="41"/>
      <c r="VJI125" s="41"/>
      <c r="VJJ125" s="41"/>
      <c r="VJK125" s="41"/>
      <c r="VJL125" s="41"/>
      <c r="VJM125" s="41"/>
      <c r="VJN125" s="41"/>
      <c r="VJO125" s="41"/>
      <c r="VJP125" s="41"/>
      <c r="VJQ125" s="41"/>
      <c r="VJR125" s="41"/>
      <c r="VJS125" s="41"/>
      <c r="VJT125" s="41"/>
      <c r="VJU125" s="41"/>
      <c r="VJV125" s="41"/>
      <c r="VJW125" s="41"/>
      <c r="VJX125" s="41"/>
      <c r="VJY125" s="41"/>
      <c r="VJZ125" s="41"/>
      <c r="VKA125" s="41"/>
      <c r="VKB125" s="41"/>
      <c r="VKC125" s="41"/>
      <c r="VKD125" s="41"/>
      <c r="VKE125" s="41"/>
      <c r="VKF125" s="41"/>
      <c r="VKG125" s="41"/>
      <c r="VKH125" s="41"/>
      <c r="VKI125" s="41"/>
      <c r="VKJ125" s="41"/>
      <c r="VKK125" s="41"/>
      <c r="VKL125" s="41"/>
      <c r="VKM125" s="41"/>
      <c r="VKN125" s="41"/>
      <c r="VKO125" s="41"/>
      <c r="VKP125" s="41"/>
      <c r="VKQ125" s="41"/>
      <c r="VKR125" s="41"/>
      <c r="VKS125" s="41"/>
      <c r="VKT125" s="41"/>
      <c r="VKU125" s="41"/>
      <c r="VKV125" s="41"/>
      <c r="VKW125" s="41"/>
      <c r="VKX125" s="41"/>
      <c r="VKY125" s="41"/>
      <c r="VKZ125" s="41"/>
      <c r="VLA125" s="41"/>
      <c r="VLB125" s="41"/>
      <c r="VLC125" s="41"/>
      <c r="VLD125" s="41"/>
      <c r="VLE125" s="41"/>
      <c r="VLF125" s="41"/>
      <c r="VLG125" s="41"/>
      <c r="VLH125" s="41"/>
      <c r="VLI125" s="41"/>
      <c r="VLJ125" s="41"/>
      <c r="VLK125" s="41"/>
      <c r="VLL125" s="41"/>
      <c r="VLM125" s="41"/>
      <c r="VLN125" s="41"/>
      <c r="VLO125" s="41"/>
      <c r="VLP125" s="41"/>
      <c r="VLQ125" s="41"/>
      <c r="VLR125" s="41"/>
      <c r="VLS125" s="41"/>
      <c r="VLT125" s="41"/>
      <c r="VLU125" s="41"/>
      <c r="VLV125" s="41"/>
      <c r="VLW125" s="41"/>
      <c r="VLX125" s="41"/>
      <c r="VLY125" s="41"/>
      <c r="VLZ125" s="41"/>
      <c r="VMA125" s="41"/>
      <c r="VMB125" s="41"/>
      <c r="VMC125" s="41"/>
      <c r="VMD125" s="41"/>
      <c r="VME125" s="41"/>
      <c r="VMF125" s="41"/>
      <c r="VMG125" s="41"/>
      <c r="VMH125" s="41"/>
      <c r="VMI125" s="41"/>
      <c r="VMJ125" s="41"/>
      <c r="VMK125" s="41"/>
      <c r="VML125" s="41"/>
      <c r="VMM125" s="41"/>
      <c r="VMN125" s="41"/>
      <c r="VMO125" s="41"/>
      <c r="VMP125" s="41"/>
      <c r="VMQ125" s="41"/>
      <c r="VMR125" s="41"/>
      <c r="VMS125" s="41"/>
      <c r="VMT125" s="41"/>
      <c r="VMU125" s="41"/>
      <c r="VMV125" s="41"/>
      <c r="VMW125" s="41"/>
      <c r="VMX125" s="41"/>
      <c r="VMY125" s="41"/>
      <c r="VMZ125" s="41"/>
      <c r="VNA125" s="41"/>
      <c r="VNB125" s="41"/>
      <c r="VNC125" s="41"/>
      <c r="VND125" s="41"/>
      <c r="VNE125" s="41"/>
      <c r="VNF125" s="41"/>
      <c r="VNG125" s="41"/>
      <c r="VNH125" s="41"/>
      <c r="VNI125" s="41"/>
      <c r="VNJ125" s="41"/>
      <c r="VNK125" s="41"/>
      <c r="VNL125" s="41"/>
      <c r="VNM125" s="41"/>
      <c r="VNN125" s="41"/>
      <c r="VNO125" s="41"/>
      <c r="VNP125" s="41"/>
      <c r="VNQ125" s="41"/>
      <c r="VNR125" s="41"/>
      <c r="VNS125" s="41"/>
      <c r="VNT125" s="41"/>
      <c r="VNU125" s="41"/>
      <c r="VNV125" s="41"/>
      <c r="VNW125" s="41"/>
      <c r="VNX125" s="41"/>
      <c r="VNY125" s="41"/>
      <c r="VNZ125" s="41"/>
      <c r="VOA125" s="41"/>
      <c r="VOB125" s="41"/>
      <c r="VOC125" s="41"/>
      <c r="VOD125" s="41"/>
      <c r="VOE125" s="41"/>
      <c r="VOF125" s="41"/>
      <c r="VOG125" s="41"/>
      <c r="VOH125" s="41"/>
      <c r="VOI125" s="41"/>
      <c r="VOJ125" s="41"/>
      <c r="VOK125" s="41"/>
      <c r="VOL125" s="41"/>
      <c r="VOM125" s="41"/>
      <c r="VON125" s="41"/>
      <c r="VOO125" s="41"/>
      <c r="VOP125" s="41"/>
      <c r="VOQ125" s="41"/>
      <c r="VOR125" s="41"/>
      <c r="VOS125" s="41"/>
      <c r="VOT125" s="41"/>
      <c r="VOU125" s="41"/>
      <c r="VOV125" s="41"/>
      <c r="VOW125" s="41"/>
      <c r="VOX125" s="41"/>
      <c r="VOY125" s="41"/>
      <c r="VOZ125" s="41"/>
      <c r="VPA125" s="41"/>
      <c r="VPB125" s="41"/>
      <c r="VPC125" s="41"/>
      <c r="VPD125" s="41"/>
      <c r="VPE125" s="41"/>
      <c r="VPF125" s="41"/>
      <c r="VPG125" s="41"/>
      <c r="VPH125" s="41"/>
      <c r="VPI125" s="41"/>
      <c r="VPJ125" s="41"/>
      <c r="VPK125" s="41"/>
      <c r="VPL125" s="41"/>
      <c r="VPM125" s="41"/>
      <c r="VPN125" s="41"/>
      <c r="VPO125" s="41"/>
      <c r="VPP125" s="41"/>
      <c r="VPQ125" s="41"/>
      <c r="VPR125" s="41"/>
      <c r="VPS125" s="41"/>
      <c r="VPT125" s="41"/>
      <c r="VPU125" s="41"/>
      <c r="VPV125" s="41"/>
      <c r="VPW125" s="41"/>
      <c r="VPX125" s="41"/>
      <c r="VPY125" s="41"/>
      <c r="VPZ125" s="41"/>
      <c r="VQA125" s="41"/>
      <c r="VQB125" s="41"/>
      <c r="VQC125" s="41"/>
      <c r="VQD125" s="41"/>
      <c r="VQE125" s="41"/>
      <c r="VQF125" s="41"/>
      <c r="VQG125" s="41"/>
      <c r="VQH125" s="41"/>
      <c r="VQI125" s="41"/>
      <c r="VQJ125" s="41"/>
      <c r="VQK125" s="41"/>
      <c r="VQL125" s="41"/>
      <c r="VQM125" s="41"/>
      <c r="VQN125" s="41"/>
      <c r="VQO125" s="41"/>
      <c r="VQP125" s="41"/>
      <c r="VQQ125" s="41"/>
      <c r="VQR125" s="41"/>
      <c r="VQS125" s="41"/>
      <c r="VQT125" s="41"/>
      <c r="VQU125" s="41"/>
      <c r="VQV125" s="41"/>
      <c r="VQW125" s="41"/>
      <c r="VQX125" s="41"/>
      <c r="VQY125" s="41"/>
      <c r="VQZ125" s="41"/>
      <c r="VRA125" s="41"/>
      <c r="VRB125" s="41"/>
      <c r="VRC125" s="41"/>
      <c r="VRD125" s="41"/>
      <c r="VRE125" s="41"/>
      <c r="VRF125" s="41"/>
      <c r="VRG125" s="41"/>
      <c r="VRH125" s="41"/>
      <c r="VRI125" s="41"/>
      <c r="VRJ125" s="41"/>
      <c r="VRK125" s="41"/>
      <c r="VRL125" s="41"/>
      <c r="VRM125" s="41"/>
      <c r="VRN125" s="41"/>
      <c r="VRO125" s="41"/>
      <c r="VRP125" s="41"/>
      <c r="VRQ125" s="41"/>
      <c r="VRR125" s="41"/>
      <c r="VRS125" s="41"/>
      <c r="VRT125" s="41"/>
      <c r="VRU125" s="41"/>
      <c r="VRV125" s="41"/>
      <c r="VRW125" s="41"/>
      <c r="VRX125" s="41"/>
      <c r="VRY125" s="41"/>
      <c r="VRZ125" s="41"/>
      <c r="VSA125" s="41"/>
      <c r="VSB125" s="41"/>
      <c r="VSC125" s="41"/>
      <c r="VSD125" s="41"/>
      <c r="VSE125" s="41"/>
      <c r="VSF125" s="41"/>
      <c r="VSG125" s="41"/>
      <c r="VSH125" s="41"/>
      <c r="VSI125" s="41"/>
      <c r="VSJ125" s="41"/>
      <c r="VSK125" s="41"/>
      <c r="VSL125" s="41"/>
      <c r="VSM125" s="41"/>
      <c r="VSN125" s="41"/>
      <c r="VSO125" s="41"/>
      <c r="VSP125" s="41"/>
      <c r="VSQ125" s="41"/>
      <c r="VSR125" s="41"/>
      <c r="VSS125" s="41"/>
      <c r="VST125" s="41"/>
      <c r="VSU125" s="41"/>
      <c r="VSV125" s="41"/>
      <c r="VSW125" s="41"/>
      <c r="VSX125" s="41"/>
      <c r="VSY125" s="41"/>
      <c r="VSZ125" s="41"/>
      <c r="VTA125" s="41"/>
      <c r="VTB125" s="41"/>
      <c r="VTC125" s="41"/>
      <c r="VTD125" s="41"/>
      <c r="VTE125" s="41"/>
      <c r="VTF125" s="41"/>
      <c r="VTG125" s="41"/>
      <c r="VTH125" s="41"/>
      <c r="VTI125" s="41"/>
      <c r="VTJ125" s="41"/>
      <c r="VTK125" s="41"/>
      <c r="VTL125" s="41"/>
      <c r="VTM125" s="41"/>
      <c r="VTN125" s="41"/>
      <c r="VTO125" s="41"/>
      <c r="VTP125" s="41"/>
      <c r="VTQ125" s="41"/>
      <c r="VTR125" s="41"/>
      <c r="VTS125" s="41"/>
      <c r="VTT125" s="41"/>
      <c r="VTU125" s="41"/>
      <c r="VTV125" s="41"/>
      <c r="VTW125" s="41"/>
      <c r="VTX125" s="41"/>
      <c r="VTY125" s="41"/>
      <c r="VTZ125" s="41"/>
      <c r="VUA125" s="41"/>
      <c r="VUB125" s="41"/>
      <c r="VUC125" s="41"/>
      <c r="VUD125" s="41"/>
      <c r="VUE125" s="41"/>
      <c r="VUF125" s="41"/>
      <c r="VUG125" s="41"/>
      <c r="VUH125" s="41"/>
      <c r="VUI125" s="41"/>
      <c r="VUJ125" s="41"/>
      <c r="VUK125" s="41"/>
      <c r="VUL125" s="41"/>
      <c r="VUM125" s="41"/>
      <c r="VUN125" s="41"/>
      <c r="VUO125" s="41"/>
      <c r="VUP125" s="41"/>
      <c r="VUQ125" s="41"/>
      <c r="VUR125" s="41"/>
      <c r="VUS125" s="41"/>
      <c r="VUT125" s="41"/>
      <c r="VUU125" s="41"/>
      <c r="VUV125" s="41"/>
      <c r="VUW125" s="41"/>
      <c r="VUX125" s="41"/>
      <c r="VUY125" s="41"/>
      <c r="VUZ125" s="41"/>
      <c r="VVA125" s="41"/>
      <c r="VVB125" s="41"/>
      <c r="VVC125" s="41"/>
      <c r="VVD125" s="41"/>
      <c r="VVE125" s="41"/>
      <c r="VVF125" s="41"/>
      <c r="VVG125" s="41"/>
      <c r="VVH125" s="41"/>
      <c r="VVI125" s="41"/>
      <c r="VVJ125" s="41"/>
      <c r="VVK125" s="41"/>
      <c r="VVL125" s="41"/>
      <c r="VVM125" s="41"/>
      <c r="VVN125" s="41"/>
      <c r="VVO125" s="41"/>
      <c r="VVP125" s="41"/>
      <c r="VVQ125" s="41"/>
      <c r="VVR125" s="41"/>
      <c r="VVS125" s="41"/>
      <c r="VVT125" s="41"/>
      <c r="VVU125" s="41"/>
      <c r="VVV125" s="41"/>
      <c r="VVW125" s="41"/>
      <c r="VVX125" s="41"/>
      <c r="VVY125" s="41"/>
      <c r="VVZ125" s="41"/>
      <c r="VWA125" s="41"/>
      <c r="VWB125" s="41"/>
      <c r="VWC125" s="41"/>
      <c r="VWD125" s="41"/>
      <c r="VWE125" s="41"/>
      <c r="VWF125" s="41"/>
      <c r="VWG125" s="41"/>
      <c r="VWH125" s="41"/>
      <c r="VWI125" s="41"/>
      <c r="VWJ125" s="41"/>
      <c r="VWK125" s="41"/>
      <c r="VWL125" s="41"/>
      <c r="VWM125" s="41"/>
      <c r="VWN125" s="41"/>
      <c r="VWO125" s="41"/>
      <c r="VWP125" s="41"/>
      <c r="VWQ125" s="41"/>
      <c r="VWR125" s="41"/>
      <c r="VWS125" s="41"/>
      <c r="VWT125" s="41"/>
      <c r="VWU125" s="41"/>
      <c r="VWV125" s="41"/>
      <c r="VWW125" s="41"/>
      <c r="VWX125" s="41"/>
      <c r="VWY125" s="41"/>
      <c r="VWZ125" s="41"/>
      <c r="VXA125" s="41"/>
      <c r="VXB125" s="41"/>
      <c r="VXC125" s="41"/>
      <c r="VXD125" s="41"/>
      <c r="VXE125" s="41"/>
      <c r="VXF125" s="41"/>
      <c r="VXG125" s="41"/>
      <c r="VXH125" s="41"/>
      <c r="VXI125" s="41"/>
      <c r="VXJ125" s="41"/>
      <c r="VXK125" s="41"/>
      <c r="VXL125" s="41"/>
      <c r="VXM125" s="41"/>
      <c r="VXN125" s="41"/>
      <c r="VXO125" s="41"/>
      <c r="VXP125" s="41"/>
      <c r="VXQ125" s="41"/>
      <c r="VXR125" s="41"/>
      <c r="VXS125" s="41"/>
      <c r="VXT125" s="41"/>
      <c r="VXU125" s="41"/>
      <c r="VXV125" s="41"/>
      <c r="VXW125" s="41"/>
      <c r="VXX125" s="41"/>
      <c r="VXY125" s="41"/>
      <c r="VXZ125" s="41"/>
      <c r="VYA125" s="41"/>
      <c r="VYB125" s="41"/>
      <c r="VYC125" s="41"/>
      <c r="VYD125" s="41"/>
      <c r="VYE125" s="41"/>
      <c r="VYF125" s="41"/>
      <c r="VYG125" s="41"/>
      <c r="VYH125" s="41"/>
      <c r="VYI125" s="41"/>
      <c r="VYJ125" s="41"/>
      <c r="VYK125" s="41"/>
      <c r="VYL125" s="41"/>
      <c r="VYM125" s="41"/>
      <c r="VYN125" s="41"/>
      <c r="VYO125" s="41"/>
      <c r="VYP125" s="41"/>
      <c r="VYQ125" s="41"/>
      <c r="VYR125" s="41"/>
      <c r="VYS125" s="41"/>
      <c r="VYT125" s="41"/>
      <c r="VYU125" s="41"/>
      <c r="VYV125" s="41"/>
      <c r="VYW125" s="41"/>
      <c r="VYX125" s="41"/>
      <c r="VYY125" s="41"/>
      <c r="VYZ125" s="41"/>
      <c r="VZA125" s="41"/>
      <c r="VZB125" s="41"/>
      <c r="VZC125" s="41"/>
      <c r="VZD125" s="41"/>
      <c r="VZE125" s="41"/>
      <c r="VZF125" s="41"/>
      <c r="VZG125" s="41"/>
      <c r="VZH125" s="41"/>
      <c r="VZI125" s="41"/>
      <c r="VZJ125" s="41"/>
      <c r="VZK125" s="41"/>
      <c r="VZL125" s="41"/>
      <c r="VZM125" s="41"/>
      <c r="VZN125" s="41"/>
      <c r="VZO125" s="41"/>
      <c r="VZP125" s="41"/>
      <c r="VZQ125" s="41"/>
      <c r="VZR125" s="41"/>
      <c r="VZS125" s="41"/>
      <c r="VZT125" s="41"/>
      <c r="VZU125" s="41"/>
      <c r="VZV125" s="41"/>
      <c r="VZW125" s="41"/>
      <c r="VZX125" s="41"/>
      <c r="VZY125" s="41"/>
      <c r="VZZ125" s="41"/>
      <c r="WAA125" s="41"/>
      <c r="WAB125" s="41"/>
      <c r="WAC125" s="41"/>
      <c r="WAD125" s="41"/>
      <c r="WAE125" s="41"/>
      <c r="WAF125" s="41"/>
      <c r="WAG125" s="41"/>
      <c r="WAH125" s="41"/>
      <c r="WAI125" s="41"/>
      <c r="WAJ125" s="41"/>
      <c r="WAK125" s="41"/>
      <c r="WAL125" s="41"/>
      <c r="WAM125" s="41"/>
      <c r="WAN125" s="41"/>
      <c r="WAO125" s="41"/>
      <c r="WAP125" s="41"/>
      <c r="WAQ125" s="41"/>
      <c r="WAR125" s="41"/>
      <c r="WAS125" s="41"/>
      <c r="WAT125" s="41"/>
      <c r="WAU125" s="41"/>
      <c r="WAV125" s="41"/>
      <c r="WAW125" s="41"/>
      <c r="WAX125" s="41"/>
      <c r="WAY125" s="41"/>
      <c r="WAZ125" s="41"/>
      <c r="WBA125" s="41"/>
      <c r="WBB125" s="41"/>
      <c r="WBC125" s="41"/>
      <c r="WBD125" s="41"/>
      <c r="WBE125" s="41"/>
      <c r="WBF125" s="41"/>
      <c r="WBG125" s="41"/>
      <c r="WBH125" s="41"/>
      <c r="WBI125" s="41"/>
      <c r="WBJ125" s="41"/>
      <c r="WBK125" s="41"/>
      <c r="WBL125" s="41"/>
      <c r="WBM125" s="41"/>
      <c r="WBN125" s="41"/>
      <c r="WBO125" s="41"/>
      <c r="WBP125" s="41"/>
      <c r="WBQ125" s="41"/>
      <c r="WBR125" s="41"/>
      <c r="WBS125" s="41"/>
      <c r="WBT125" s="41"/>
      <c r="WBU125" s="41"/>
      <c r="WBV125" s="41"/>
      <c r="WBW125" s="41"/>
      <c r="WBX125" s="41"/>
      <c r="WBY125" s="41"/>
      <c r="WBZ125" s="41"/>
      <c r="WCA125" s="41"/>
      <c r="WCB125" s="41"/>
      <c r="WCC125" s="41"/>
      <c r="WCD125" s="41"/>
      <c r="WCE125" s="41"/>
      <c r="WCF125" s="41"/>
      <c r="WCG125" s="41"/>
      <c r="WCH125" s="41"/>
      <c r="WCI125" s="41"/>
      <c r="WCJ125" s="41"/>
      <c r="WCK125" s="41"/>
      <c r="WCL125" s="41"/>
      <c r="WCM125" s="41"/>
      <c r="WCN125" s="41"/>
      <c r="WCO125" s="41"/>
      <c r="WCP125" s="41"/>
      <c r="WCQ125" s="41"/>
      <c r="WCR125" s="41"/>
      <c r="WCS125" s="41"/>
      <c r="WCT125" s="41"/>
      <c r="WCU125" s="41"/>
      <c r="WCV125" s="41"/>
      <c r="WCW125" s="41"/>
      <c r="WCX125" s="41"/>
      <c r="WCY125" s="41"/>
      <c r="WCZ125" s="41"/>
      <c r="WDA125" s="41"/>
      <c r="WDB125" s="41"/>
      <c r="WDC125" s="41"/>
      <c r="WDD125" s="41"/>
      <c r="WDE125" s="41"/>
      <c r="WDF125" s="41"/>
      <c r="WDG125" s="41"/>
      <c r="WDH125" s="41"/>
      <c r="WDI125" s="41"/>
      <c r="WDJ125" s="41"/>
      <c r="WDK125" s="41"/>
      <c r="WDL125" s="41"/>
      <c r="WDM125" s="41"/>
      <c r="WDN125" s="41"/>
      <c r="WDO125" s="41"/>
      <c r="WDP125" s="41"/>
      <c r="WDQ125" s="41"/>
      <c r="WDR125" s="41"/>
      <c r="WDS125" s="41"/>
      <c r="WDT125" s="41"/>
      <c r="WDU125" s="41"/>
      <c r="WDV125" s="41"/>
      <c r="WDW125" s="41"/>
      <c r="WDX125" s="41"/>
      <c r="WDY125" s="41"/>
      <c r="WDZ125" s="41"/>
      <c r="WEA125" s="41"/>
      <c r="WEB125" s="41"/>
      <c r="WEC125" s="41"/>
      <c r="WED125" s="41"/>
      <c r="WEE125" s="41"/>
      <c r="WEF125" s="41"/>
      <c r="WEG125" s="41"/>
      <c r="WEH125" s="41"/>
      <c r="WEI125" s="41"/>
      <c r="WEJ125" s="41"/>
      <c r="WEK125" s="41"/>
      <c r="WEL125" s="41"/>
      <c r="WEM125" s="41"/>
      <c r="WEN125" s="41"/>
      <c r="WEO125" s="41"/>
      <c r="WEP125" s="41"/>
      <c r="WEQ125" s="41"/>
      <c r="WER125" s="41"/>
      <c r="WES125" s="41"/>
      <c r="WET125" s="41"/>
      <c r="WEU125" s="41"/>
      <c r="WEV125" s="41"/>
      <c r="WEW125" s="41"/>
      <c r="WEX125" s="41"/>
      <c r="WEY125" s="41"/>
      <c r="WEZ125" s="41"/>
      <c r="WFA125" s="41"/>
      <c r="WFB125" s="41"/>
      <c r="WFC125" s="41"/>
      <c r="WFD125" s="41"/>
      <c r="WFE125" s="41"/>
      <c r="WFF125" s="41"/>
      <c r="WFG125" s="41"/>
      <c r="WFH125" s="41"/>
      <c r="WFI125" s="41"/>
      <c r="WFJ125" s="41"/>
      <c r="WFK125" s="41"/>
      <c r="WFL125" s="41"/>
      <c r="WFM125" s="41"/>
      <c r="WFN125" s="41"/>
      <c r="WFO125" s="41"/>
      <c r="WFP125" s="41"/>
      <c r="WFQ125" s="41"/>
      <c r="WFR125" s="41"/>
      <c r="WFS125" s="41"/>
      <c r="WFT125" s="41"/>
      <c r="WFU125" s="41"/>
      <c r="WFV125" s="41"/>
      <c r="WFW125" s="41"/>
      <c r="WFX125" s="41"/>
      <c r="WFY125" s="41"/>
      <c r="WFZ125" s="41"/>
      <c r="WGA125" s="41"/>
      <c r="WGB125" s="41"/>
      <c r="WGC125" s="41"/>
      <c r="WGD125" s="41"/>
      <c r="WGE125" s="41"/>
      <c r="WGF125" s="41"/>
      <c r="WGG125" s="41"/>
      <c r="WGH125" s="41"/>
      <c r="WGI125" s="41"/>
      <c r="WGJ125" s="41"/>
      <c r="WGK125" s="41"/>
      <c r="WGL125" s="41"/>
      <c r="WGM125" s="41"/>
      <c r="WGN125" s="41"/>
      <c r="WGO125" s="41"/>
      <c r="WGP125" s="41"/>
      <c r="WGQ125" s="41"/>
      <c r="WGR125" s="41"/>
      <c r="WGS125" s="41"/>
      <c r="WGT125" s="41"/>
      <c r="WGU125" s="41"/>
      <c r="WGV125" s="41"/>
      <c r="WGW125" s="41"/>
      <c r="WGX125" s="41"/>
      <c r="WGY125" s="41"/>
      <c r="WGZ125" s="41"/>
      <c r="WHA125" s="41"/>
      <c r="WHB125" s="41"/>
      <c r="WHC125" s="41"/>
      <c r="WHD125" s="41"/>
      <c r="WHE125" s="41"/>
      <c r="WHF125" s="41"/>
      <c r="WHG125" s="41"/>
      <c r="WHH125" s="41"/>
      <c r="WHI125" s="41"/>
      <c r="WHJ125" s="41"/>
      <c r="WHK125" s="41"/>
      <c r="WHL125" s="41"/>
      <c r="WHM125" s="41"/>
      <c r="WHN125" s="41"/>
      <c r="WHO125" s="41"/>
      <c r="WHP125" s="41"/>
      <c r="WHQ125" s="41"/>
      <c r="WHR125" s="41"/>
      <c r="WHS125" s="41"/>
      <c r="WHT125" s="41"/>
      <c r="WHU125" s="41"/>
      <c r="WHV125" s="41"/>
      <c r="WHW125" s="41"/>
      <c r="WHX125" s="41"/>
      <c r="WHY125" s="41"/>
      <c r="WHZ125" s="41"/>
      <c r="WIA125" s="41"/>
      <c r="WIB125" s="41"/>
      <c r="WIC125" s="41"/>
      <c r="WID125" s="41"/>
      <c r="WIE125" s="41"/>
      <c r="WIF125" s="41"/>
      <c r="WIG125" s="41"/>
      <c r="WIH125" s="41"/>
      <c r="WII125" s="41"/>
      <c r="WIJ125" s="41"/>
      <c r="WIK125" s="41"/>
      <c r="WIL125" s="41"/>
      <c r="WIM125" s="41"/>
      <c r="WIN125" s="41"/>
      <c r="WIO125" s="41"/>
      <c r="WIP125" s="41"/>
      <c r="WIQ125" s="41"/>
      <c r="WIR125" s="41"/>
      <c r="WIS125" s="41"/>
      <c r="WIT125" s="41"/>
      <c r="WIU125" s="41"/>
      <c r="WIV125" s="41"/>
      <c r="WIW125" s="41"/>
      <c r="WIX125" s="41"/>
      <c r="WIY125" s="41"/>
      <c r="WIZ125" s="41"/>
      <c r="WJA125" s="41"/>
      <c r="WJB125" s="41"/>
      <c r="WJC125" s="41"/>
      <c r="WJD125" s="41"/>
      <c r="WJE125" s="41"/>
      <c r="WJF125" s="41"/>
      <c r="WJG125" s="41"/>
      <c r="WJH125" s="41"/>
      <c r="WJI125" s="41"/>
      <c r="WJJ125" s="41"/>
      <c r="WJK125" s="41"/>
      <c r="WJL125" s="41"/>
      <c r="WJM125" s="41"/>
      <c r="WJN125" s="41"/>
      <c r="WJO125" s="41"/>
      <c r="WJP125" s="41"/>
      <c r="WJQ125" s="41"/>
      <c r="WJR125" s="41"/>
      <c r="WJS125" s="41"/>
      <c r="WJT125" s="41"/>
      <c r="WJU125" s="41"/>
      <c r="WJV125" s="41"/>
      <c r="WJW125" s="41"/>
      <c r="WJX125" s="41"/>
      <c r="WJY125" s="41"/>
      <c r="WJZ125" s="41"/>
      <c r="WKA125" s="41"/>
      <c r="WKB125" s="41"/>
      <c r="WKC125" s="41"/>
      <c r="WKD125" s="41"/>
      <c r="WKE125" s="41"/>
      <c r="WKF125" s="41"/>
      <c r="WKG125" s="41"/>
      <c r="WKH125" s="41"/>
      <c r="WKI125" s="41"/>
      <c r="WKJ125" s="41"/>
      <c r="WKK125" s="41"/>
      <c r="WKL125" s="41"/>
      <c r="WKM125" s="41"/>
      <c r="WKN125" s="41"/>
      <c r="WKO125" s="41"/>
      <c r="WKP125" s="41"/>
      <c r="WKQ125" s="41"/>
      <c r="WKR125" s="41"/>
      <c r="WKS125" s="41"/>
      <c r="WKT125" s="41"/>
      <c r="WKU125" s="41"/>
      <c r="WKV125" s="41"/>
      <c r="WKW125" s="41"/>
      <c r="WKX125" s="41"/>
      <c r="WKY125" s="41"/>
      <c r="WKZ125" s="41"/>
      <c r="WLA125" s="41"/>
      <c r="WLB125" s="41"/>
      <c r="WLC125" s="41"/>
      <c r="WLD125" s="41"/>
      <c r="WLE125" s="41"/>
      <c r="WLF125" s="41"/>
      <c r="WLG125" s="41"/>
      <c r="WLH125" s="41"/>
      <c r="WLI125" s="41"/>
      <c r="WLJ125" s="41"/>
      <c r="WLK125" s="41"/>
      <c r="WLL125" s="41"/>
      <c r="WLM125" s="41"/>
      <c r="WLN125" s="41"/>
      <c r="WLO125" s="41"/>
      <c r="WLP125" s="41"/>
      <c r="WLQ125" s="41"/>
      <c r="WLR125" s="41"/>
      <c r="WLS125" s="41"/>
      <c r="WLT125" s="41"/>
      <c r="WLU125" s="41"/>
      <c r="WLV125" s="41"/>
      <c r="WLW125" s="41"/>
      <c r="WLX125" s="41"/>
      <c r="WLY125" s="41"/>
      <c r="WLZ125" s="41"/>
      <c r="WMA125" s="41"/>
      <c r="WMB125" s="41"/>
      <c r="WMC125" s="41"/>
      <c r="WMD125" s="41"/>
      <c r="WME125" s="41"/>
      <c r="WMF125" s="41"/>
      <c r="WMG125" s="41"/>
      <c r="WMH125" s="41"/>
      <c r="WMI125" s="41"/>
      <c r="WMJ125" s="41"/>
      <c r="WMK125" s="41"/>
      <c r="WML125" s="41"/>
      <c r="WMM125" s="41"/>
      <c r="WMN125" s="41"/>
      <c r="WMO125" s="41"/>
      <c r="WMP125" s="41"/>
      <c r="WMQ125" s="41"/>
      <c r="WMR125" s="41"/>
      <c r="WMS125" s="41"/>
      <c r="WMT125" s="41"/>
      <c r="WMU125" s="41"/>
      <c r="WMV125" s="41"/>
      <c r="WMW125" s="41"/>
      <c r="WMX125" s="41"/>
      <c r="WMY125" s="41"/>
      <c r="WMZ125" s="41"/>
      <c r="WNA125" s="41"/>
      <c r="WNB125" s="41"/>
      <c r="WNC125" s="41"/>
      <c r="WND125" s="41"/>
      <c r="WNE125" s="41"/>
      <c r="WNF125" s="41"/>
      <c r="WNG125" s="41"/>
      <c r="WNH125" s="41"/>
      <c r="WNI125" s="41"/>
      <c r="WNJ125" s="41"/>
      <c r="WNK125" s="41"/>
      <c r="WNL125" s="41"/>
      <c r="WNM125" s="41"/>
      <c r="WNN125" s="41"/>
      <c r="WNO125" s="41"/>
      <c r="WNP125" s="41"/>
      <c r="WNQ125" s="41"/>
      <c r="WNR125" s="41"/>
      <c r="WNS125" s="41"/>
      <c r="WNT125" s="41"/>
      <c r="WNU125" s="41"/>
      <c r="WNV125" s="41"/>
      <c r="WNW125" s="41"/>
      <c r="WNX125" s="41"/>
      <c r="WNY125" s="41"/>
      <c r="WNZ125" s="41"/>
      <c r="WOA125" s="41"/>
      <c r="WOB125" s="41"/>
      <c r="WOC125" s="41"/>
      <c r="WOD125" s="41"/>
      <c r="WOE125" s="41"/>
      <c r="WOF125" s="41"/>
      <c r="WOG125" s="41"/>
      <c r="WOH125" s="41"/>
      <c r="WOI125" s="41"/>
      <c r="WOJ125" s="41"/>
      <c r="WOK125" s="41"/>
      <c r="WOL125" s="41"/>
      <c r="WOM125" s="41"/>
      <c r="WON125" s="41"/>
      <c r="WOO125" s="41"/>
      <c r="WOP125" s="41"/>
      <c r="WOQ125" s="41"/>
      <c r="WOR125" s="41"/>
      <c r="WOS125" s="41"/>
      <c r="WOT125" s="41"/>
      <c r="WOU125" s="41"/>
      <c r="WOV125" s="41"/>
      <c r="WOW125" s="41"/>
      <c r="WOX125" s="41"/>
      <c r="WOY125" s="41"/>
      <c r="WOZ125" s="41"/>
      <c r="WPA125" s="41"/>
      <c r="WPB125" s="41"/>
      <c r="WPC125" s="41"/>
      <c r="WPD125" s="41"/>
      <c r="WPE125" s="41"/>
      <c r="WPF125" s="41"/>
      <c r="WPG125" s="41"/>
      <c r="WPH125" s="41"/>
      <c r="WPI125" s="41"/>
      <c r="WPJ125" s="41"/>
      <c r="WPK125" s="41"/>
      <c r="WPL125" s="41"/>
      <c r="WPM125" s="41"/>
      <c r="WPN125" s="41"/>
      <c r="WPO125" s="41"/>
      <c r="WPP125" s="41"/>
      <c r="WPQ125" s="41"/>
      <c r="WPR125" s="41"/>
      <c r="WPS125" s="41"/>
      <c r="WPT125" s="41"/>
      <c r="WPU125" s="41"/>
      <c r="WPV125" s="41"/>
      <c r="WPW125" s="41"/>
      <c r="WPX125" s="41"/>
      <c r="WPY125" s="41"/>
      <c r="WPZ125" s="41"/>
      <c r="WQA125" s="41"/>
      <c r="WQB125" s="41"/>
      <c r="WQC125" s="41"/>
      <c r="WQD125" s="41"/>
      <c r="WQE125" s="41"/>
      <c r="WQF125" s="41"/>
      <c r="WQG125" s="41"/>
      <c r="WQH125" s="41"/>
      <c r="WQI125" s="41"/>
      <c r="WQJ125" s="41"/>
      <c r="WQK125" s="41"/>
      <c r="WQL125" s="41"/>
      <c r="WQM125" s="41"/>
      <c r="WQN125" s="41"/>
      <c r="WQO125" s="41"/>
      <c r="WQP125" s="41"/>
      <c r="WQQ125" s="41"/>
      <c r="WQR125" s="41"/>
      <c r="WQS125" s="41"/>
      <c r="WQT125" s="41"/>
      <c r="WQU125" s="41"/>
      <c r="WQV125" s="41"/>
      <c r="WQW125" s="41"/>
      <c r="WQX125" s="41"/>
      <c r="WQY125" s="41"/>
      <c r="WQZ125" s="41"/>
      <c r="WRA125" s="41"/>
      <c r="WRB125" s="41"/>
      <c r="WRC125" s="41"/>
      <c r="WRD125" s="41"/>
      <c r="WRE125" s="41"/>
      <c r="WRF125" s="41"/>
      <c r="WRG125" s="41"/>
      <c r="WRH125" s="41"/>
      <c r="WRI125" s="41"/>
      <c r="WRJ125" s="41"/>
      <c r="WRK125" s="41"/>
      <c r="WRL125" s="41"/>
      <c r="WRM125" s="41"/>
      <c r="WRN125" s="41"/>
      <c r="WRO125" s="41"/>
      <c r="WRP125" s="41"/>
      <c r="WRQ125" s="41"/>
      <c r="WRR125" s="41"/>
      <c r="WRS125" s="41"/>
      <c r="WRT125" s="41"/>
      <c r="WRU125" s="41"/>
      <c r="WRV125" s="41"/>
      <c r="WRW125" s="41"/>
      <c r="WRX125" s="41"/>
      <c r="WRY125" s="41"/>
      <c r="WRZ125" s="41"/>
      <c r="WSA125" s="41"/>
      <c r="WSB125" s="41"/>
      <c r="WSC125" s="41"/>
      <c r="WSD125" s="41"/>
      <c r="WSE125" s="41"/>
      <c r="WSF125" s="41"/>
      <c r="WSG125" s="41"/>
      <c r="WSH125" s="41"/>
      <c r="WSI125" s="41"/>
      <c r="WSJ125" s="41"/>
      <c r="WSK125" s="41"/>
      <c r="WSL125" s="41"/>
      <c r="WSM125" s="41"/>
      <c r="WSN125" s="41"/>
      <c r="WSO125" s="41"/>
      <c r="WSP125" s="41"/>
      <c r="WSQ125" s="41"/>
      <c r="WSR125" s="41"/>
      <c r="WSS125" s="41"/>
      <c r="WST125" s="41"/>
      <c r="WSU125" s="41"/>
      <c r="WSV125" s="41"/>
      <c r="WSW125" s="41"/>
      <c r="WSX125" s="41"/>
      <c r="WSY125" s="41"/>
      <c r="WSZ125" s="41"/>
      <c r="WTA125" s="41"/>
      <c r="WTB125" s="41"/>
      <c r="WTC125" s="41"/>
      <c r="WTD125" s="41"/>
      <c r="WTE125" s="41"/>
      <c r="WTF125" s="41"/>
      <c r="WTG125" s="41"/>
      <c r="WTH125" s="41"/>
      <c r="WTI125" s="41"/>
      <c r="WTJ125" s="41"/>
      <c r="WTK125" s="41"/>
      <c r="WTL125" s="41"/>
      <c r="WTM125" s="41"/>
      <c r="WTN125" s="41"/>
      <c r="WTO125" s="41"/>
      <c r="WTP125" s="41"/>
      <c r="WTQ125" s="41"/>
      <c r="WTR125" s="41"/>
      <c r="WTS125" s="41"/>
      <c r="WTT125" s="41"/>
      <c r="WTU125" s="41"/>
      <c r="WTV125" s="41"/>
      <c r="WTW125" s="41"/>
      <c r="WTX125" s="41"/>
      <c r="WTY125" s="41"/>
      <c r="WTZ125" s="41"/>
      <c r="WUA125" s="41"/>
      <c r="WUB125" s="41"/>
      <c r="WUC125" s="41"/>
      <c r="WUD125" s="41"/>
      <c r="WUE125" s="41"/>
      <c r="WUF125" s="41"/>
      <c r="WUG125" s="41"/>
      <c r="WUH125" s="41"/>
      <c r="WUI125" s="41"/>
      <c r="WUJ125" s="41"/>
      <c r="WUK125" s="41"/>
      <c r="WUL125" s="41"/>
      <c r="WUM125" s="41"/>
      <c r="WUN125" s="41"/>
      <c r="WUO125" s="41"/>
      <c r="WUP125" s="41"/>
      <c r="WUQ125" s="41"/>
      <c r="WUR125" s="41"/>
      <c r="WUS125" s="41"/>
      <c r="WUT125" s="41"/>
      <c r="WUU125" s="41"/>
      <c r="WUV125" s="41"/>
      <c r="WUW125" s="41"/>
      <c r="WUX125" s="41"/>
      <c r="WUY125" s="41"/>
      <c r="WUZ125" s="41"/>
      <c r="WVA125" s="41"/>
      <c r="WVB125" s="41"/>
      <c r="WVC125" s="41"/>
      <c r="WVD125" s="41"/>
      <c r="WVE125" s="41"/>
      <c r="WVF125" s="41"/>
      <c r="WVG125" s="41"/>
      <c r="WVH125" s="41"/>
      <c r="WVI125" s="41"/>
      <c r="WVJ125" s="41"/>
      <c r="WVK125" s="41"/>
      <c r="WVL125" s="41"/>
      <c r="WVM125" s="41"/>
      <c r="WVN125" s="41"/>
      <c r="WVO125" s="41"/>
      <c r="WVP125" s="41"/>
      <c r="WVQ125" s="41"/>
      <c r="WVR125" s="41"/>
      <c r="WVS125" s="41"/>
      <c r="WVT125" s="41"/>
      <c r="WVU125" s="41"/>
      <c r="WVV125" s="41"/>
      <c r="WVW125" s="41"/>
      <c r="WVX125" s="41"/>
      <c r="WVY125" s="41"/>
      <c r="WVZ125" s="41"/>
      <c r="WWA125" s="41"/>
      <c r="WWB125" s="41"/>
      <c r="WWC125" s="41"/>
      <c r="WWD125" s="41"/>
      <c r="WWE125" s="41"/>
      <c r="WWF125" s="41"/>
      <c r="WWG125" s="41"/>
      <c r="WWH125" s="41"/>
      <c r="WWI125" s="41"/>
      <c r="WWJ125" s="41"/>
      <c r="WWK125" s="41"/>
      <c r="WWL125" s="41"/>
      <c r="WWM125" s="41"/>
      <c r="WWN125" s="41"/>
      <c r="WWO125" s="41"/>
      <c r="WWP125" s="41"/>
      <c r="WWQ125" s="41"/>
      <c r="WWR125" s="41"/>
      <c r="WWS125" s="41"/>
      <c r="WWT125" s="41"/>
      <c r="WWU125" s="41"/>
      <c r="WWV125" s="41"/>
      <c r="WWW125" s="41"/>
      <c r="WWX125" s="41"/>
      <c r="WWY125" s="41"/>
      <c r="WWZ125" s="41"/>
      <c r="WXA125" s="41"/>
      <c r="WXB125" s="41"/>
      <c r="WXC125" s="41"/>
      <c r="WXD125" s="41"/>
      <c r="WXE125" s="41"/>
      <c r="WXF125" s="41"/>
      <c r="WXG125" s="41"/>
      <c r="WXH125" s="41"/>
      <c r="WXI125" s="41"/>
      <c r="WXJ125" s="41"/>
      <c r="WXK125" s="41"/>
      <c r="WXL125" s="41"/>
      <c r="WXM125" s="41"/>
      <c r="WXN125" s="41"/>
      <c r="WXO125" s="41"/>
      <c r="WXP125" s="41"/>
      <c r="WXQ125" s="41"/>
      <c r="WXR125" s="41"/>
      <c r="WXS125" s="41"/>
      <c r="WXT125" s="41"/>
      <c r="WXU125" s="41"/>
      <c r="WXV125" s="41"/>
      <c r="WXW125" s="41"/>
      <c r="WXX125" s="41"/>
      <c r="WXY125" s="41"/>
      <c r="WXZ125" s="41"/>
      <c r="WYA125" s="41"/>
      <c r="WYB125" s="41"/>
      <c r="WYC125" s="41"/>
      <c r="WYD125" s="41"/>
      <c r="WYE125" s="41"/>
      <c r="WYF125" s="41"/>
      <c r="WYG125" s="41"/>
      <c r="WYH125" s="41"/>
      <c r="WYI125" s="41"/>
      <c r="WYJ125" s="41"/>
      <c r="WYK125" s="41"/>
      <c r="WYL125" s="41"/>
      <c r="WYM125" s="41"/>
      <c r="WYN125" s="41"/>
      <c r="WYO125" s="41"/>
      <c r="WYP125" s="41"/>
      <c r="WYQ125" s="41"/>
      <c r="WYR125" s="41"/>
      <c r="WYS125" s="41"/>
      <c r="WYT125" s="41"/>
      <c r="WYU125" s="41"/>
      <c r="WYV125" s="41"/>
      <c r="WYW125" s="41"/>
      <c r="WYX125" s="41"/>
      <c r="WYY125" s="41"/>
      <c r="WYZ125" s="41"/>
      <c r="WZA125" s="41"/>
      <c r="WZB125" s="41"/>
      <c r="WZC125" s="41"/>
      <c r="WZD125" s="41"/>
      <c r="WZE125" s="41"/>
      <c r="WZF125" s="41"/>
      <c r="WZG125" s="41"/>
      <c r="WZH125" s="41"/>
      <c r="WZI125" s="41"/>
      <c r="WZJ125" s="41"/>
      <c r="WZK125" s="41"/>
      <c r="WZL125" s="41"/>
      <c r="WZM125" s="41"/>
      <c r="WZN125" s="41"/>
      <c r="WZO125" s="41"/>
      <c r="WZP125" s="41"/>
      <c r="WZQ125" s="41"/>
      <c r="WZR125" s="41"/>
      <c r="WZS125" s="41"/>
      <c r="WZT125" s="41"/>
      <c r="WZU125" s="41"/>
      <c r="WZV125" s="41"/>
      <c r="WZW125" s="41"/>
      <c r="WZX125" s="41"/>
      <c r="WZY125" s="41"/>
      <c r="WZZ125" s="41"/>
      <c r="XAA125" s="41"/>
      <c r="XAB125" s="41"/>
      <c r="XAC125" s="41"/>
      <c r="XAD125" s="41"/>
      <c r="XAE125" s="41"/>
      <c r="XAF125" s="41"/>
      <c r="XAG125" s="41"/>
      <c r="XAH125" s="41"/>
      <c r="XAI125" s="41"/>
      <c r="XAJ125" s="41"/>
      <c r="XAK125" s="41"/>
      <c r="XAL125" s="41"/>
      <c r="XAM125" s="41"/>
      <c r="XAN125" s="41"/>
      <c r="XAO125" s="41"/>
      <c r="XAP125" s="41"/>
      <c r="XAQ125" s="41"/>
      <c r="XAR125" s="41"/>
      <c r="XAS125" s="41"/>
      <c r="XAT125" s="41"/>
      <c r="XAU125" s="41"/>
      <c r="XAV125" s="41"/>
      <c r="XAW125" s="41"/>
      <c r="XAX125" s="41"/>
      <c r="XAY125" s="41"/>
      <c r="XAZ125" s="41"/>
      <c r="XBA125" s="41"/>
      <c r="XBB125" s="41"/>
      <c r="XBC125" s="41"/>
      <c r="XBD125" s="41"/>
      <c r="XBE125" s="41"/>
      <c r="XBF125" s="41"/>
      <c r="XBG125" s="41"/>
      <c r="XBH125" s="41"/>
      <c r="XBI125" s="41"/>
      <c r="XBJ125" s="41"/>
      <c r="XBK125" s="41"/>
      <c r="XBL125" s="41"/>
      <c r="XBM125" s="41"/>
      <c r="XBN125" s="41"/>
      <c r="XBO125" s="41"/>
      <c r="XBP125" s="41"/>
      <c r="XBQ125" s="41"/>
      <c r="XBR125" s="41"/>
      <c r="XBS125" s="41"/>
      <c r="XBT125" s="41"/>
      <c r="XBU125" s="41"/>
      <c r="XBV125" s="41"/>
      <c r="XBW125" s="41"/>
      <c r="XBX125" s="41"/>
      <c r="XBY125" s="41"/>
      <c r="XBZ125" s="41"/>
      <c r="XCA125" s="41"/>
      <c r="XCB125" s="41"/>
      <c r="XCC125" s="41"/>
      <c r="XCD125" s="41"/>
      <c r="XCE125" s="41"/>
      <c r="XCF125" s="41"/>
      <c r="XCG125" s="41"/>
      <c r="XCH125" s="41"/>
      <c r="XCI125" s="41"/>
      <c r="XCJ125" s="41"/>
      <c r="XCK125" s="41"/>
      <c r="XCL125" s="41"/>
      <c r="XCM125" s="41"/>
      <c r="XCN125" s="41"/>
      <c r="XCO125" s="41"/>
      <c r="XCP125" s="41"/>
      <c r="XCQ125" s="41"/>
      <c r="XCR125" s="41"/>
      <c r="XCS125" s="41"/>
      <c r="XCT125" s="41"/>
      <c r="XCU125" s="41"/>
      <c r="XCV125" s="41"/>
      <c r="XCW125" s="41"/>
      <c r="XCX125" s="41"/>
      <c r="XCY125" s="41"/>
      <c r="XCZ125" s="41"/>
      <c r="XDA125" s="41"/>
      <c r="XDB125" s="41"/>
      <c r="XDC125" s="41"/>
      <c r="XDD125" s="41"/>
      <c r="XDE125" s="41"/>
      <c r="XDF125" s="41"/>
      <c r="XDG125" s="41"/>
      <c r="XDH125" s="41"/>
      <c r="XDI125" s="41"/>
      <c r="XDJ125" s="41"/>
      <c r="XDK125" s="41"/>
      <c r="XDL125" s="41"/>
      <c r="XDM125" s="41"/>
      <c r="XDN125" s="41"/>
      <c r="XDO125" s="41"/>
      <c r="XDP125" s="41"/>
      <c r="XDQ125" s="41"/>
      <c r="XDR125" s="41"/>
      <c r="XDS125" s="41"/>
      <c r="XDT125" s="41"/>
      <c r="XDU125" s="41"/>
      <c r="XDV125" s="41"/>
      <c r="XDW125" s="41"/>
      <c r="XDX125" s="41"/>
      <c r="XDY125" s="41"/>
      <c r="XDZ125" s="41"/>
      <c r="XEA125" s="41"/>
      <c r="XEB125" s="41"/>
      <c r="XEC125" s="41"/>
      <c r="XED125" s="41"/>
      <c r="XEE125" s="41"/>
      <c r="XEF125" s="41"/>
      <c r="XEG125" s="41"/>
      <c r="XEH125" s="41"/>
      <c r="XEI125" s="41"/>
      <c r="XEJ125" s="41"/>
      <c r="XEK125" s="41"/>
      <c r="XEL125" s="41"/>
      <c r="XEM125" s="41"/>
      <c r="XEN125" s="41"/>
      <c r="XEO125" s="41"/>
      <c r="XEP125" s="41"/>
      <c r="XEQ125" s="41"/>
      <c r="XER125" s="41"/>
      <c r="XES125" s="41"/>
      <c r="XET125" s="41"/>
      <c r="XEU125" s="41"/>
      <c r="XEV125" s="41"/>
      <c r="XEW125" s="41"/>
      <c r="XEX125" s="41"/>
      <c r="XEY125" s="41"/>
      <c r="XEZ125" s="41"/>
      <c r="XFA125" s="41"/>
      <c r="XFB125" s="41"/>
      <c r="XFC125" s="41"/>
    </row>
    <row r="126" spans="1:16383" ht="29" hidden="1" x14ac:dyDescent="0.35">
      <c r="A126" s="44" t="s">
        <v>60</v>
      </c>
      <c r="B126" s="20" t="s">
        <v>323</v>
      </c>
      <c r="C126" s="20" t="s">
        <v>324</v>
      </c>
      <c r="D126" s="20" t="s">
        <v>325</v>
      </c>
    </row>
    <row r="127" spans="1:16383" ht="29" hidden="1" x14ac:dyDescent="0.35">
      <c r="A127" s="20" t="s">
        <v>327</v>
      </c>
      <c r="B127" s="20" t="s">
        <v>323</v>
      </c>
      <c r="C127" s="20" t="s">
        <v>326</v>
      </c>
      <c r="D127" s="20" t="s">
        <v>325</v>
      </c>
    </row>
    <row r="128" spans="1:16383" hidden="1" x14ac:dyDescent="0.35">
      <c r="A128" s="20" t="s">
        <v>329</v>
      </c>
      <c r="B128" s="20" t="s">
        <v>323</v>
      </c>
      <c r="C128" s="20" t="s">
        <v>328</v>
      </c>
      <c r="D128" s="20" t="s">
        <v>325</v>
      </c>
    </row>
    <row r="129" spans="1:4" hidden="1" x14ac:dyDescent="0.35">
      <c r="A129" s="20" t="s">
        <v>331</v>
      </c>
      <c r="B129" s="20" t="s">
        <v>323</v>
      </c>
      <c r="C129" s="20" t="s">
        <v>330</v>
      </c>
      <c r="D129" s="20" t="s">
        <v>325</v>
      </c>
    </row>
    <row r="130" spans="1:4" hidden="1" x14ac:dyDescent="0.35">
      <c r="A130" s="20" t="s">
        <v>333</v>
      </c>
      <c r="B130" s="20" t="s">
        <v>323</v>
      </c>
      <c r="C130" s="20" t="s">
        <v>332</v>
      </c>
      <c r="D130" s="20" t="s">
        <v>325</v>
      </c>
    </row>
    <row r="131" spans="1:4" hidden="1" x14ac:dyDescent="0.35">
      <c r="A131" s="20" t="s">
        <v>335</v>
      </c>
      <c r="B131" s="20" t="s">
        <v>323</v>
      </c>
      <c r="C131" s="20" t="s">
        <v>334</v>
      </c>
      <c r="D131" s="20" t="s">
        <v>325</v>
      </c>
    </row>
    <row r="132" spans="1:4" ht="29" hidden="1" x14ac:dyDescent="0.35">
      <c r="A132" s="21" t="s">
        <v>337</v>
      </c>
      <c r="B132" s="21" t="s">
        <v>323</v>
      </c>
      <c r="C132" s="21" t="s">
        <v>422</v>
      </c>
      <c r="D132" s="21" t="s">
        <v>325</v>
      </c>
    </row>
    <row r="133" spans="1:4" ht="29" hidden="1" x14ac:dyDescent="0.35">
      <c r="A133" s="21" t="s">
        <v>339</v>
      </c>
      <c r="B133" s="21" t="s">
        <v>323</v>
      </c>
      <c r="C133" s="21" t="s">
        <v>338</v>
      </c>
      <c r="D133" s="21" t="s">
        <v>325</v>
      </c>
    </row>
    <row r="134" spans="1:4" hidden="1" x14ac:dyDescent="0.35">
      <c r="A134" s="21" t="s">
        <v>341</v>
      </c>
      <c r="B134" s="21" t="s">
        <v>323</v>
      </c>
      <c r="C134" s="21" t="s">
        <v>340</v>
      </c>
      <c r="D134" s="21" t="s">
        <v>325</v>
      </c>
    </row>
    <row r="135" spans="1:4" hidden="1" x14ac:dyDescent="0.35">
      <c r="A135" s="20" t="s">
        <v>345</v>
      </c>
      <c r="B135" s="20" t="s">
        <v>342</v>
      </c>
      <c r="C135" s="20" t="s">
        <v>343</v>
      </c>
      <c r="D135" s="20" t="s">
        <v>344</v>
      </c>
    </row>
    <row r="136" spans="1:4" hidden="1" x14ac:dyDescent="0.35">
      <c r="A136" s="20" t="s">
        <v>347</v>
      </c>
      <c r="B136" s="20" t="s">
        <v>342</v>
      </c>
      <c r="C136" s="20" t="s">
        <v>346</v>
      </c>
      <c r="D136" s="20" t="s">
        <v>344</v>
      </c>
    </row>
    <row r="137" spans="1:4" hidden="1" x14ac:dyDescent="0.35">
      <c r="A137" s="20" t="s">
        <v>349</v>
      </c>
      <c r="B137" s="20" t="s">
        <v>342</v>
      </c>
      <c r="C137" s="20" t="s">
        <v>348</v>
      </c>
      <c r="D137" s="20" t="s">
        <v>344</v>
      </c>
    </row>
    <row r="138" spans="1:4" hidden="1" x14ac:dyDescent="0.35">
      <c r="A138" s="20" t="s">
        <v>59</v>
      </c>
      <c r="B138" s="20" t="s">
        <v>342</v>
      </c>
      <c r="C138" s="20" t="s">
        <v>350</v>
      </c>
      <c r="D138" s="20" t="s">
        <v>344</v>
      </c>
    </row>
    <row r="139" spans="1:4" hidden="1" x14ac:dyDescent="0.35">
      <c r="A139" s="20" t="s">
        <v>354</v>
      </c>
      <c r="B139" s="20" t="s">
        <v>351</v>
      </c>
      <c r="C139" s="20" t="s">
        <v>352</v>
      </c>
      <c r="D139" s="20" t="s">
        <v>353</v>
      </c>
    </row>
    <row r="140" spans="1:4" hidden="1" x14ac:dyDescent="0.35">
      <c r="A140" s="20" t="s">
        <v>356</v>
      </c>
      <c r="B140" s="20" t="s">
        <v>351</v>
      </c>
      <c r="C140" s="20" t="s">
        <v>355</v>
      </c>
      <c r="D140" s="20" t="s">
        <v>353</v>
      </c>
    </row>
    <row r="141" spans="1:4" hidden="1" x14ac:dyDescent="0.35">
      <c r="A141" s="20" t="s">
        <v>358</v>
      </c>
      <c r="B141" s="20" t="s">
        <v>351</v>
      </c>
      <c r="C141" s="20" t="s">
        <v>357</v>
      </c>
      <c r="D141" s="20" t="s">
        <v>353</v>
      </c>
    </row>
    <row r="142" spans="1:4" hidden="1" x14ac:dyDescent="0.35">
      <c r="A142" s="20" t="s">
        <v>360</v>
      </c>
      <c r="B142" s="20" t="s">
        <v>351</v>
      </c>
      <c r="C142" s="20" t="s">
        <v>359</v>
      </c>
      <c r="D142" s="20" t="s">
        <v>353</v>
      </c>
    </row>
    <row r="143" spans="1:4" hidden="1" x14ac:dyDescent="0.35">
      <c r="A143" s="20" t="s">
        <v>57</v>
      </c>
      <c r="B143" s="20" t="s">
        <v>351</v>
      </c>
      <c r="C143" s="20" t="s">
        <v>361</v>
      </c>
      <c r="D143" s="20" t="s">
        <v>353</v>
      </c>
    </row>
    <row r="144" spans="1:4" hidden="1" x14ac:dyDescent="0.35">
      <c r="A144" s="21" t="s">
        <v>363</v>
      </c>
      <c r="B144" s="21" t="s">
        <v>351</v>
      </c>
      <c r="C144" s="21" t="s">
        <v>362</v>
      </c>
      <c r="D144" s="21" t="s">
        <v>353</v>
      </c>
    </row>
    <row r="145" spans="1:4" hidden="1" x14ac:dyDescent="0.35">
      <c r="A145" s="21" t="s">
        <v>58</v>
      </c>
      <c r="B145" s="21" t="s">
        <v>351</v>
      </c>
      <c r="C145" s="21" t="s">
        <v>364</v>
      </c>
      <c r="D145" s="21" t="s">
        <v>353</v>
      </c>
    </row>
    <row r="146" spans="1:4" hidden="1" x14ac:dyDescent="0.35">
      <c r="A146" s="21" t="s">
        <v>366</v>
      </c>
      <c r="B146" s="21" t="s">
        <v>351</v>
      </c>
      <c r="C146" s="21" t="s">
        <v>365</v>
      </c>
      <c r="D146" s="21" t="s">
        <v>353</v>
      </c>
    </row>
    <row r="147" spans="1:4" ht="35.25" hidden="1" customHeight="1" x14ac:dyDescent="0.35">
      <c r="A147" s="21" t="s">
        <v>368</v>
      </c>
      <c r="B147" s="21" t="s">
        <v>351</v>
      </c>
      <c r="C147" s="21" t="s">
        <v>367</v>
      </c>
      <c r="D147" s="21" t="s">
        <v>353</v>
      </c>
    </row>
  </sheetData>
  <autoFilter ref="A1:D147">
    <filterColumn colId="0">
      <filters>
        <filter val="MV.1"/>
        <filter val="MV.2"/>
        <filter val="MV.3"/>
        <filter val="MV.4"/>
        <filter val="MV.5"/>
        <filter val="MV.6"/>
        <filter val="MV.7"/>
      </filters>
    </filterColumn>
    <sortState ref="A114:D125">
      <sortCondition ref="A1:A147"/>
    </sortState>
  </autoFilter>
  <pageMargins left="0.7" right="0.7" top="0.75" bottom="0.75" header="0.3" footer="0.3"/>
  <pageSetup paperSize="9" scale="33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929"/>
  <sheetViews>
    <sheetView workbookViewId="0">
      <selection activeCell="E930" sqref="E930"/>
    </sheetView>
  </sheetViews>
  <sheetFormatPr baseColWidth="10" defaultRowHeight="14.5" x14ac:dyDescent="0.35"/>
  <cols>
    <col min="1" max="1" width="5.1796875" customWidth="1"/>
    <col min="2" max="2" width="13.26953125" bestFit="1" customWidth="1"/>
    <col min="3" max="3" width="28" bestFit="1" customWidth="1"/>
    <col min="4" max="4" width="17.54296875" bestFit="1" customWidth="1"/>
    <col min="5" max="5" width="10.54296875" customWidth="1"/>
    <col min="11" max="11" width="2" customWidth="1"/>
    <col min="12" max="12" width="2.6328125" customWidth="1"/>
  </cols>
  <sheetData>
    <row r="1" spans="1:20" x14ac:dyDescent="0.35">
      <c r="A1" s="50"/>
      <c r="B1" s="51" t="s">
        <v>423</v>
      </c>
      <c r="C1" s="51" t="s">
        <v>425</v>
      </c>
    </row>
    <row r="2" spans="1:20" x14ac:dyDescent="0.35">
      <c r="A2" s="1">
        <v>1</v>
      </c>
      <c r="B2" t="s">
        <v>400</v>
      </c>
      <c r="C2" s="47">
        <f>SUMIF($A$11:$A$929,$A2,$D$11:$D$929)</f>
        <v>388167</v>
      </c>
      <c r="D2" s="47">
        <f>SUMIFS($D$11:$D$929,$E$11:$E$929,1,$A$11:$A$929,$A2)</f>
        <v>0</v>
      </c>
      <c r="E2" s="52">
        <f>+D2/C2*100</f>
        <v>0</v>
      </c>
    </row>
    <row r="3" spans="1:20" x14ac:dyDescent="0.35">
      <c r="A3" s="1">
        <v>2</v>
      </c>
      <c r="B3" t="s">
        <v>394</v>
      </c>
      <c r="C3" s="47">
        <f t="shared" ref="C3:C6" si="0">SUMIF($A$11:$A$929,$A3,$D$11:$D$929)</f>
        <v>495761</v>
      </c>
      <c r="D3" s="47">
        <f t="shared" ref="D3:D6" si="1">SUMIFS($D$11:$D$929,$E$11:$E$929,1,$A$11:$A$929,$A3)</f>
        <v>2702</v>
      </c>
      <c r="E3" s="52">
        <f t="shared" ref="E3:E6" si="2">+D3/C3*100</f>
        <v>0.54502068537057169</v>
      </c>
      <c r="F3" s="50"/>
      <c r="P3" t="s">
        <v>1349</v>
      </c>
    </row>
    <row r="4" spans="1:20" x14ac:dyDescent="0.35">
      <c r="A4" s="1">
        <v>3</v>
      </c>
      <c r="B4" t="s">
        <v>397</v>
      </c>
      <c r="C4" s="47">
        <f t="shared" si="0"/>
        <v>196329</v>
      </c>
      <c r="D4" s="47">
        <f t="shared" si="1"/>
        <v>4305</v>
      </c>
      <c r="E4" s="52">
        <f t="shared" si="2"/>
        <v>2.1927478874745963</v>
      </c>
      <c r="J4" t="s">
        <v>1347</v>
      </c>
      <c r="P4" s="28" t="s">
        <v>68</v>
      </c>
    </row>
    <row r="5" spans="1:20" x14ac:dyDescent="0.35">
      <c r="A5" s="1">
        <v>4</v>
      </c>
      <c r="B5" t="s">
        <v>395</v>
      </c>
      <c r="C5" s="47">
        <f t="shared" si="0"/>
        <v>257762</v>
      </c>
      <c r="D5" s="47">
        <f t="shared" si="1"/>
        <v>25479</v>
      </c>
      <c r="E5" s="52">
        <f t="shared" si="2"/>
        <v>9.8846998393867214</v>
      </c>
      <c r="F5" s="50"/>
      <c r="J5" s="28" t="s">
        <v>96</v>
      </c>
      <c r="P5" s="28" t="s">
        <v>96</v>
      </c>
    </row>
    <row r="6" spans="1:20" x14ac:dyDescent="0.35">
      <c r="A6" s="1">
        <v>5</v>
      </c>
      <c r="B6" t="s">
        <v>392</v>
      </c>
      <c r="C6" s="47">
        <f t="shared" si="0"/>
        <v>694844</v>
      </c>
      <c r="D6" s="47">
        <f t="shared" si="1"/>
        <v>46092</v>
      </c>
      <c r="E6" s="52">
        <f t="shared" si="2"/>
        <v>6.6334313889160734</v>
      </c>
      <c r="J6" s="28" t="s">
        <v>47</v>
      </c>
      <c r="M6" t="s">
        <v>381</v>
      </c>
      <c r="N6">
        <v>20</v>
      </c>
      <c r="P6" s="28" t="s">
        <v>41</v>
      </c>
      <c r="S6" t="s">
        <v>381</v>
      </c>
      <c r="T6">
        <v>50</v>
      </c>
    </row>
    <row r="7" spans="1:20" x14ac:dyDescent="0.35">
      <c r="A7" s="48"/>
      <c r="B7" s="48" t="s">
        <v>1340</v>
      </c>
      <c r="C7" s="49">
        <f>SUM(C2:C6)</f>
        <v>2032863</v>
      </c>
      <c r="J7" s="28" t="s">
        <v>50</v>
      </c>
      <c r="M7" t="s">
        <v>381</v>
      </c>
      <c r="N7">
        <v>50</v>
      </c>
      <c r="P7" s="28" t="s">
        <v>39</v>
      </c>
      <c r="S7" t="s">
        <v>381</v>
      </c>
      <c r="T7">
        <v>25</v>
      </c>
    </row>
    <row r="8" spans="1:20" x14ac:dyDescent="0.35">
      <c r="J8" s="28" t="s">
        <v>41</v>
      </c>
      <c r="M8" t="s">
        <v>381</v>
      </c>
      <c r="N8">
        <v>50</v>
      </c>
      <c r="P8" s="28" t="s">
        <v>123</v>
      </c>
    </row>
    <row r="9" spans="1:20" x14ac:dyDescent="0.35">
      <c r="J9" s="28" t="s">
        <v>39</v>
      </c>
      <c r="M9" t="s">
        <v>381</v>
      </c>
      <c r="N9">
        <v>25</v>
      </c>
      <c r="P9" s="28" t="s">
        <v>150</v>
      </c>
    </row>
    <row r="10" spans="1:20" x14ac:dyDescent="0.35">
      <c r="A10" s="50"/>
      <c r="B10" s="48" t="s">
        <v>423</v>
      </c>
      <c r="C10" s="48" t="s">
        <v>424</v>
      </c>
      <c r="D10" s="48" t="s">
        <v>425</v>
      </c>
      <c r="E10" s="48" t="s">
        <v>1344</v>
      </c>
      <c r="J10" s="28" t="s">
        <v>123</v>
      </c>
      <c r="P10" s="28" t="s">
        <v>127</v>
      </c>
    </row>
    <row r="11" spans="1:20" ht="15" customHeight="1" x14ac:dyDescent="0.35">
      <c r="A11">
        <v>1</v>
      </c>
      <c r="B11" t="s">
        <v>400</v>
      </c>
      <c r="C11" t="s">
        <v>426</v>
      </c>
      <c r="D11" s="47">
        <v>790</v>
      </c>
      <c r="J11" s="28" t="s">
        <v>150</v>
      </c>
      <c r="P11" s="28" t="s">
        <v>23</v>
      </c>
      <c r="S11" t="s">
        <v>380</v>
      </c>
      <c r="T11">
        <v>6</v>
      </c>
    </row>
    <row r="12" spans="1:20" ht="15" customHeight="1" x14ac:dyDescent="0.35">
      <c r="A12">
        <v>1</v>
      </c>
      <c r="B12" t="s">
        <v>400</v>
      </c>
      <c r="C12" t="s">
        <v>427</v>
      </c>
      <c r="D12" s="47">
        <v>519</v>
      </c>
      <c r="J12" s="28" t="s">
        <v>127</v>
      </c>
      <c r="P12" s="28" t="s">
        <v>24</v>
      </c>
      <c r="S12" t="s">
        <v>380</v>
      </c>
      <c r="T12">
        <v>6</v>
      </c>
    </row>
    <row r="13" spans="1:20" ht="15" customHeight="1" x14ac:dyDescent="0.35">
      <c r="A13">
        <v>1</v>
      </c>
      <c r="B13" t="s">
        <v>400</v>
      </c>
      <c r="C13" t="s">
        <v>400</v>
      </c>
      <c r="D13" s="47">
        <v>173329</v>
      </c>
      <c r="J13" s="28" t="s">
        <v>23</v>
      </c>
      <c r="M13" t="s">
        <v>380</v>
      </c>
      <c r="N13">
        <v>6</v>
      </c>
      <c r="P13" s="28" t="s">
        <v>27</v>
      </c>
      <c r="S13" t="s">
        <v>381</v>
      </c>
      <c r="T13">
        <v>40</v>
      </c>
    </row>
    <row r="14" spans="1:20" ht="15" customHeight="1" x14ac:dyDescent="0.35">
      <c r="A14">
        <v>1</v>
      </c>
      <c r="B14" t="s">
        <v>400</v>
      </c>
      <c r="C14" t="s">
        <v>428</v>
      </c>
      <c r="D14" s="47">
        <v>692</v>
      </c>
      <c r="J14" s="28" t="s">
        <v>24</v>
      </c>
      <c r="M14" t="s">
        <v>380</v>
      </c>
      <c r="N14">
        <v>6</v>
      </c>
      <c r="P14" s="28" t="s">
        <v>28</v>
      </c>
      <c r="S14" t="s">
        <v>380</v>
      </c>
      <c r="T14">
        <v>100</v>
      </c>
    </row>
    <row r="15" spans="1:20" ht="15" customHeight="1" x14ac:dyDescent="0.35">
      <c r="A15">
        <v>1</v>
      </c>
      <c r="B15" t="s">
        <v>400</v>
      </c>
      <c r="C15" t="s">
        <v>429</v>
      </c>
      <c r="D15" s="47">
        <v>658</v>
      </c>
      <c r="J15" s="28" t="s">
        <v>27</v>
      </c>
      <c r="M15" t="s">
        <v>381</v>
      </c>
      <c r="N15">
        <v>40</v>
      </c>
      <c r="P15" s="28" t="s">
        <v>166</v>
      </c>
    </row>
    <row r="16" spans="1:20" ht="15" customHeight="1" x14ac:dyDescent="0.35">
      <c r="A16">
        <v>1</v>
      </c>
      <c r="B16" t="s">
        <v>400</v>
      </c>
      <c r="C16" t="s">
        <v>430</v>
      </c>
      <c r="D16" s="47">
        <v>654</v>
      </c>
      <c r="J16" s="28" t="s">
        <v>28</v>
      </c>
      <c r="M16" t="s">
        <v>380</v>
      </c>
      <c r="N16">
        <v>100</v>
      </c>
      <c r="P16" s="28" t="s">
        <v>188</v>
      </c>
    </row>
    <row r="17" spans="1:20" ht="15" customHeight="1" x14ac:dyDescent="0.35">
      <c r="A17">
        <v>1</v>
      </c>
      <c r="B17" t="s">
        <v>400</v>
      </c>
      <c r="C17" t="s">
        <v>431</v>
      </c>
      <c r="D17" s="47">
        <v>1170</v>
      </c>
      <c r="J17" s="28" t="s">
        <v>30</v>
      </c>
      <c r="M17" t="s">
        <v>381</v>
      </c>
      <c r="N17">
        <v>33</v>
      </c>
      <c r="P17" s="28" t="s">
        <v>192</v>
      </c>
    </row>
    <row r="18" spans="1:20" ht="15" customHeight="1" x14ac:dyDescent="0.35">
      <c r="A18">
        <v>1</v>
      </c>
      <c r="B18" t="s">
        <v>400</v>
      </c>
      <c r="C18" t="s">
        <v>432</v>
      </c>
      <c r="D18" s="47">
        <v>1351</v>
      </c>
      <c r="J18" s="28" t="s">
        <v>188</v>
      </c>
      <c r="P18" s="28" t="s">
        <v>198</v>
      </c>
    </row>
    <row r="19" spans="1:20" ht="15" customHeight="1" x14ac:dyDescent="0.35">
      <c r="A19">
        <v>1</v>
      </c>
      <c r="B19" t="s">
        <v>400</v>
      </c>
      <c r="C19" t="s">
        <v>433</v>
      </c>
      <c r="D19" s="47">
        <v>24419</v>
      </c>
      <c r="J19" s="28" t="s">
        <v>192</v>
      </c>
      <c r="P19" s="28" t="s">
        <v>393</v>
      </c>
    </row>
    <row r="20" spans="1:20" ht="15" customHeight="1" x14ac:dyDescent="0.35">
      <c r="A20">
        <v>1</v>
      </c>
      <c r="B20" t="s">
        <v>400</v>
      </c>
      <c r="C20" t="s">
        <v>434</v>
      </c>
      <c r="D20" s="47">
        <v>2265</v>
      </c>
      <c r="J20" s="28" t="s">
        <v>198</v>
      </c>
      <c r="P20" s="28" t="s">
        <v>204</v>
      </c>
    </row>
    <row r="21" spans="1:20" ht="15" customHeight="1" x14ac:dyDescent="0.35">
      <c r="A21">
        <v>1</v>
      </c>
      <c r="B21" t="s">
        <v>400</v>
      </c>
      <c r="C21" t="s">
        <v>435</v>
      </c>
      <c r="D21" s="47">
        <v>616</v>
      </c>
      <c r="J21" s="28" t="s">
        <v>393</v>
      </c>
      <c r="P21" s="28" t="s">
        <v>210</v>
      </c>
    </row>
    <row r="22" spans="1:20" ht="15" customHeight="1" x14ac:dyDescent="0.35">
      <c r="A22">
        <v>1</v>
      </c>
      <c r="B22" t="s">
        <v>400</v>
      </c>
      <c r="C22" t="s">
        <v>436</v>
      </c>
      <c r="D22" s="47">
        <v>2334</v>
      </c>
      <c r="J22" s="28" t="s">
        <v>204</v>
      </c>
      <c r="P22" s="28" t="s">
        <v>31</v>
      </c>
      <c r="S22" t="s">
        <v>381</v>
      </c>
      <c r="T22">
        <v>50</v>
      </c>
    </row>
    <row r="23" spans="1:20" ht="15" customHeight="1" x14ac:dyDescent="0.35">
      <c r="A23">
        <v>1</v>
      </c>
      <c r="B23" t="s">
        <v>400</v>
      </c>
      <c r="C23" t="s">
        <v>437</v>
      </c>
      <c r="D23" s="47">
        <v>158</v>
      </c>
      <c r="J23" s="28" t="s">
        <v>210</v>
      </c>
      <c r="P23" s="28" t="s">
        <v>230</v>
      </c>
    </row>
    <row r="24" spans="1:20" ht="15" customHeight="1" x14ac:dyDescent="0.35">
      <c r="A24">
        <v>1</v>
      </c>
      <c r="B24" t="s">
        <v>400</v>
      </c>
      <c r="C24" t="s">
        <v>439</v>
      </c>
      <c r="D24" s="47">
        <v>1833</v>
      </c>
      <c r="J24" s="28" t="s">
        <v>31</v>
      </c>
      <c r="M24" t="s">
        <v>381</v>
      </c>
      <c r="N24">
        <v>50</v>
      </c>
      <c r="P24" s="28" t="s">
        <v>259</v>
      </c>
      <c r="S24" t="s">
        <v>1345</v>
      </c>
      <c r="T24" t="s">
        <v>1348</v>
      </c>
    </row>
    <row r="25" spans="1:20" ht="15" customHeight="1" x14ac:dyDescent="0.35">
      <c r="A25">
        <v>1</v>
      </c>
      <c r="B25" t="s">
        <v>400</v>
      </c>
      <c r="C25" t="s">
        <v>440</v>
      </c>
      <c r="D25" s="47">
        <v>603</v>
      </c>
      <c r="J25" s="28" t="s">
        <v>230</v>
      </c>
      <c r="P25" s="28" t="s">
        <v>261</v>
      </c>
    </row>
    <row r="26" spans="1:20" ht="15" customHeight="1" x14ac:dyDescent="0.35">
      <c r="A26">
        <v>1</v>
      </c>
      <c r="B26" t="s">
        <v>400</v>
      </c>
      <c r="C26" t="s">
        <v>441</v>
      </c>
      <c r="D26" s="47">
        <v>842</v>
      </c>
      <c r="J26" s="28" t="s">
        <v>287</v>
      </c>
      <c r="M26" t="s">
        <v>1345</v>
      </c>
      <c r="N26" t="s">
        <v>1346</v>
      </c>
      <c r="P26" s="28" t="s">
        <v>287</v>
      </c>
      <c r="S26" t="s">
        <v>1345</v>
      </c>
      <c r="T26" t="s">
        <v>1346</v>
      </c>
    </row>
    <row r="27" spans="1:20" ht="15" customHeight="1" x14ac:dyDescent="0.35">
      <c r="A27">
        <v>1</v>
      </c>
      <c r="B27" t="s">
        <v>400</v>
      </c>
      <c r="C27" t="s">
        <v>442</v>
      </c>
      <c r="D27" s="47">
        <v>1049</v>
      </c>
      <c r="J27" s="28" t="s">
        <v>315</v>
      </c>
      <c r="M27" t="s">
        <v>381</v>
      </c>
      <c r="N27">
        <v>33.299999999999997</v>
      </c>
      <c r="P27" s="28" t="s">
        <v>305</v>
      </c>
    </row>
    <row r="28" spans="1:20" ht="15" customHeight="1" x14ac:dyDescent="0.35">
      <c r="A28">
        <v>1</v>
      </c>
      <c r="B28" t="s">
        <v>400</v>
      </c>
      <c r="C28" t="s">
        <v>444</v>
      </c>
      <c r="D28" s="47">
        <v>501</v>
      </c>
      <c r="J28" s="28" t="s">
        <v>311</v>
      </c>
      <c r="M28" t="s">
        <v>1345</v>
      </c>
      <c r="N28" s="54">
        <v>0.875</v>
      </c>
      <c r="P28" s="28" t="s">
        <v>60</v>
      </c>
      <c r="S28" t="s">
        <v>380</v>
      </c>
      <c r="T28">
        <v>6</v>
      </c>
    </row>
    <row r="29" spans="1:20" ht="15" customHeight="1" x14ac:dyDescent="0.35">
      <c r="A29">
        <v>1</v>
      </c>
      <c r="B29" t="s">
        <v>400</v>
      </c>
      <c r="C29" t="s">
        <v>445</v>
      </c>
      <c r="D29" s="47">
        <v>1307</v>
      </c>
      <c r="J29" s="28" t="s">
        <v>313</v>
      </c>
      <c r="M29" t="s">
        <v>381</v>
      </c>
      <c r="N29">
        <v>50</v>
      </c>
      <c r="P29" s="28" t="s">
        <v>345</v>
      </c>
      <c r="S29" t="s">
        <v>381</v>
      </c>
      <c r="T29">
        <v>50</v>
      </c>
    </row>
    <row r="30" spans="1:20" ht="15" customHeight="1" x14ac:dyDescent="0.35">
      <c r="A30">
        <v>1</v>
      </c>
      <c r="B30" t="s">
        <v>400</v>
      </c>
      <c r="C30" t="s">
        <v>446</v>
      </c>
      <c r="D30" s="47">
        <v>363</v>
      </c>
      <c r="J30" s="28" t="s">
        <v>60</v>
      </c>
      <c r="M30" t="s">
        <v>380</v>
      </c>
      <c r="N30">
        <v>6</v>
      </c>
      <c r="P30" s="28" t="s">
        <v>368</v>
      </c>
      <c r="S30" t="s">
        <v>380</v>
      </c>
      <c r="T30">
        <v>6</v>
      </c>
    </row>
    <row r="31" spans="1:20" ht="15" customHeight="1" x14ac:dyDescent="0.35">
      <c r="A31">
        <v>1</v>
      </c>
      <c r="B31" t="s">
        <v>400</v>
      </c>
      <c r="C31" t="s">
        <v>447</v>
      </c>
      <c r="D31" s="47">
        <v>572</v>
      </c>
      <c r="J31" s="28" t="s">
        <v>345</v>
      </c>
      <c r="M31" t="s">
        <v>381</v>
      </c>
      <c r="N31">
        <v>50</v>
      </c>
    </row>
    <row r="32" spans="1:20" ht="15" customHeight="1" x14ac:dyDescent="0.35">
      <c r="A32">
        <v>1</v>
      </c>
      <c r="B32" t="s">
        <v>400</v>
      </c>
      <c r="C32" t="s">
        <v>448</v>
      </c>
      <c r="D32" s="47">
        <v>4538</v>
      </c>
      <c r="J32" s="28" t="s">
        <v>368</v>
      </c>
      <c r="M32" t="s">
        <v>380</v>
      </c>
      <c r="N32">
        <v>6</v>
      </c>
    </row>
    <row r="33" spans="1:14" ht="15" customHeight="1" x14ac:dyDescent="0.35">
      <c r="A33">
        <v>1</v>
      </c>
      <c r="B33" t="s">
        <v>400</v>
      </c>
      <c r="C33" t="s">
        <v>449</v>
      </c>
      <c r="D33" s="47">
        <v>9963</v>
      </c>
      <c r="J33" s="28" t="s">
        <v>309</v>
      </c>
    </row>
    <row r="34" spans="1:14" ht="15" customHeight="1" x14ac:dyDescent="0.35">
      <c r="A34">
        <v>1</v>
      </c>
      <c r="B34" t="s">
        <v>400</v>
      </c>
      <c r="C34" t="s">
        <v>450</v>
      </c>
      <c r="D34" s="47">
        <v>1181</v>
      </c>
    </row>
    <row r="35" spans="1:14" ht="15" customHeight="1" x14ac:dyDescent="0.35">
      <c r="A35">
        <v>1</v>
      </c>
      <c r="B35" t="s">
        <v>400</v>
      </c>
      <c r="C35" t="s">
        <v>453</v>
      </c>
      <c r="D35" s="47">
        <v>4206</v>
      </c>
    </row>
    <row r="36" spans="1:14" ht="15" customHeight="1" x14ac:dyDescent="0.35">
      <c r="A36">
        <v>1</v>
      </c>
      <c r="B36" t="s">
        <v>400</v>
      </c>
      <c r="C36" t="s">
        <v>451</v>
      </c>
      <c r="D36" s="47">
        <v>324</v>
      </c>
      <c r="J36" t="s">
        <v>1350</v>
      </c>
    </row>
    <row r="37" spans="1:14" ht="15" customHeight="1" x14ac:dyDescent="0.35">
      <c r="A37">
        <v>1</v>
      </c>
      <c r="B37" t="s">
        <v>400</v>
      </c>
      <c r="C37" t="s">
        <v>452</v>
      </c>
      <c r="D37" s="47">
        <v>123</v>
      </c>
      <c r="J37" t="s">
        <v>188</v>
      </c>
    </row>
    <row r="38" spans="1:14" ht="15" customHeight="1" x14ac:dyDescent="0.35">
      <c r="A38">
        <v>1</v>
      </c>
      <c r="B38" t="s">
        <v>400</v>
      </c>
      <c r="C38" t="s">
        <v>438</v>
      </c>
      <c r="D38" s="47">
        <v>405</v>
      </c>
      <c r="J38" t="s">
        <v>192</v>
      </c>
    </row>
    <row r="39" spans="1:14" ht="15" customHeight="1" x14ac:dyDescent="0.35">
      <c r="A39">
        <v>1</v>
      </c>
      <c r="B39" t="s">
        <v>400</v>
      </c>
      <c r="C39" t="s">
        <v>443</v>
      </c>
      <c r="D39" s="47">
        <v>2779</v>
      </c>
      <c r="J39" t="s">
        <v>309</v>
      </c>
    </row>
    <row r="40" spans="1:14" ht="15" customHeight="1" x14ac:dyDescent="0.35">
      <c r="A40">
        <v>1</v>
      </c>
      <c r="B40" t="s">
        <v>400</v>
      </c>
      <c r="C40" t="s">
        <v>454</v>
      </c>
      <c r="D40" s="47">
        <v>3585</v>
      </c>
      <c r="J40" t="s">
        <v>315</v>
      </c>
      <c r="M40" t="s">
        <v>381</v>
      </c>
      <c r="N40">
        <v>50</v>
      </c>
    </row>
    <row r="41" spans="1:14" ht="15" customHeight="1" x14ac:dyDescent="0.35">
      <c r="A41">
        <v>1</v>
      </c>
      <c r="B41" t="s">
        <v>400</v>
      </c>
      <c r="C41" t="s">
        <v>455</v>
      </c>
      <c r="D41" s="47">
        <v>643</v>
      </c>
      <c r="J41" t="s">
        <v>313</v>
      </c>
      <c r="M41" t="s">
        <v>381</v>
      </c>
      <c r="N41">
        <v>75</v>
      </c>
    </row>
    <row r="42" spans="1:14" ht="15" customHeight="1" x14ac:dyDescent="0.35">
      <c r="A42">
        <v>1</v>
      </c>
      <c r="B42" t="s">
        <v>400</v>
      </c>
      <c r="C42" t="s">
        <v>456</v>
      </c>
      <c r="D42" s="47">
        <v>297</v>
      </c>
      <c r="J42" t="s">
        <v>56</v>
      </c>
      <c r="M42" t="s">
        <v>381</v>
      </c>
      <c r="N42">
        <v>50</v>
      </c>
    </row>
    <row r="43" spans="1:14" ht="15" customHeight="1" x14ac:dyDescent="0.35">
      <c r="A43">
        <v>1</v>
      </c>
      <c r="B43" t="s">
        <v>400</v>
      </c>
      <c r="C43" t="s">
        <v>457</v>
      </c>
      <c r="D43" s="47">
        <v>2489</v>
      </c>
      <c r="J43" t="s">
        <v>204</v>
      </c>
    </row>
    <row r="44" spans="1:14" ht="15" customHeight="1" x14ac:dyDescent="0.35">
      <c r="A44">
        <v>1</v>
      </c>
      <c r="B44" t="s">
        <v>400</v>
      </c>
      <c r="C44" t="s">
        <v>458</v>
      </c>
      <c r="D44" s="47">
        <v>1792</v>
      </c>
      <c r="J44" t="s">
        <v>202</v>
      </c>
      <c r="N44" t="s">
        <v>1351</v>
      </c>
    </row>
    <row r="45" spans="1:14" ht="15" customHeight="1" x14ac:dyDescent="0.35">
      <c r="A45">
        <v>1</v>
      </c>
      <c r="B45" t="s">
        <v>400</v>
      </c>
      <c r="C45" t="s">
        <v>460</v>
      </c>
      <c r="D45" s="47">
        <v>104</v>
      </c>
      <c r="J45" t="s">
        <v>208</v>
      </c>
    </row>
    <row r="46" spans="1:14" ht="15" customHeight="1" x14ac:dyDescent="0.35">
      <c r="A46">
        <v>1</v>
      </c>
      <c r="B46" t="s">
        <v>400</v>
      </c>
      <c r="C46" t="s">
        <v>461</v>
      </c>
      <c r="D46" s="47">
        <v>30306</v>
      </c>
      <c r="J46" t="s">
        <v>210</v>
      </c>
    </row>
    <row r="47" spans="1:14" ht="15" customHeight="1" x14ac:dyDescent="0.35">
      <c r="A47">
        <v>1</v>
      </c>
      <c r="B47" t="s">
        <v>400</v>
      </c>
      <c r="C47" t="s">
        <v>463</v>
      </c>
      <c r="D47" s="47">
        <v>1158</v>
      </c>
      <c r="J47" s="28" t="s">
        <v>23</v>
      </c>
      <c r="M47" t="s">
        <v>380</v>
      </c>
      <c r="N47">
        <v>6</v>
      </c>
    </row>
    <row r="48" spans="1:14" ht="15" customHeight="1" x14ac:dyDescent="0.35">
      <c r="A48">
        <v>1</v>
      </c>
      <c r="B48" t="s">
        <v>400</v>
      </c>
      <c r="C48" t="s">
        <v>464</v>
      </c>
      <c r="D48" s="47">
        <v>647</v>
      </c>
      <c r="J48" s="28" t="s">
        <v>24</v>
      </c>
      <c r="M48" t="s">
        <v>380</v>
      </c>
      <c r="N48">
        <v>6</v>
      </c>
    </row>
    <row r="49" spans="1:14" ht="15" customHeight="1" x14ac:dyDescent="0.35">
      <c r="A49">
        <v>1</v>
      </c>
      <c r="B49" t="s">
        <v>400</v>
      </c>
      <c r="C49" t="s">
        <v>465</v>
      </c>
      <c r="D49" s="47">
        <v>355</v>
      </c>
      <c r="J49" s="28" t="s">
        <v>27</v>
      </c>
      <c r="M49" t="s">
        <v>381</v>
      </c>
      <c r="N49">
        <v>40</v>
      </c>
    </row>
    <row r="50" spans="1:14" ht="15" customHeight="1" x14ac:dyDescent="0.35">
      <c r="A50">
        <v>1</v>
      </c>
      <c r="B50" t="s">
        <v>400</v>
      </c>
      <c r="C50" t="s">
        <v>459</v>
      </c>
      <c r="D50" s="47">
        <v>2512</v>
      </c>
      <c r="J50" s="28" t="s">
        <v>28</v>
      </c>
      <c r="M50" t="s">
        <v>380</v>
      </c>
      <c r="N50">
        <v>100</v>
      </c>
    </row>
    <row r="51" spans="1:14" ht="15" customHeight="1" x14ac:dyDescent="0.35">
      <c r="A51">
        <v>1</v>
      </c>
      <c r="B51" t="s">
        <v>400</v>
      </c>
      <c r="C51" t="s">
        <v>462</v>
      </c>
      <c r="D51" s="47">
        <v>326</v>
      </c>
      <c r="J51" s="28" t="s">
        <v>55</v>
      </c>
      <c r="M51" t="s">
        <v>381</v>
      </c>
      <c r="N51">
        <v>50</v>
      </c>
    </row>
    <row r="52" spans="1:14" ht="15" customHeight="1" x14ac:dyDescent="0.35">
      <c r="A52">
        <v>1</v>
      </c>
      <c r="B52" t="s">
        <v>400</v>
      </c>
      <c r="C52" t="s">
        <v>490</v>
      </c>
      <c r="D52" s="47">
        <v>242</v>
      </c>
      <c r="J52" s="28" t="s">
        <v>55</v>
      </c>
      <c r="M52" t="s">
        <v>380</v>
      </c>
      <c r="N52">
        <v>500</v>
      </c>
    </row>
    <row r="53" spans="1:14" ht="15" customHeight="1" x14ac:dyDescent="0.35">
      <c r="A53">
        <v>1</v>
      </c>
      <c r="B53" t="s">
        <v>400</v>
      </c>
      <c r="C53" t="s">
        <v>493</v>
      </c>
      <c r="D53" s="47">
        <v>15476</v>
      </c>
      <c r="J53" s="28" t="s">
        <v>48</v>
      </c>
      <c r="M53" t="s">
        <v>381</v>
      </c>
      <c r="N53">
        <v>50</v>
      </c>
    </row>
    <row r="54" spans="1:14" ht="15" customHeight="1" x14ac:dyDescent="0.35">
      <c r="A54">
        <v>1</v>
      </c>
      <c r="B54" t="s">
        <v>400</v>
      </c>
      <c r="C54" t="s">
        <v>466</v>
      </c>
      <c r="D54" s="47">
        <v>919</v>
      </c>
      <c r="J54" s="28" t="s">
        <v>49</v>
      </c>
      <c r="M54" t="s">
        <v>381</v>
      </c>
      <c r="N54">
        <v>30</v>
      </c>
    </row>
    <row r="55" spans="1:14" ht="15" customHeight="1" x14ac:dyDescent="0.35">
      <c r="A55">
        <v>1</v>
      </c>
      <c r="B55" t="s">
        <v>400</v>
      </c>
      <c r="C55" t="s">
        <v>467</v>
      </c>
      <c r="D55" s="47">
        <v>1358</v>
      </c>
      <c r="J55" s="28" t="s">
        <v>48</v>
      </c>
      <c r="M55" t="s">
        <v>380</v>
      </c>
      <c r="N55">
        <v>500</v>
      </c>
    </row>
    <row r="56" spans="1:14" ht="15" customHeight="1" x14ac:dyDescent="0.35">
      <c r="A56">
        <v>1</v>
      </c>
      <c r="B56" t="s">
        <v>400</v>
      </c>
      <c r="C56" t="s">
        <v>468</v>
      </c>
      <c r="D56" s="47">
        <v>1175</v>
      </c>
      <c r="J56" s="28" t="s">
        <v>49</v>
      </c>
      <c r="M56" t="s">
        <v>380</v>
      </c>
      <c r="N56">
        <v>300</v>
      </c>
    </row>
    <row r="57" spans="1:14" ht="15" customHeight="1" x14ac:dyDescent="0.35">
      <c r="A57">
        <v>1</v>
      </c>
      <c r="B57" t="s">
        <v>400</v>
      </c>
      <c r="C57" t="s">
        <v>469</v>
      </c>
      <c r="D57" s="47">
        <v>4652</v>
      </c>
      <c r="J57" s="28" t="s">
        <v>43</v>
      </c>
      <c r="M57" t="s">
        <v>381</v>
      </c>
      <c r="N57">
        <v>30</v>
      </c>
    </row>
    <row r="58" spans="1:14" ht="15" customHeight="1" x14ac:dyDescent="0.35">
      <c r="A58">
        <v>1</v>
      </c>
      <c r="B58" t="s">
        <v>400</v>
      </c>
      <c r="C58" t="s">
        <v>470</v>
      </c>
      <c r="D58" s="47">
        <v>1383</v>
      </c>
      <c r="J58" s="28" t="s">
        <v>42</v>
      </c>
      <c r="M58" t="s">
        <v>381</v>
      </c>
      <c r="N58">
        <v>50</v>
      </c>
    </row>
    <row r="59" spans="1:14" ht="15" customHeight="1" x14ac:dyDescent="0.35">
      <c r="A59">
        <v>1</v>
      </c>
      <c r="B59" t="s">
        <v>400</v>
      </c>
      <c r="C59" t="s">
        <v>471</v>
      </c>
      <c r="D59" s="47">
        <v>110</v>
      </c>
      <c r="J59" s="28" t="s">
        <v>368</v>
      </c>
      <c r="M59" t="s">
        <v>381</v>
      </c>
      <c r="N59">
        <v>50</v>
      </c>
    </row>
    <row r="60" spans="1:14" ht="15" customHeight="1" x14ac:dyDescent="0.35">
      <c r="A60">
        <v>1</v>
      </c>
      <c r="B60" t="s">
        <v>400</v>
      </c>
      <c r="C60" t="s">
        <v>472</v>
      </c>
      <c r="D60" s="47">
        <v>1501</v>
      </c>
      <c r="J60" s="28" t="s">
        <v>368</v>
      </c>
      <c r="M60" t="s">
        <v>380</v>
      </c>
      <c r="N60">
        <v>30</v>
      </c>
    </row>
    <row r="61" spans="1:14" ht="15" customHeight="1" x14ac:dyDescent="0.35">
      <c r="A61">
        <v>1</v>
      </c>
      <c r="B61" t="s">
        <v>400</v>
      </c>
      <c r="C61" t="s">
        <v>473</v>
      </c>
      <c r="D61" s="47">
        <v>852</v>
      </c>
      <c r="J61" s="28" t="s">
        <v>41</v>
      </c>
      <c r="M61" t="s">
        <v>381</v>
      </c>
      <c r="N61">
        <v>75</v>
      </c>
    </row>
    <row r="62" spans="1:14" ht="15" customHeight="1" x14ac:dyDescent="0.35">
      <c r="A62">
        <v>1</v>
      </c>
      <c r="B62" t="s">
        <v>400</v>
      </c>
      <c r="C62" t="s">
        <v>474</v>
      </c>
      <c r="D62" s="47">
        <v>97</v>
      </c>
      <c r="J62" s="28" t="s">
        <v>39</v>
      </c>
      <c r="M62" t="s">
        <v>381</v>
      </c>
      <c r="N62">
        <v>50</v>
      </c>
    </row>
    <row r="63" spans="1:14" ht="15" customHeight="1" x14ac:dyDescent="0.35">
      <c r="A63">
        <v>1</v>
      </c>
      <c r="B63" t="s">
        <v>400</v>
      </c>
      <c r="C63" t="s">
        <v>475</v>
      </c>
      <c r="D63" s="47">
        <v>2051</v>
      </c>
      <c r="J63" s="28" t="s">
        <v>96</v>
      </c>
    </row>
    <row r="64" spans="1:14" ht="15" customHeight="1" x14ac:dyDescent="0.35">
      <c r="A64">
        <v>1</v>
      </c>
      <c r="B64" t="s">
        <v>400</v>
      </c>
      <c r="C64" t="s">
        <v>476</v>
      </c>
      <c r="D64" s="47">
        <v>571</v>
      </c>
      <c r="J64" s="28" t="s">
        <v>88</v>
      </c>
      <c r="M64" t="s">
        <v>381</v>
      </c>
      <c r="N64">
        <v>60</v>
      </c>
    </row>
    <row r="65" spans="1:14" ht="15" customHeight="1" x14ac:dyDescent="0.35">
      <c r="A65">
        <v>1</v>
      </c>
      <c r="B65" t="s">
        <v>400</v>
      </c>
      <c r="C65" t="s">
        <v>477</v>
      </c>
      <c r="D65" s="47">
        <v>3435</v>
      </c>
      <c r="J65" s="28" t="s">
        <v>90</v>
      </c>
      <c r="M65" t="s">
        <v>381</v>
      </c>
      <c r="N65">
        <v>30</v>
      </c>
    </row>
    <row r="66" spans="1:14" ht="15" customHeight="1" x14ac:dyDescent="0.35">
      <c r="A66">
        <v>1</v>
      </c>
      <c r="B66" t="s">
        <v>400</v>
      </c>
      <c r="C66" t="s">
        <v>478</v>
      </c>
      <c r="D66" s="47">
        <v>517</v>
      </c>
      <c r="J66" s="28" t="s">
        <v>30</v>
      </c>
      <c r="N66">
        <v>33</v>
      </c>
    </row>
    <row r="67" spans="1:14" ht="15" customHeight="1" x14ac:dyDescent="0.35">
      <c r="A67">
        <v>1</v>
      </c>
      <c r="B67" t="s">
        <v>400</v>
      </c>
      <c r="C67" t="s">
        <v>479</v>
      </c>
      <c r="D67" s="47">
        <v>1191</v>
      </c>
      <c r="J67" s="28" t="s">
        <v>287</v>
      </c>
      <c r="M67" t="s">
        <v>1345</v>
      </c>
      <c r="N67" t="s">
        <v>1346</v>
      </c>
    </row>
    <row r="68" spans="1:14" ht="15" customHeight="1" x14ac:dyDescent="0.35">
      <c r="A68">
        <v>1</v>
      </c>
      <c r="B68" t="s">
        <v>400</v>
      </c>
      <c r="C68" t="s">
        <v>480</v>
      </c>
      <c r="D68" s="47">
        <v>1987</v>
      </c>
      <c r="J68" s="28" t="s">
        <v>29</v>
      </c>
      <c r="M68" t="s">
        <v>381</v>
      </c>
      <c r="N68">
        <v>50</v>
      </c>
    </row>
    <row r="69" spans="1:14" ht="15" customHeight="1" x14ac:dyDescent="0.35">
      <c r="A69">
        <v>1</v>
      </c>
      <c r="B69" t="s">
        <v>400</v>
      </c>
      <c r="C69" t="s">
        <v>481</v>
      </c>
      <c r="D69" s="47">
        <v>2307</v>
      </c>
    </row>
    <row r="70" spans="1:14" ht="15" customHeight="1" x14ac:dyDescent="0.35">
      <c r="A70">
        <v>1</v>
      </c>
      <c r="B70" t="s">
        <v>400</v>
      </c>
      <c r="C70" t="s">
        <v>482</v>
      </c>
      <c r="D70" s="47">
        <v>348</v>
      </c>
    </row>
    <row r="71" spans="1:14" ht="15" customHeight="1" x14ac:dyDescent="0.35">
      <c r="A71">
        <v>1</v>
      </c>
      <c r="B71" t="s">
        <v>400</v>
      </c>
      <c r="C71" t="s">
        <v>484</v>
      </c>
      <c r="D71" s="47">
        <v>1399</v>
      </c>
    </row>
    <row r="72" spans="1:14" ht="15" customHeight="1" x14ac:dyDescent="0.35">
      <c r="A72">
        <v>1</v>
      </c>
      <c r="B72" t="s">
        <v>400</v>
      </c>
      <c r="C72" t="s">
        <v>483</v>
      </c>
      <c r="D72" s="47">
        <v>334</v>
      </c>
    </row>
    <row r="73" spans="1:14" ht="15" customHeight="1" x14ac:dyDescent="0.35">
      <c r="A73">
        <v>1</v>
      </c>
      <c r="B73" t="s">
        <v>400</v>
      </c>
      <c r="C73" t="s">
        <v>485</v>
      </c>
      <c r="D73" s="47">
        <v>692</v>
      </c>
    </row>
    <row r="74" spans="1:14" ht="15" customHeight="1" x14ac:dyDescent="0.35">
      <c r="A74">
        <v>1</v>
      </c>
      <c r="B74" t="s">
        <v>400</v>
      </c>
      <c r="C74" t="s">
        <v>486</v>
      </c>
      <c r="D74" s="47">
        <v>430</v>
      </c>
    </row>
    <row r="75" spans="1:14" ht="15" customHeight="1" x14ac:dyDescent="0.35">
      <c r="A75">
        <v>1</v>
      </c>
      <c r="B75" t="s">
        <v>400</v>
      </c>
      <c r="C75" t="s">
        <v>511</v>
      </c>
      <c r="D75" s="47">
        <v>2797</v>
      </c>
    </row>
    <row r="76" spans="1:14" ht="15" customHeight="1" x14ac:dyDescent="0.35">
      <c r="A76">
        <v>1</v>
      </c>
      <c r="B76" t="s">
        <v>400</v>
      </c>
      <c r="C76" t="s">
        <v>487</v>
      </c>
      <c r="D76" s="47">
        <v>1585</v>
      </c>
    </row>
    <row r="77" spans="1:14" ht="15" customHeight="1" x14ac:dyDescent="0.35">
      <c r="A77">
        <v>1</v>
      </c>
      <c r="B77" t="s">
        <v>400</v>
      </c>
      <c r="C77" t="s">
        <v>488</v>
      </c>
      <c r="D77" s="47">
        <v>409</v>
      </c>
    </row>
    <row r="78" spans="1:14" ht="15" customHeight="1" x14ac:dyDescent="0.35">
      <c r="A78">
        <v>1</v>
      </c>
      <c r="B78" t="s">
        <v>400</v>
      </c>
      <c r="C78" t="s">
        <v>489</v>
      </c>
      <c r="D78" s="47">
        <v>481</v>
      </c>
    </row>
    <row r="79" spans="1:14" ht="15" customHeight="1" x14ac:dyDescent="0.35">
      <c r="A79">
        <v>1</v>
      </c>
      <c r="B79" t="s">
        <v>400</v>
      </c>
      <c r="C79" t="s">
        <v>491</v>
      </c>
      <c r="D79" s="47">
        <v>1332</v>
      </c>
    </row>
    <row r="80" spans="1:14" ht="15" customHeight="1" x14ac:dyDescent="0.35">
      <c r="A80">
        <v>1</v>
      </c>
      <c r="B80" t="s">
        <v>400</v>
      </c>
      <c r="C80" t="s">
        <v>492</v>
      </c>
      <c r="D80" s="47">
        <v>367</v>
      </c>
    </row>
    <row r="81" spans="1:4" ht="15" customHeight="1" x14ac:dyDescent="0.35">
      <c r="A81">
        <v>1</v>
      </c>
      <c r="B81" t="s">
        <v>400</v>
      </c>
      <c r="C81" t="s">
        <v>494</v>
      </c>
      <c r="D81" s="47">
        <v>480</v>
      </c>
    </row>
    <row r="82" spans="1:4" ht="15" customHeight="1" x14ac:dyDescent="0.35">
      <c r="A82">
        <v>1</v>
      </c>
      <c r="B82" t="s">
        <v>400</v>
      </c>
      <c r="C82" t="s">
        <v>495</v>
      </c>
      <c r="D82" s="47">
        <v>1242</v>
      </c>
    </row>
    <row r="83" spans="1:4" ht="15" customHeight="1" x14ac:dyDescent="0.35">
      <c r="A83">
        <v>1</v>
      </c>
      <c r="B83" t="s">
        <v>400</v>
      </c>
      <c r="C83" t="s">
        <v>496</v>
      </c>
      <c r="D83" s="47">
        <v>1787</v>
      </c>
    </row>
    <row r="84" spans="1:4" ht="15" customHeight="1" x14ac:dyDescent="0.35">
      <c r="A84">
        <v>1</v>
      </c>
      <c r="B84" t="s">
        <v>400</v>
      </c>
      <c r="C84" t="s">
        <v>497</v>
      </c>
      <c r="D84" s="47">
        <v>6235</v>
      </c>
    </row>
    <row r="85" spans="1:4" ht="15" customHeight="1" x14ac:dyDescent="0.35">
      <c r="A85">
        <v>1</v>
      </c>
      <c r="B85" t="s">
        <v>400</v>
      </c>
      <c r="C85" t="s">
        <v>498</v>
      </c>
      <c r="D85" s="47">
        <v>7684</v>
      </c>
    </row>
    <row r="86" spans="1:4" ht="15" customHeight="1" x14ac:dyDescent="0.35">
      <c r="A86">
        <v>1</v>
      </c>
      <c r="B86" t="s">
        <v>400</v>
      </c>
      <c r="C86" t="s">
        <v>499</v>
      </c>
      <c r="D86" s="47">
        <v>2028</v>
      </c>
    </row>
    <row r="87" spans="1:4" ht="15" customHeight="1" x14ac:dyDescent="0.35">
      <c r="A87">
        <v>1</v>
      </c>
      <c r="B87" t="s">
        <v>400</v>
      </c>
      <c r="C87" t="s">
        <v>500</v>
      </c>
      <c r="D87" s="47">
        <v>346</v>
      </c>
    </row>
    <row r="88" spans="1:4" ht="15" customHeight="1" x14ac:dyDescent="0.35">
      <c r="A88">
        <v>1</v>
      </c>
      <c r="B88" t="s">
        <v>400</v>
      </c>
      <c r="C88" t="s">
        <v>501</v>
      </c>
      <c r="D88" s="47">
        <v>56</v>
      </c>
    </row>
    <row r="89" spans="1:4" ht="15" customHeight="1" x14ac:dyDescent="0.35">
      <c r="A89">
        <v>1</v>
      </c>
      <c r="B89" t="s">
        <v>400</v>
      </c>
      <c r="C89" t="s">
        <v>502</v>
      </c>
      <c r="D89" s="47">
        <v>1094</v>
      </c>
    </row>
    <row r="90" spans="1:4" ht="15" customHeight="1" x14ac:dyDescent="0.35">
      <c r="A90">
        <v>1</v>
      </c>
      <c r="B90" t="s">
        <v>400</v>
      </c>
      <c r="C90" t="s">
        <v>503</v>
      </c>
      <c r="D90" s="47">
        <v>4027</v>
      </c>
    </row>
    <row r="91" spans="1:4" ht="15" customHeight="1" x14ac:dyDescent="0.35">
      <c r="A91">
        <v>1</v>
      </c>
      <c r="B91" t="s">
        <v>400</v>
      </c>
      <c r="C91" t="s">
        <v>504</v>
      </c>
      <c r="D91" s="47">
        <v>583</v>
      </c>
    </row>
    <row r="92" spans="1:4" ht="15" customHeight="1" x14ac:dyDescent="0.35">
      <c r="A92">
        <v>1</v>
      </c>
      <c r="B92" t="s">
        <v>400</v>
      </c>
      <c r="C92" t="s">
        <v>505</v>
      </c>
      <c r="D92" s="47">
        <v>25184</v>
      </c>
    </row>
    <row r="93" spans="1:4" ht="15" customHeight="1" x14ac:dyDescent="0.35">
      <c r="A93">
        <v>1</v>
      </c>
      <c r="B93" t="s">
        <v>400</v>
      </c>
      <c r="C93" t="s">
        <v>506</v>
      </c>
      <c r="D93" s="47">
        <v>109</v>
      </c>
    </row>
    <row r="94" spans="1:4" ht="15" customHeight="1" x14ac:dyDescent="0.35">
      <c r="A94">
        <v>1</v>
      </c>
      <c r="B94" t="s">
        <v>400</v>
      </c>
      <c r="C94" t="s">
        <v>507</v>
      </c>
      <c r="D94" s="47">
        <v>224</v>
      </c>
    </row>
    <row r="95" spans="1:4" ht="15" customHeight="1" x14ac:dyDescent="0.35">
      <c r="A95">
        <v>1</v>
      </c>
      <c r="B95" t="s">
        <v>400</v>
      </c>
      <c r="C95" t="s">
        <v>508</v>
      </c>
      <c r="D95" s="47">
        <v>338</v>
      </c>
    </row>
    <row r="96" spans="1:4" ht="15" customHeight="1" x14ac:dyDescent="0.35">
      <c r="A96">
        <v>1</v>
      </c>
      <c r="B96" t="s">
        <v>400</v>
      </c>
      <c r="C96" t="s">
        <v>509</v>
      </c>
      <c r="D96" s="47">
        <v>337</v>
      </c>
    </row>
    <row r="97" spans="1:4" ht="15" customHeight="1" x14ac:dyDescent="0.35">
      <c r="A97">
        <v>1</v>
      </c>
      <c r="B97" t="s">
        <v>400</v>
      </c>
      <c r="C97" t="s">
        <v>510</v>
      </c>
      <c r="D97" s="47">
        <v>2657</v>
      </c>
    </row>
    <row r="98" spans="1:4" ht="15" customHeight="1" x14ac:dyDescent="0.35">
      <c r="A98">
        <v>2</v>
      </c>
      <c r="B98" t="s">
        <v>394</v>
      </c>
      <c r="C98" t="s">
        <v>512</v>
      </c>
      <c r="D98" s="47">
        <v>1375</v>
      </c>
    </row>
    <row r="99" spans="1:4" ht="15" customHeight="1" x14ac:dyDescent="0.35">
      <c r="A99">
        <v>2</v>
      </c>
      <c r="B99" t="s">
        <v>394</v>
      </c>
      <c r="C99" t="s">
        <v>513</v>
      </c>
      <c r="D99" s="47">
        <v>1659</v>
      </c>
    </row>
    <row r="100" spans="1:4" ht="15" customHeight="1" x14ac:dyDescent="0.35">
      <c r="A100">
        <v>2</v>
      </c>
      <c r="B100" t="s">
        <v>394</v>
      </c>
      <c r="C100" t="s">
        <v>514</v>
      </c>
      <c r="D100" s="47">
        <v>486</v>
      </c>
    </row>
    <row r="101" spans="1:4" ht="15" customHeight="1" x14ac:dyDescent="0.35">
      <c r="A101">
        <v>2</v>
      </c>
      <c r="B101" t="s">
        <v>394</v>
      </c>
      <c r="C101" t="s">
        <v>515</v>
      </c>
      <c r="D101" s="47">
        <v>1158</v>
      </c>
    </row>
    <row r="102" spans="1:4" ht="15" customHeight="1" x14ac:dyDescent="0.35">
      <c r="A102">
        <v>2</v>
      </c>
      <c r="B102" t="s">
        <v>394</v>
      </c>
      <c r="C102" t="s">
        <v>516</v>
      </c>
      <c r="D102" s="47">
        <v>30576</v>
      </c>
    </row>
    <row r="103" spans="1:4" ht="15" customHeight="1" x14ac:dyDescent="0.35">
      <c r="A103">
        <v>2</v>
      </c>
      <c r="B103" t="s">
        <v>394</v>
      </c>
      <c r="C103" t="s">
        <v>517</v>
      </c>
      <c r="D103" s="47">
        <v>583</v>
      </c>
    </row>
    <row r="104" spans="1:4" ht="15" customHeight="1" x14ac:dyDescent="0.35">
      <c r="A104">
        <v>2</v>
      </c>
      <c r="B104" t="s">
        <v>394</v>
      </c>
      <c r="C104" t="s">
        <v>518</v>
      </c>
      <c r="D104" s="47">
        <v>1409</v>
      </c>
    </row>
    <row r="105" spans="1:4" ht="15" customHeight="1" x14ac:dyDescent="0.35">
      <c r="A105">
        <v>2</v>
      </c>
      <c r="B105" t="s">
        <v>394</v>
      </c>
      <c r="C105" t="s">
        <v>519</v>
      </c>
      <c r="D105" s="47">
        <v>477</v>
      </c>
    </row>
    <row r="106" spans="1:4" ht="15" customHeight="1" x14ac:dyDescent="0.35">
      <c r="A106">
        <v>2</v>
      </c>
      <c r="B106" t="s">
        <v>394</v>
      </c>
      <c r="C106" t="s">
        <v>520</v>
      </c>
      <c r="D106" s="47">
        <v>1657</v>
      </c>
    </row>
    <row r="107" spans="1:4" ht="15" customHeight="1" x14ac:dyDescent="0.35">
      <c r="A107">
        <v>2</v>
      </c>
      <c r="B107" t="s">
        <v>394</v>
      </c>
      <c r="C107" t="s">
        <v>521</v>
      </c>
      <c r="D107" s="47">
        <v>1002</v>
      </c>
    </row>
    <row r="108" spans="1:4" ht="15" customHeight="1" x14ac:dyDescent="0.35">
      <c r="A108">
        <v>2</v>
      </c>
      <c r="B108" t="s">
        <v>394</v>
      </c>
      <c r="C108" t="s">
        <v>522</v>
      </c>
      <c r="D108" s="47">
        <v>5312</v>
      </c>
    </row>
    <row r="109" spans="1:4" ht="15" customHeight="1" x14ac:dyDescent="0.35">
      <c r="A109">
        <v>2</v>
      </c>
      <c r="B109" t="s">
        <v>394</v>
      </c>
      <c r="C109" t="s">
        <v>523</v>
      </c>
      <c r="D109" s="47">
        <v>415</v>
      </c>
    </row>
    <row r="110" spans="1:4" ht="15" customHeight="1" x14ac:dyDescent="0.35">
      <c r="A110">
        <v>2</v>
      </c>
      <c r="B110" t="s">
        <v>394</v>
      </c>
      <c r="C110" t="s">
        <v>524</v>
      </c>
      <c r="D110" s="47">
        <v>8896</v>
      </c>
    </row>
    <row r="111" spans="1:4" ht="15" customHeight="1" x14ac:dyDescent="0.35">
      <c r="A111">
        <v>2</v>
      </c>
      <c r="B111" t="s">
        <v>394</v>
      </c>
      <c r="C111" t="s">
        <v>525</v>
      </c>
      <c r="D111" s="47">
        <v>516</v>
      </c>
    </row>
    <row r="112" spans="1:4" ht="15" customHeight="1" x14ac:dyDescent="0.35">
      <c r="A112">
        <v>2</v>
      </c>
      <c r="B112" t="s">
        <v>394</v>
      </c>
      <c r="C112" t="s">
        <v>526</v>
      </c>
      <c r="D112" s="47">
        <v>6027</v>
      </c>
    </row>
    <row r="113" spans="1:4" ht="15" customHeight="1" x14ac:dyDescent="0.35">
      <c r="A113">
        <v>2</v>
      </c>
      <c r="B113" t="s">
        <v>394</v>
      </c>
      <c r="C113" t="s">
        <v>527</v>
      </c>
      <c r="D113" s="47">
        <v>772</v>
      </c>
    </row>
    <row r="114" spans="1:4" ht="15" customHeight="1" x14ac:dyDescent="0.35">
      <c r="A114">
        <v>2</v>
      </c>
      <c r="B114" t="s">
        <v>394</v>
      </c>
      <c r="C114" t="s">
        <v>528</v>
      </c>
      <c r="D114" s="47">
        <v>327</v>
      </c>
    </row>
    <row r="115" spans="1:4" ht="15" customHeight="1" x14ac:dyDescent="0.35">
      <c r="A115">
        <v>2</v>
      </c>
      <c r="B115" t="s">
        <v>394</v>
      </c>
      <c r="C115" t="s">
        <v>611</v>
      </c>
      <c r="D115" s="47">
        <v>589</v>
      </c>
    </row>
    <row r="116" spans="1:4" ht="15" customHeight="1" x14ac:dyDescent="0.35">
      <c r="A116">
        <v>2</v>
      </c>
      <c r="B116" t="s">
        <v>394</v>
      </c>
      <c r="C116" t="s">
        <v>529</v>
      </c>
      <c r="D116" s="47">
        <v>1011</v>
      </c>
    </row>
    <row r="117" spans="1:4" ht="15" customHeight="1" x14ac:dyDescent="0.35">
      <c r="A117">
        <v>2</v>
      </c>
      <c r="B117" t="s">
        <v>394</v>
      </c>
      <c r="C117" t="s">
        <v>530</v>
      </c>
      <c r="D117" s="47">
        <v>6838</v>
      </c>
    </row>
    <row r="118" spans="1:4" ht="15" customHeight="1" x14ac:dyDescent="0.35">
      <c r="A118">
        <v>2</v>
      </c>
      <c r="B118" t="s">
        <v>394</v>
      </c>
      <c r="C118" t="s">
        <v>531</v>
      </c>
      <c r="D118" s="47">
        <v>5943</v>
      </c>
    </row>
    <row r="119" spans="1:4" ht="15" customHeight="1" x14ac:dyDescent="0.35">
      <c r="A119">
        <v>2</v>
      </c>
      <c r="B119" t="s">
        <v>394</v>
      </c>
      <c r="C119" t="s">
        <v>532</v>
      </c>
      <c r="D119" s="47">
        <v>446</v>
      </c>
    </row>
    <row r="120" spans="1:4" ht="15" customHeight="1" x14ac:dyDescent="0.35">
      <c r="A120">
        <v>2</v>
      </c>
      <c r="B120" t="s">
        <v>394</v>
      </c>
      <c r="C120" t="s">
        <v>533</v>
      </c>
      <c r="D120" s="47">
        <v>373</v>
      </c>
    </row>
    <row r="121" spans="1:4" ht="15" customHeight="1" x14ac:dyDescent="0.35">
      <c r="A121">
        <v>2</v>
      </c>
      <c r="B121" t="s">
        <v>394</v>
      </c>
      <c r="C121" t="s">
        <v>534</v>
      </c>
      <c r="D121" s="47">
        <v>11934</v>
      </c>
    </row>
    <row r="122" spans="1:4" ht="15" customHeight="1" x14ac:dyDescent="0.35">
      <c r="A122">
        <v>2</v>
      </c>
      <c r="B122" t="s">
        <v>394</v>
      </c>
      <c r="C122" t="s">
        <v>535</v>
      </c>
      <c r="D122" s="47">
        <v>1005</v>
      </c>
    </row>
    <row r="123" spans="1:4" ht="15" customHeight="1" x14ac:dyDescent="0.35">
      <c r="A123">
        <v>2</v>
      </c>
      <c r="B123" t="s">
        <v>394</v>
      </c>
      <c r="C123" t="s">
        <v>536</v>
      </c>
      <c r="D123" s="47">
        <v>322</v>
      </c>
    </row>
    <row r="124" spans="1:4" ht="15" customHeight="1" x14ac:dyDescent="0.35">
      <c r="A124">
        <v>2</v>
      </c>
      <c r="B124" t="s">
        <v>394</v>
      </c>
      <c r="C124" t="s">
        <v>537</v>
      </c>
      <c r="D124" s="47">
        <v>481</v>
      </c>
    </row>
    <row r="125" spans="1:4" ht="15" customHeight="1" x14ac:dyDescent="0.35">
      <c r="A125">
        <v>2</v>
      </c>
      <c r="B125" t="s">
        <v>394</v>
      </c>
      <c r="C125" t="s">
        <v>538</v>
      </c>
      <c r="D125" s="47">
        <v>3719</v>
      </c>
    </row>
    <row r="126" spans="1:4" ht="15" customHeight="1" x14ac:dyDescent="0.35">
      <c r="A126">
        <v>2</v>
      </c>
      <c r="B126" t="s">
        <v>394</v>
      </c>
      <c r="C126" t="s">
        <v>539</v>
      </c>
      <c r="D126" s="47">
        <v>13414</v>
      </c>
    </row>
    <row r="127" spans="1:4" ht="15" customHeight="1" x14ac:dyDescent="0.35">
      <c r="A127">
        <v>2</v>
      </c>
      <c r="B127" t="s">
        <v>394</v>
      </c>
      <c r="C127" t="s">
        <v>540</v>
      </c>
      <c r="D127" s="47">
        <v>102</v>
      </c>
    </row>
    <row r="128" spans="1:4" ht="15" customHeight="1" x14ac:dyDescent="0.35">
      <c r="A128">
        <v>2</v>
      </c>
      <c r="B128" t="s">
        <v>394</v>
      </c>
      <c r="C128" t="s">
        <v>541</v>
      </c>
      <c r="D128" s="47">
        <v>134</v>
      </c>
    </row>
    <row r="129" spans="1:4" ht="15" customHeight="1" x14ac:dyDescent="0.35">
      <c r="A129">
        <v>2</v>
      </c>
      <c r="B129" t="s">
        <v>394</v>
      </c>
      <c r="C129" t="s">
        <v>542</v>
      </c>
      <c r="D129" s="47">
        <v>3082</v>
      </c>
    </row>
    <row r="130" spans="1:4" ht="15" customHeight="1" x14ac:dyDescent="0.35">
      <c r="A130">
        <v>2</v>
      </c>
      <c r="B130" t="s">
        <v>394</v>
      </c>
      <c r="C130" t="s">
        <v>543</v>
      </c>
      <c r="D130" s="47">
        <v>1212</v>
      </c>
    </row>
    <row r="131" spans="1:4" ht="15" customHeight="1" x14ac:dyDescent="0.35">
      <c r="A131">
        <v>2</v>
      </c>
      <c r="B131" t="s">
        <v>394</v>
      </c>
      <c r="C131" t="s">
        <v>544</v>
      </c>
      <c r="D131" s="47">
        <v>1897</v>
      </c>
    </row>
    <row r="132" spans="1:4" ht="15" customHeight="1" x14ac:dyDescent="0.35">
      <c r="A132">
        <v>2</v>
      </c>
      <c r="B132" t="s">
        <v>394</v>
      </c>
      <c r="C132" t="s">
        <v>548</v>
      </c>
      <c r="D132" s="47">
        <v>1816</v>
      </c>
    </row>
    <row r="133" spans="1:4" ht="15" customHeight="1" x14ac:dyDescent="0.35">
      <c r="A133">
        <v>2</v>
      </c>
      <c r="B133" t="s">
        <v>394</v>
      </c>
      <c r="C133" t="s">
        <v>394</v>
      </c>
      <c r="D133" s="47">
        <v>74746</v>
      </c>
    </row>
    <row r="134" spans="1:4" ht="15" customHeight="1" x14ac:dyDescent="0.35">
      <c r="A134">
        <v>2</v>
      </c>
      <c r="B134" t="s">
        <v>394</v>
      </c>
      <c r="C134" t="s">
        <v>545</v>
      </c>
      <c r="D134" s="47">
        <v>1123</v>
      </c>
    </row>
    <row r="135" spans="1:4" ht="15" customHeight="1" x14ac:dyDescent="0.35">
      <c r="A135">
        <v>2</v>
      </c>
      <c r="B135" t="s">
        <v>394</v>
      </c>
      <c r="C135" t="s">
        <v>547</v>
      </c>
      <c r="D135" s="47">
        <v>969</v>
      </c>
    </row>
    <row r="136" spans="1:4" ht="15" customHeight="1" x14ac:dyDescent="0.35">
      <c r="A136">
        <v>2</v>
      </c>
      <c r="B136" t="s">
        <v>394</v>
      </c>
      <c r="C136" t="s">
        <v>549</v>
      </c>
      <c r="D136" s="47">
        <v>17929</v>
      </c>
    </row>
    <row r="137" spans="1:4" ht="15" customHeight="1" x14ac:dyDescent="0.35">
      <c r="A137">
        <v>2</v>
      </c>
      <c r="B137" t="s">
        <v>394</v>
      </c>
      <c r="C137" t="s">
        <v>609</v>
      </c>
      <c r="D137" s="47">
        <v>1081</v>
      </c>
    </row>
    <row r="138" spans="1:4" ht="15" customHeight="1" x14ac:dyDescent="0.35">
      <c r="A138">
        <v>2</v>
      </c>
      <c r="B138" t="s">
        <v>394</v>
      </c>
      <c r="C138" t="s">
        <v>550</v>
      </c>
      <c r="D138" s="47">
        <v>1001</v>
      </c>
    </row>
    <row r="139" spans="1:4" ht="15" customHeight="1" x14ac:dyDescent="0.35">
      <c r="A139">
        <v>2</v>
      </c>
      <c r="B139" t="s">
        <v>394</v>
      </c>
      <c r="C139" t="s">
        <v>551</v>
      </c>
      <c r="D139" s="47">
        <v>275</v>
      </c>
    </row>
    <row r="140" spans="1:4" ht="15" customHeight="1" x14ac:dyDescent="0.35">
      <c r="A140">
        <v>2</v>
      </c>
      <c r="B140" t="s">
        <v>394</v>
      </c>
      <c r="C140" t="s">
        <v>552</v>
      </c>
      <c r="D140" s="47">
        <v>1036</v>
      </c>
    </row>
    <row r="141" spans="1:4" ht="15" customHeight="1" x14ac:dyDescent="0.35">
      <c r="A141">
        <v>2</v>
      </c>
      <c r="B141" t="s">
        <v>394</v>
      </c>
      <c r="C141" t="s">
        <v>553</v>
      </c>
      <c r="D141" s="47">
        <v>217</v>
      </c>
    </row>
    <row r="142" spans="1:4" ht="15" customHeight="1" x14ac:dyDescent="0.35">
      <c r="A142">
        <v>2</v>
      </c>
      <c r="B142" t="s">
        <v>394</v>
      </c>
      <c r="C142" t="s">
        <v>554</v>
      </c>
      <c r="D142" s="47">
        <v>3220</v>
      </c>
    </row>
    <row r="143" spans="1:4" ht="15" customHeight="1" x14ac:dyDescent="0.35">
      <c r="A143">
        <v>2</v>
      </c>
      <c r="B143" t="s">
        <v>394</v>
      </c>
      <c r="C143" t="s">
        <v>555</v>
      </c>
      <c r="D143" s="47">
        <v>714</v>
      </c>
    </row>
    <row r="144" spans="1:4" ht="15" customHeight="1" x14ac:dyDescent="0.35">
      <c r="A144">
        <v>2</v>
      </c>
      <c r="B144" t="s">
        <v>394</v>
      </c>
      <c r="C144" t="s">
        <v>556</v>
      </c>
      <c r="D144" s="47">
        <v>725</v>
      </c>
    </row>
    <row r="145" spans="1:4" ht="15" customHeight="1" x14ac:dyDescent="0.35">
      <c r="A145">
        <v>2</v>
      </c>
      <c r="B145" t="s">
        <v>394</v>
      </c>
      <c r="C145" t="s">
        <v>557</v>
      </c>
      <c r="D145" s="47">
        <v>8390</v>
      </c>
    </row>
    <row r="146" spans="1:4" ht="15" customHeight="1" x14ac:dyDescent="0.35">
      <c r="A146">
        <v>2</v>
      </c>
      <c r="B146" t="s">
        <v>394</v>
      </c>
      <c r="C146" t="s">
        <v>558</v>
      </c>
      <c r="D146" s="47">
        <v>536</v>
      </c>
    </row>
    <row r="147" spans="1:4" ht="15" customHeight="1" x14ac:dyDescent="0.35">
      <c r="A147">
        <v>2</v>
      </c>
      <c r="B147" t="s">
        <v>394</v>
      </c>
      <c r="C147" t="s">
        <v>559</v>
      </c>
      <c r="D147" s="47">
        <v>883</v>
      </c>
    </row>
    <row r="148" spans="1:4" ht="15" customHeight="1" x14ac:dyDescent="0.35">
      <c r="A148">
        <v>2</v>
      </c>
      <c r="B148" t="s">
        <v>394</v>
      </c>
      <c r="C148" t="s">
        <v>589</v>
      </c>
      <c r="D148" s="47">
        <v>15479</v>
      </c>
    </row>
    <row r="149" spans="1:4" ht="15" customHeight="1" x14ac:dyDescent="0.35">
      <c r="A149">
        <v>2</v>
      </c>
      <c r="B149" t="s">
        <v>394</v>
      </c>
      <c r="C149" t="s">
        <v>560</v>
      </c>
      <c r="D149" s="47">
        <v>569</v>
      </c>
    </row>
    <row r="150" spans="1:4" ht="15" customHeight="1" x14ac:dyDescent="0.35">
      <c r="A150">
        <v>2</v>
      </c>
      <c r="B150" t="s">
        <v>394</v>
      </c>
      <c r="C150" t="s">
        <v>612</v>
      </c>
      <c r="D150" s="47">
        <v>719</v>
      </c>
    </row>
    <row r="151" spans="1:4" ht="15" customHeight="1" x14ac:dyDescent="0.35">
      <c r="A151">
        <v>2</v>
      </c>
      <c r="B151" t="s">
        <v>394</v>
      </c>
      <c r="C151" t="s">
        <v>546</v>
      </c>
      <c r="D151" s="47">
        <v>884</v>
      </c>
    </row>
    <row r="152" spans="1:4" ht="15" customHeight="1" x14ac:dyDescent="0.35">
      <c r="A152">
        <v>2</v>
      </c>
      <c r="B152" t="s">
        <v>394</v>
      </c>
      <c r="C152" t="s">
        <v>577</v>
      </c>
      <c r="D152" s="47">
        <v>372</v>
      </c>
    </row>
    <row r="153" spans="1:4" ht="15" customHeight="1" x14ac:dyDescent="0.35">
      <c r="A153">
        <v>2</v>
      </c>
      <c r="B153" t="s">
        <v>394</v>
      </c>
      <c r="C153" t="s">
        <v>561</v>
      </c>
      <c r="D153" s="47">
        <v>366</v>
      </c>
    </row>
    <row r="154" spans="1:4" ht="15" customHeight="1" x14ac:dyDescent="0.35">
      <c r="A154">
        <v>2</v>
      </c>
      <c r="B154" t="s">
        <v>394</v>
      </c>
      <c r="C154" t="s">
        <v>562</v>
      </c>
      <c r="D154" s="47">
        <v>7998</v>
      </c>
    </row>
    <row r="155" spans="1:4" ht="15" customHeight="1" x14ac:dyDescent="0.35">
      <c r="A155">
        <v>2</v>
      </c>
      <c r="B155" t="s">
        <v>394</v>
      </c>
      <c r="C155" t="s">
        <v>563</v>
      </c>
      <c r="D155" s="47">
        <v>17997</v>
      </c>
    </row>
    <row r="156" spans="1:4" ht="15" customHeight="1" x14ac:dyDescent="0.35">
      <c r="A156">
        <v>2</v>
      </c>
      <c r="B156" t="s">
        <v>394</v>
      </c>
      <c r="C156" t="s">
        <v>564</v>
      </c>
      <c r="D156" s="47">
        <v>6005</v>
      </c>
    </row>
    <row r="157" spans="1:4" ht="15" customHeight="1" x14ac:dyDescent="0.35">
      <c r="A157">
        <v>2</v>
      </c>
      <c r="B157" t="s">
        <v>394</v>
      </c>
      <c r="C157" t="s">
        <v>565</v>
      </c>
      <c r="D157" s="47">
        <v>667</v>
      </c>
    </row>
    <row r="158" spans="1:4" ht="15" customHeight="1" x14ac:dyDescent="0.35">
      <c r="A158">
        <v>2</v>
      </c>
      <c r="B158" t="s">
        <v>394</v>
      </c>
      <c r="C158" t="s">
        <v>566</v>
      </c>
      <c r="D158" s="47">
        <v>15368</v>
      </c>
    </row>
    <row r="159" spans="1:4" ht="15" customHeight="1" x14ac:dyDescent="0.35">
      <c r="A159">
        <v>2</v>
      </c>
      <c r="B159" t="s">
        <v>394</v>
      </c>
      <c r="C159" t="s">
        <v>567</v>
      </c>
      <c r="D159" s="47">
        <v>1315</v>
      </c>
    </row>
    <row r="160" spans="1:4" ht="15" customHeight="1" x14ac:dyDescent="0.35">
      <c r="A160">
        <v>2</v>
      </c>
      <c r="B160" t="s">
        <v>394</v>
      </c>
      <c r="C160" t="s">
        <v>568</v>
      </c>
      <c r="D160" s="47">
        <v>5271</v>
      </c>
    </row>
    <row r="161" spans="1:4" ht="15" customHeight="1" x14ac:dyDescent="0.35">
      <c r="A161">
        <v>2</v>
      </c>
      <c r="B161" t="s">
        <v>394</v>
      </c>
      <c r="C161" t="s">
        <v>569</v>
      </c>
      <c r="D161" s="47">
        <v>228</v>
      </c>
    </row>
    <row r="162" spans="1:4" ht="15" customHeight="1" x14ac:dyDescent="0.35">
      <c r="A162">
        <v>2</v>
      </c>
      <c r="B162" t="s">
        <v>394</v>
      </c>
      <c r="C162" t="s">
        <v>570</v>
      </c>
      <c r="D162" s="47">
        <v>298</v>
      </c>
    </row>
    <row r="163" spans="1:4" ht="15" customHeight="1" x14ac:dyDescent="0.35">
      <c r="A163">
        <v>2</v>
      </c>
      <c r="B163" t="s">
        <v>394</v>
      </c>
      <c r="C163" t="s">
        <v>571</v>
      </c>
      <c r="D163" s="47">
        <v>7293</v>
      </c>
    </row>
    <row r="164" spans="1:4" ht="15" customHeight="1" x14ac:dyDescent="0.35">
      <c r="A164">
        <v>2</v>
      </c>
      <c r="B164" t="s">
        <v>394</v>
      </c>
      <c r="C164" t="s">
        <v>572</v>
      </c>
      <c r="D164" s="47">
        <v>658</v>
      </c>
    </row>
    <row r="165" spans="1:4" ht="15" customHeight="1" x14ac:dyDescent="0.35">
      <c r="A165">
        <v>2</v>
      </c>
      <c r="B165" t="s">
        <v>394</v>
      </c>
      <c r="C165" t="s">
        <v>573</v>
      </c>
      <c r="D165" s="47">
        <v>4395</v>
      </c>
    </row>
    <row r="166" spans="1:4" ht="15" customHeight="1" x14ac:dyDescent="0.35">
      <c r="A166">
        <v>2</v>
      </c>
      <c r="B166" t="s">
        <v>394</v>
      </c>
      <c r="C166" t="s">
        <v>574</v>
      </c>
      <c r="D166" s="47">
        <v>2626</v>
      </c>
    </row>
    <row r="167" spans="1:4" ht="15" customHeight="1" x14ac:dyDescent="0.35">
      <c r="A167">
        <v>2</v>
      </c>
      <c r="B167" t="s">
        <v>394</v>
      </c>
      <c r="C167" t="s">
        <v>575</v>
      </c>
      <c r="D167" s="47">
        <v>3532</v>
      </c>
    </row>
    <row r="168" spans="1:4" ht="15" customHeight="1" x14ac:dyDescent="0.35">
      <c r="A168">
        <v>2</v>
      </c>
      <c r="B168" t="s">
        <v>394</v>
      </c>
      <c r="C168" t="s">
        <v>576</v>
      </c>
      <c r="D168" s="47">
        <v>3553</v>
      </c>
    </row>
    <row r="169" spans="1:4" ht="15" customHeight="1" x14ac:dyDescent="0.35">
      <c r="A169">
        <v>2</v>
      </c>
      <c r="B169" t="s">
        <v>394</v>
      </c>
      <c r="C169" t="s">
        <v>578</v>
      </c>
      <c r="D169" s="47">
        <v>1178</v>
      </c>
    </row>
    <row r="170" spans="1:4" ht="15" customHeight="1" x14ac:dyDescent="0.35">
      <c r="A170">
        <v>2</v>
      </c>
      <c r="B170" t="s">
        <v>394</v>
      </c>
      <c r="C170" t="s">
        <v>579</v>
      </c>
      <c r="D170" s="47">
        <v>694</v>
      </c>
    </row>
    <row r="171" spans="1:4" ht="15" customHeight="1" x14ac:dyDescent="0.35">
      <c r="A171">
        <v>2</v>
      </c>
      <c r="B171" t="s">
        <v>394</v>
      </c>
      <c r="C171" t="s">
        <v>580</v>
      </c>
      <c r="D171" s="47">
        <v>924</v>
      </c>
    </row>
    <row r="172" spans="1:4" ht="15" customHeight="1" x14ac:dyDescent="0.35">
      <c r="A172">
        <v>2</v>
      </c>
      <c r="B172" t="s">
        <v>394</v>
      </c>
      <c r="C172" t="s">
        <v>581</v>
      </c>
      <c r="D172" s="47">
        <v>47035</v>
      </c>
    </row>
    <row r="173" spans="1:4" ht="15" customHeight="1" x14ac:dyDescent="0.35">
      <c r="A173">
        <v>2</v>
      </c>
      <c r="B173" t="s">
        <v>394</v>
      </c>
      <c r="C173" t="s">
        <v>582</v>
      </c>
      <c r="D173" s="47">
        <v>941</v>
      </c>
    </row>
    <row r="174" spans="1:4" ht="15" customHeight="1" x14ac:dyDescent="0.35">
      <c r="A174">
        <v>2</v>
      </c>
      <c r="B174" t="s">
        <v>394</v>
      </c>
      <c r="C174" t="s">
        <v>610</v>
      </c>
      <c r="D174" s="47">
        <v>553</v>
      </c>
    </row>
    <row r="175" spans="1:4" ht="15" customHeight="1" x14ac:dyDescent="0.35">
      <c r="A175">
        <v>2</v>
      </c>
      <c r="B175" t="s">
        <v>394</v>
      </c>
      <c r="C175" t="s">
        <v>583</v>
      </c>
      <c r="D175" s="47">
        <v>559</v>
      </c>
    </row>
    <row r="176" spans="1:4" ht="15" customHeight="1" x14ac:dyDescent="0.35">
      <c r="A176">
        <v>2</v>
      </c>
      <c r="B176" t="s">
        <v>394</v>
      </c>
      <c r="C176" t="s">
        <v>584</v>
      </c>
      <c r="D176" s="47">
        <v>1120</v>
      </c>
    </row>
    <row r="177" spans="1:5" ht="15" customHeight="1" x14ac:dyDescent="0.35">
      <c r="A177">
        <v>2</v>
      </c>
      <c r="B177" t="s">
        <v>394</v>
      </c>
      <c r="C177" t="s">
        <v>585</v>
      </c>
      <c r="D177" s="47">
        <v>213</v>
      </c>
    </row>
    <row r="178" spans="1:5" x14ac:dyDescent="0.35">
      <c r="A178">
        <v>2</v>
      </c>
      <c r="B178" t="s">
        <v>394</v>
      </c>
      <c r="C178" t="s">
        <v>586</v>
      </c>
      <c r="D178" s="47">
        <v>522</v>
      </c>
    </row>
    <row r="179" spans="1:5" x14ac:dyDescent="0.35">
      <c r="A179">
        <v>2</v>
      </c>
      <c r="B179" t="s">
        <v>394</v>
      </c>
      <c r="C179" t="s">
        <v>587</v>
      </c>
      <c r="D179" s="47">
        <v>4107</v>
      </c>
    </row>
    <row r="180" spans="1:5" ht="15" customHeight="1" x14ac:dyDescent="0.35">
      <c r="A180">
        <v>2</v>
      </c>
      <c r="B180" t="s">
        <v>394</v>
      </c>
      <c r="C180" t="s">
        <v>588</v>
      </c>
      <c r="D180" s="47">
        <v>12139</v>
      </c>
    </row>
    <row r="181" spans="1:5" ht="15" customHeight="1" x14ac:dyDescent="0.35">
      <c r="A181">
        <v>2</v>
      </c>
      <c r="B181" t="s">
        <v>394</v>
      </c>
      <c r="C181" t="s">
        <v>590</v>
      </c>
      <c r="D181" s="47">
        <v>324</v>
      </c>
    </row>
    <row r="182" spans="1:5" ht="15" customHeight="1" x14ac:dyDescent="0.35">
      <c r="A182">
        <v>2</v>
      </c>
      <c r="B182" t="s">
        <v>394</v>
      </c>
      <c r="C182" t="s">
        <v>591</v>
      </c>
      <c r="D182" s="47">
        <v>678</v>
      </c>
    </row>
    <row r="183" spans="1:5" ht="15" customHeight="1" x14ac:dyDescent="0.35">
      <c r="A183">
        <v>2</v>
      </c>
      <c r="B183" t="s">
        <v>394</v>
      </c>
      <c r="C183" t="s">
        <v>592</v>
      </c>
      <c r="D183" s="47">
        <v>35873</v>
      </c>
    </row>
    <row r="184" spans="1:5" ht="15" customHeight="1" x14ac:dyDescent="0.35">
      <c r="A184">
        <v>2</v>
      </c>
      <c r="B184" t="s">
        <v>394</v>
      </c>
      <c r="C184" t="s">
        <v>593</v>
      </c>
      <c r="D184" s="47">
        <v>2977</v>
      </c>
    </row>
    <row r="185" spans="1:5" ht="15" customHeight="1" x14ac:dyDescent="0.35">
      <c r="A185">
        <v>2</v>
      </c>
      <c r="B185" t="s">
        <v>394</v>
      </c>
      <c r="C185" t="s">
        <v>594</v>
      </c>
      <c r="D185" s="47">
        <v>995</v>
      </c>
    </row>
    <row r="186" spans="1:5" ht="15" customHeight="1" x14ac:dyDescent="0.35">
      <c r="A186">
        <v>2</v>
      </c>
      <c r="B186" t="s">
        <v>394</v>
      </c>
      <c r="C186" t="s">
        <v>595</v>
      </c>
      <c r="D186" s="47">
        <v>2702</v>
      </c>
      <c r="E186">
        <v>1</v>
      </c>
    </row>
    <row r="187" spans="1:5" ht="15" customHeight="1" x14ac:dyDescent="0.35">
      <c r="A187">
        <v>2</v>
      </c>
      <c r="B187" t="s">
        <v>394</v>
      </c>
      <c r="C187" t="s">
        <v>596</v>
      </c>
      <c r="D187" s="47">
        <v>170</v>
      </c>
    </row>
    <row r="188" spans="1:5" ht="15" customHeight="1" x14ac:dyDescent="0.35">
      <c r="A188">
        <v>2</v>
      </c>
      <c r="B188" t="s">
        <v>394</v>
      </c>
      <c r="C188" t="s">
        <v>597</v>
      </c>
      <c r="D188" s="47">
        <v>30077</v>
      </c>
    </row>
    <row r="189" spans="1:5" ht="15" customHeight="1" x14ac:dyDescent="0.35">
      <c r="A189">
        <v>2</v>
      </c>
      <c r="B189" t="s">
        <v>394</v>
      </c>
      <c r="C189" t="s">
        <v>598</v>
      </c>
      <c r="D189" s="47">
        <v>688</v>
      </c>
    </row>
    <row r="190" spans="1:5" ht="15" customHeight="1" x14ac:dyDescent="0.35">
      <c r="A190">
        <v>2</v>
      </c>
      <c r="B190" t="s">
        <v>394</v>
      </c>
      <c r="C190" t="s">
        <v>599</v>
      </c>
      <c r="D190" s="47">
        <v>1826</v>
      </c>
    </row>
    <row r="191" spans="1:5" ht="15" customHeight="1" x14ac:dyDescent="0.35">
      <c r="A191">
        <v>2</v>
      </c>
      <c r="B191" t="s">
        <v>394</v>
      </c>
      <c r="C191" t="s">
        <v>600</v>
      </c>
      <c r="D191" s="47">
        <v>1148</v>
      </c>
    </row>
    <row r="192" spans="1:5" ht="15" customHeight="1" x14ac:dyDescent="0.35">
      <c r="A192">
        <v>2</v>
      </c>
      <c r="B192" t="s">
        <v>394</v>
      </c>
      <c r="C192" t="s">
        <v>601</v>
      </c>
      <c r="D192" s="47">
        <v>634</v>
      </c>
    </row>
    <row r="193" spans="1:4" ht="15" customHeight="1" x14ac:dyDescent="0.35">
      <c r="A193">
        <v>2</v>
      </c>
      <c r="B193" t="s">
        <v>394</v>
      </c>
      <c r="C193" t="s">
        <v>602</v>
      </c>
      <c r="D193" s="47">
        <v>2078</v>
      </c>
    </row>
    <row r="194" spans="1:4" ht="15" customHeight="1" x14ac:dyDescent="0.35">
      <c r="A194">
        <v>2</v>
      </c>
      <c r="B194" t="s">
        <v>394</v>
      </c>
      <c r="C194" t="s">
        <v>603</v>
      </c>
      <c r="D194" s="47">
        <v>4935</v>
      </c>
    </row>
    <row r="195" spans="1:4" ht="15" customHeight="1" x14ac:dyDescent="0.35">
      <c r="A195">
        <v>2</v>
      </c>
      <c r="B195" t="s">
        <v>394</v>
      </c>
      <c r="C195" t="s">
        <v>604</v>
      </c>
      <c r="D195" s="47">
        <v>290</v>
      </c>
    </row>
    <row r="196" spans="1:4" ht="15" customHeight="1" x14ac:dyDescent="0.35">
      <c r="A196">
        <v>2</v>
      </c>
      <c r="B196" t="s">
        <v>394</v>
      </c>
      <c r="C196" t="s">
        <v>605</v>
      </c>
      <c r="D196" s="47">
        <v>75</v>
      </c>
    </row>
    <row r="197" spans="1:4" ht="15" customHeight="1" x14ac:dyDescent="0.35">
      <c r="A197">
        <v>2</v>
      </c>
      <c r="B197" t="s">
        <v>394</v>
      </c>
      <c r="C197" t="s">
        <v>606</v>
      </c>
      <c r="D197" s="47">
        <v>9814</v>
      </c>
    </row>
    <row r="198" spans="1:4" ht="15" customHeight="1" x14ac:dyDescent="0.35">
      <c r="A198">
        <v>2</v>
      </c>
      <c r="B198" t="s">
        <v>394</v>
      </c>
      <c r="C198" t="s">
        <v>607</v>
      </c>
      <c r="D198" s="47">
        <v>2791</v>
      </c>
    </row>
    <row r="199" spans="1:4" ht="15" customHeight="1" x14ac:dyDescent="0.35">
      <c r="A199">
        <v>2</v>
      </c>
      <c r="B199" t="s">
        <v>394</v>
      </c>
      <c r="C199" t="s">
        <v>608</v>
      </c>
      <c r="D199" s="47">
        <v>2298</v>
      </c>
    </row>
    <row r="200" spans="1:4" ht="15" customHeight="1" x14ac:dyDescent="0.35">
      <c r="A200">
        <v>3</v>
      </c>
      <c r="B200" t="s">
        <v>397</v>
      </c>
      <c r="C200" t="s">
        <v>613</v>
      </c>
      <c r="D200" s="47">
        <v>65</v>
      </c>
    </row>
    <row r="201" spans="1:4" ht="15" customHeight="1" x14ac:dyDescent="0.35">
      <c r="A201">
        <v>3</v>
      </c>
      <c r="B201" t="s">
        <v>397</v>
      </c>
      <c r="C201" t="s">
        <v>615</v>
      </c>
      <c r="D201" s="47">
        <v>148</v>
      </c>
    </row>
    <row r="202" spans="1:4" ht="15" customHeight="1" x14ac:dyDescent="0.35">
      <c r="A202">
        <v>3</v>
      </c>
      <c r="B202" t="s">
        <v>397</v>
      </c>
      <c r="C202" t="s">
        <v>616</v>
      </c>
      <c r="D202" s="47">
        <v>245</v>
      </c>
    </row>
    <row r="203" spans="1:4" ht="15" customHeight="1" x14ac:dyDescent="0.35">
      <c r="A203">
        <v>3</v>
      </c>
      <c r="B203" t="s">
        <v>397</v>
      </c>
      <c r="C203" t="s">
        <v>617</v>
      </c>
      <c r="D203" s="47">
        <v>253</v>
      </c>
    </row>
    <row r="204" spans="1:4" ht="15" customHeight="1" x14ac:dyDescent="0.35">
      <c r="A204">
        <v>3</v>
      </c>
      <c r="B204" t="s">
        <v>397</v>
      </c>
      <c r="C204" t="s">
        <v>618</v>
      </c>
      <c r="D204" s="47">
        <v>121</v>
      </c>
    </row>
    <row r="205" spans="1:4" ht="15" customHeight="1" x14ac:dyDescent="0.35">
      <c r="A205">
        <v>3</v>
      </c>
      <c r="B205" t="s">
        <v>397</v>
      </c>
      <c r="C205" t="s">
        <v>620</v>
      </c>
      <c r="D205" s="47">
        <v>93</v>
      </c>
    </row>
    <row r="206" spans="1:4" ht="15" customHeight="1" x14ac:dyDescent="0.35">
      <c r="A206">
        <v>3</v>
      </c>
      <c r="B206" t="s">
        <v>397</v>
      </c>
      <c r="C206" t="s">
        <v>621</v>
      </c>
      <c r="D206" s="47">
        <v>51</v>
      </c>
    </row>
    <row r="207" spans="1:4" ht="15" customHeight="1" x14ac:dyDescent="0.35">
      <c r="A207">
        <v>3</v>
      </c>
      <c r="B207" t="s">
        <v>397</v>
      </c>
      <c r="C207" t="s">
        <v>622</v>
      </c>
      <c r="D207" s="47">
        <v>152</v>
      </c>
    </row>
    <row r="208" spans="1:4" ht="15" customHeight="1" x14ac:dyDescent="0.35">
      <c r="A208">
        <v>3</v>
      </c>
      <c r="B208" t="s">
        <v>397</v>
      </c>
      <c r="C208" t="s">
        <v>623</v>
      </c>
      <c r="D208" s="47">
        <v>28</v>
      </c>
    </row>
    <row r="209" spans="1:4" ht="15" customHeight="1" x14ac:dyDescent="0.35">
      <c r="A209">
        <v>3</v>
      </c>
      <c r="B209" t="s">
        <v>397</v>
      </c>
      <c r="C209" t="s">
        <v>624</v>
      </c>
      <c r="D209" s="47">
        <v>88</v>
      </c>
    </row>
    <row r="210" spans="1:4" ht="15" customHeight="1" x14ac:dyDescent="0.35">
      <c r="A210">
        <v>3</v>
      </c>
      <c r="B210" t="s">
        <v>397</v>
      </c>
      <c r="C210" t="s">
        <v>625</v>
      </c>
      <c r="D210" s="47">
        <v>26</v>
      </c>
    </row>
    <row r="211" spans="1:4" ht="15" customHeight="1" x14ac:dyDescent="0.35">
      <c r="A211">
        <v>3</v>
      </c>
      <c r="B211" t="s">
        <v>397</v>
      </c>
      <c r="C211" t="s">
        <v>626</v>
      </c>
      <c r="D211" s="47">
        <v>642</v>
      </c>
    </row>
    <row r="212" spans="1:4" ht="15" customHeight="1" x14ac:dyDescent="0.35">
      <c r="A212">
        <v>3</v>
      </c>
      <c r="B212" t="s">
        <v>397</v>
      </c>
      <c r="C212" t="s">
        <v>628</v>
      </c>
      <c r="D212" s="47">
        <v>247</v>
      </c>
    </row>
    <row r="213" spans="1:4" ht="15" customHeight="1" x14ac:dyDescent="0.35">
      <c r="A213">
        <v>3</v>
      </c>
      <c r="B213" t="s">
        <v>397</v>
      </c>
      <c r="C213" t="s">
        <v>629</v>
      </c>
      <c r="D213" s="47">
        <v>390</v>
      </c>
    </row>
    <row r="214" spans="1:4" ht="15" customHeight="1" x14ac:dyDescent="0.35">
      <c r="A214">
        <v>3</v>
      </c>
      <c r="B214" t="s">
        <v>397</v>
      </c>
      <c r="C214" t="s">
        <v>630</v>
      </c>
      <c r="D214" s="47">
        <v>425</v>
      </c>
    </row>
    <row r="215" spans="1:4" ht="15" customHeight="1" x14ac:dyDescent="0.35">
      <c r="A215">
        <v>3</v>
      </c>
      <c r="B215" t="s">
        <v>397</v>
      </c>
      <c r="C215" t="s">
        <v>631</v>
      </c>
      <c r="D215" s="47">
        <v>190</v>
      </c>
    </row>
    <row r="216" spans="1:4" ht="15" customHeight="1" x14ac:dyDescent="0.35">
      <c r="A216">
        <v>3</v>
      </c>
      <c r="B216" t="s">
        <v>397</v>
      </c>
      <c r="C216" t="s">
        <v>632</v>
      </c>
      <c r="D216" s="47">
        <v>7</v>
      </c>
    </row>
    <row r="217" spans="1:4" ht="15" customHeight="1" x14ac:dyDescent="0.35">
      <c r="A217">
        <v>3</v>
      </c>
      <c r="B217" t="s">
        <v>397</v>
      </c>
      <c r="C217" t="s">
        <v>845</v>
      </c>
      <c r="D217" s="47">
        <v>1716</v>
      </c>
    </row>
    <row r="218" spans="1:4" ht="15" customHeight="1" x14ac:dyDescent="0.35">
      <c r="A218">
        <v>3</v>
      </c>
      <c r="B218" t="s">
        <v>397</v>
      </c>
      <c r="C218" t="s">
        <v>633</v>
      </c>
      <c r="D218" s="47">
        <v>83</v>
      </c>
    </row>
    <row r="219" spans="1:4" ht="15" customHeight="1" x14ac:dyDescent="0.35">
      <c r="A219">
        <v>3</v>
      </c>
      <c r="B219" t="s">
        <v>397</v>
      </c>
      <c r="C219" t="s">
        <v>635</v>
      </c>
      <c r="D219" s="47">
        <v>136</v>
      </c>
    </row>
    <row r="220" spans="1:4" ht="15" customHeight="1" x14ac:dyDescent="0.35">
      <c r="A220">
        <v>3</v>
      </c>
      <c r="B220" t="s">
        <v>397</v>
      </c>
      <c r="C220" t="s">
        <v>636</v>
      </c>
      <c r="D220" s="47">
        <v>25</v>
      </c>
    </row>
    <row r="221" spans="1:4" ht="15" customHeight="1" x14ac:dyDescent="0.35">
      <c r="A221">
        <v>3</v>
      </c>
      <c r="B221" t="s">
        <v>397</v>
      </c>
      <c r="C221" t="s">
        <v>637</v>
      </c>
      <c r="D221" s="47">
        <v>112</v>
      </c>
    </row>
    <row r="222" spans="1:4" ht="15" customHeight="1" x14ac:dyDescent="0.35">
      <c r="A222">
        <v>3</v>
      </c>
      <c r="B222" t="s">
        <v>397</v>
      </c>
      <c r="C222" t="s">
        <v>638</v>
      </c>
      <c r="D222" s="47">
        <v>932</v>
      </c>
    </row>
    <row r="223" spans="1:4" ht="15" customHeight="1" x14ac:dyDescent="0.35">
      <c r="A223">
        <v>3</v>
      </c>
      <c r="B223" t="s">
        <v>397</v>
      </c>
      <c r="C223" t="s">
        <v>639</v>
      </c>
      <c r="D223" s="47">
        <v>89</v>
      </c>
    </row>
    <row r="224" spans="1:4" ht="15" customHeight="1" x14ac:dyDescent="0.35">
      <c r="A224">
        <v>3</v>
      </c>
      <c r="B224" t="s">
        <v>397</v>
      </c>
      <c r="C224" t="s">
        <v>640</v>
      </c>
      <c r="D224" s="47">
        <v>18</v>
      </c>
    </row>
    <row r="225" spans="1:4" ht="15" customHeight="1" x14ac:dyDescent="0.35">
      <c r="A225">
        <v>3</v>
      </c>
      <c r="B225" t="s">
        <v>397</v>
      </c>
      <c r="C225" t="s">
        <v>641</v>
      </c>
      <c r="D225" s="47">
        <v>37</v>
      </c>
    </row>
    <row r="226" spans="1:4" ht="15" customHeight="1" x14ac:dyDescent="0.35">
      <c r="A226">
        <v>3</v>
      </c>
      <c r="B226" t="s">
        <v>397</v>
      </c>
      <c r="C226" t="s">
        <v>642</v>
      </c>
      <c r="D226" s="47">
        <v>334</v>
      </c>
    </row>
    <row r="227" spans="1:4" ht="15" customHeight="1" x14ac:dyDescent="0.35">
      <c r="A227">
        <v>3</v>
      </c>
      <c r="B227" t="s">
        <v>397</v>
      </c>
      <c r="C227" t="s">
        <v>643</v>
      </c>
      <c r="D227" s="47">
        <v>1903</v>
      </c>
    </row>
    <row r="228" spans="1:4" ht="15" customHeight="1" x14ac:dyDescent="0.35">
      <c r="A228">
        <v>3</v>
      </c>
      <c r="B228" t="s">
        <v>397</v>
      </c>
      <c r="C228" t="s">
        <v>644</v>
      </c>
      <c r="D228" s="47">
        <v>160</v>
      </c>
    </row>
    <row r="229" spans="1:4" ht="15" customHeight="1" x14ac:dyDescent="0.35">
      <c r="A229">
        <v>3</v>
      </c>
      <c r="B229" t="s">
        <v>397</v>
      </c>
      <c r="C229" t="s">
        <v>645</v>
      </c>
      <c r="D229" s="47">
        <v>262</v>
      </c>
    </row>
    <row r="230" spans="1:4" ht="15" customHeight="1" x14ac:dyDescent="0.35">
      <c r="A230">
        <v>3</v>
      </c>
      <c r="B230" t="s">
        <v>397</v>
      </c>
      <c r="C230" t="s">
        <v>646</v>
      </c>
      <c r="D230" s="47">
        <v>146</v>
      </c>
    </row>
    <row r="231" spans="1:4" ht="15" customHeight="1" x14ac:dyDescent="0.35">
      <c r="A231">
        <v>3</v>
      </c>
      <c r="B231" t="s">
        <v>397</v>
      </c>
      <c r="C231" t="s">
        <v>647</v>
      </c>
      <c r="D231" s="47">
        <v>36</v>
      </c>
    </row>
    <row r="232" spans="1:4" ht="15" customHeight="1" x14ac:dyDescent="0.35">
      <c r="A232">
        <v>3</v>
      </c>
      <c r="B232" t="s">
        <v>397</v>
      </c>
      <c r="C232" t="s">
        <v>648</v>
      </c>
      <c r="D232" s="47">
        <v>459</v>
      </c>
    </row>
    <row r="233" spans="1:4" ht="15" customHeight="1" x14ac:dyDescent="0.35">
      <c r="A233">
        <v>3</v>
      </c>
      <c r="B233" t="s">
        <v>397</v>
      </c>
      <c r="C233" t="s">
        <v>649</v>
      </c>
      <c r="D233" s="47">
        <v>97</v>
      </c>
    </row>
    <row r="234" spans="1:4" ht="15" customHeight="1" x14ac:dyDescent="0.35">
      <c r="A234">
        <v>3</v>
      </c>
      <c r="B234" t="s">
        <v>397</v>
      </c>
      <c r="C234" t="s">
        <v>650</v>
      </c>
      <c r="D234" s="47">
        <v>400</v>
      </c>
    </row>
    <row r="235" spans="1:4" ht="15" customHeight="1" x14ac:dyDescent="0.35">
      <c r="A235">
        <v>3</v>
      </c>
      <c r="B235" t="s">
        <v>397</v>
      </c>
      <c r="C235" t="s">
        <v>651</v>
      </c>
      <c r="D235" s="47">
        <v>1322</v>
      </c>
    </row>
    <row r="236" spans="1:4" ht="15" customHeight="1" x14ac:dyDescent="0.35">
      <c r="A236">
        <v>3</v>
      </c>
      <c r="B236" t="s">
        <v>397</v>
      </c>
      <c r="C236" t="s">
        <v>652</v>
      </c>
      <c r="D236" s="47">
        <v>105</v>
      </c>
    </row>
    <row r="237" spans="1:4" ht="15" customHeight="1" x14ac:dyDescent="0.35">
      <c r="A237">
        <v>3</v>
      </c>
      <c r="B237" t="s">
        <v>397</v>
      </c>
      <c r="C237" t="s">
        <v>653</v>
      </c>
      <c r="D237" s="47">
        <v>38</v>
      </c>
    </row>
    <row r="238" spans="1:4" ht="15" customHeight="1" x14ac:dyDescent="0.35">
      <c r="A238">
        <v>3</v>
      </c>
      <c r="B238" t="s">
        <v>397</v>
      </c>
      <c r="C238" t="s">
        <v>841</v>
      </c>
      <c r="D238" s="47">
        <v>737</v>
      </c>
    </row>
    <row r="239" spans="1:4" ht="15" customHeight="1" x14ac:dyDescent="0.35">
      <c r="A239">
        <v>3</v>
      </c>
      <c r="B239" t="s">
        <v>397</v>
      </c>
      <c r="C239" t="s">
        <v>654</v>
      </c>
      <c r="D239" s="47">
        <v>186</v>
      </c>
    </row>
    <row r="240" spans="1:4" ht="15" customHeight="1" x14ac:dyDescent="0.35">
      <c r="A240">
        <v>3</v>
      </c>
      <c r="B240" t="s">
        <v>397</v>
      </c>
      <c r="C240" t="s">
        <v>655</v>
      </c>
      <c r="D240" s="47">
        <v>243</v>
      </c>
    </row>
    <row r="241" spans="1:4" ht="15" customHeight="1" x14ac:dyDescent="0.35">
      <c r="A241">
        <v>3</v>
      </c>
      <c r="B241" t="s">
        <v>397</v>
      </c>
      <c r="C241" t="s">
        <v>656</v>
      </c>
      <c r="D241" s="47">
        <v>240</v>
      </c>
    </row>
    <row r="242" spans="1:4" ht="15" customHeight="1" x14ac:dyDescent="0.35">
      <c r="A242">
        <v>3</v>
      </c>
      <c r="B242" t="s">
        <v>397</v>
      </c>
      <c r="C242" t="s">
        <v>657</v>
      </c>
      <c r="D242" s="47">
        <v>466</v>
      </c>
    </row>
    <row r="243" spans="1:4" ht="15" customHeight="1" x14ac:dyDescent="0.35">
      <c r="A243">
        <v>3</v>
      </c>
      <c r="B243" t="s">
        <v>397</v>
      </c>
      <c r="C243" t="s">
        <v>659</v>
      </c>
      <c r="D243" s="47">
        <v>258</v>
      </c>
    </row>
    <row r="244" spans="1:4" ht="15" customHeight="1" x14ac:dyDescent="0.35">
      <c r="A244">
        <v>3</v>
      </c>
      <c r="B244" t="s">
        <v>397</v>
      </c>
      <c r="C244" t="s">
        <v>660</v>
      </c>
      <c r="D244" s="47">
        <v>132</v>
      </c>
    </row>
    <row r="245" spans="1:4" ht="15" customHeight="1" x14ac:dyDescent="0.35">
      <c r="A245">
        <v>3</v>
      </c>
      <c r="B245" t="s">
        <v>397</v>
      </c>
      <c r="C245" t="s">
        <v>661</v>
      </c>
      <c r="D245" s="47">
        <v>739</v>
      </c>
    </row>
    <row r="246" spans="1:4" ht="15" customHeight="1" x14ac:dyDescent="0.35">
      <c r="A246">
        <v>3</v>
      </c>
      <c r="B246" t="s">
        <v>397</v>
      </c>
      <c r="C246" t="s">
        <v>662</v>
      </c>
      <c r="D246" s="47">
        <v>439</v>
      </c>
    </row>
    <row r="247" spans="1:4" ht="15" customHeight="1" x14ac:dyDescent="0.35">
      <c r="A247">
        <v>3</v>
      </c>
      <c r="B247" t="s">
        <v>397</v>
      </c>
      <c r="C247" t="s">
        <v>663</v>
      </c>
      <c r="D247" s="47">
        <v>811</v>
      </c>
    </row>
    <row r="248" spans="1:4" ht="15" customHeight="1" x14ac:dyDescent="0.35">
      <c r="A248">
        <v>3</v>
      </c>
      <c r="B248" t="s">
        <v>397</v>
      </c>
      <c r="C248" t="s">
        <v>664</v>
      </c>
      <c r="D248" s="47">
        <v>496</v>
      </c>
    </row>
    <row r="249" spans="1:4" ht="15" customHeight="1" x14ac:dyDescent="0.35">
      <c r="A249">
        <v>3</v>
      </c>
      <c r="B249" t="s">
        <v>397</v>
      </c>
      <c r="C249" t="s">
        <v>665</v>
      </c>
      <c r="D249" s="47">
        <v>70</v>
      </c>
    </row>
    <row r="250" spans="1:4" ht="15" customHeight="1" x14ac:dyDescent="0.35">
      <c r="A250">
        <v>3</v>
      </c>
      <c r="B250" t="s">
        <v>397</v>
      </c>
      <c r="C250" t="s">
        <v>666</v>
      </c>
      <c r="D250" s="47">
        <v>106</v>
      </c>
    </row>
    <row r="251" spans="1:4" ht="15" customHeight="1" x14ac:dyDescent="0.35">
      <c r="A251">
        <v>3</v>
      </c>
      <c r="B251" t="s">
        <v>397</v>
      </c>
      <c r="C251" t="s">
        <v>667</v>
      </c>
      <c r="D251" s="47">
        <v>852</v>
      </c>
    </row>
    <row r="252" spans="1:4" ht="15" customHeight="1" x14ac:dyDescent="0.35">
      <c r="A252">
        <v>3</v>
      </c>
      <c r="B252" t="s">
        <v>397</v>
      </c>
      <c r="C252" t="s">
        <v>668</v>
      </c>
      <c r="D252" s="47">
        <v>1169</v>
      </c>
    </row>
    <row r="253" spans="1:4" ht="15" customHeight="1" x14ac:dyDescent="0.35">
      <c r="A253">
        <v>3</v>
      </c>
      <c r="B253" t="s">
        <v>397</v>
      </c>
      <c r="C253" t="s">
        <v>669</v>
      </c>
      <c r="D253" s="47">
        <v>29</v>
      </c>
    </row>
    <row r="254" spans="1:4" ht="15" customHeight="1" x14ac:dyDescent="0.35">
      <c r="A254">
        <v>3</v>
      </c>
      <c r="B254" t="s">
        <v>397</v>
      </c>
      <c r="C254" t="s">
        <v>670</v>
      </c>
      <c r="D254" s="47">
        <v>117</v>
      </c>
    </row>
    <row r="255" spans="1:4" ht="15" customHeight="1" x14ac:dyDescent="0.35">
      <c r="A255">
        <v>3</v>
      </c>
      <c r="B255" t="s">
        <v>397</v>
      </c>
      <c r="C255" t="s">
        <v>671</v>
      </c>
      <c r="D255" s="47">
        <v>823</v>
      </c>
    </row>
    <row r="256" spans="1:4" ht="15" customHeight="1" x14ac:dyDescent="0.35">
      <c r="A256">
        <v>3</v>
      </c>
      <c r="B256" t="s">
        <v>397</v>
      </c>
      <c r="C256" t="s">
        <v>672</v>
      </c>
      <c r="D256" s="47">
        <v>440</v>
      </c>
    </row>
    <row r="257" spans="1:4" ht="15" customHeight="1" x14ac:dyDescent="0.35">
      <c r="A257">
        <v>3</v>
      </c>
      <c r="B257" t="s">
        <v>397</v>
      </c>
      <c r="C257" t="s">
        <v>673</v>
      </c>
      <c r="D257" s="47">
        <v>3084</v>
      </c>
    </row>
    <row r="258" spans="1:4" ht="15" customHeight="1" x14ac:dyDescent="0.35">
      <c r="A258">
        <v>3</v>
      </c>
      <c r="B258" t="s">
        <v>397</v>
      </c>
      <c r="C258" t="s">
        <v>674</v>
      </c>
      <c r="D258" s="47">
        <v>144</v>
      </c>
    </row>
    <row r="259" spans="1:4" ht="15" customHeight="1" x14ac:dyDescent="0.35">
      <c r="A259">
        <v>3</v>
      </c>
      <c r="B259" t="s">
        <v>397</v>
      </c>
      <c r="C259" t="s">
        <v>675</v>
      </c>
      <c r="D259" s="47">
        <v>159</v>
      </c>
    </row>
    <row r="260" spans="1:4" ht="15" customHeight="1" x14ac:dyDescent="0.35">
      <c r="A260">
        <v>3</v>
      </c>
      <c r="B260" t="s">
        <v>397</v>
      </c>
      <c r="C260" t="s">
        <v>676</v>
      </c>
      <c r="D260" s="47">
        <v>28</v>
      </c>
    </row>
    <row r="261" spans="1:4" ht="15" customHeight="1" x14ac:dyDescent="0.35">
      <c r="A261">
        <v>3</v>
      </c>
      <c r="B261" t="s">
        <v>397</v>
      </c>
      <c r="C261" t="s">
        <v>678</v>
      </c>
      <c r="D261" s="47">
        <v>134</v>
      </c>
    </row>
    <row r="262" spans="1:4" ht="15" customHeight="1" x14ac:dyDescent="0.35">
      <c r="A262">
        <v>3</v>
      </c>
      <c r="B262" t="s">
        <v>397</v>
      </c>
      <c r="C262" t="s">
        <v>677</v>
      </c>
      <c r="D262" s="47">
        <v>22</v>
      </c>
    </row>
    <row r="263" spans="1:4" ht="15" customHeight="1" x14ac:dyDescent="0.35">
      <c r="A263">
        <v>3</v>
      </c>
      <c r="B263" t="s">
        <v>397</v>
      </c>
      <c r="C263" t="s">
        <v>679</v>
      </c>
      <c r="D263" s="47">
        <v>221</v>
      </c>
    </row>
    <row r="264" spans="1:4" ht="15" customHeight="1" x14ac:dyDescent="0.35">
      <c r="A264">
        <v>3</v>
      </c>
      <c r="B264" t="s">
        <v>397</v>
      </c>
      <c r="C264" t="s">
        <v>634</v>
      </c>
      <c r="D264" s="47">
        <v>617</v>
      </c>
    </row>
    <row r="265" spans="1:4" ht="15" customHeight="1" x14ac:dyDescent="0.35">
      <c r="A265">
        <v>3</v>
      </c>
      <c r="B265" t="s">
        <v>397</v>
      </c>
      <c r="C265" t="s">
        <v>682</v>
      </c>
      <c r="D265" s="47">
        <v>57</v>
      </c>
    </row>
    <row r="266" spans="1:4" ht="15" customHeight="1" x14ac:dyDescent="0.35">
      <c r="A266">
        <v>3</v>
      </c>
      <c r="B266" t="s">
        <v>397</v>
      </c>
      <c r="C266" t="s">
        <v>397</v>
      </c>
      <c r="D266" s="47">
        <v>54690</v>
      </c>
    </row>
    <row r="267" spans="1:4" ht="15" customHeight="1" x14ac:dyDescent="0.35">
      <c r="A267">
        <v>3</v>
      </c>
      <c r="B267" t="s">
        <v>397</v>
      </c>
      <c r="C267" t="s">
        <v>681</v>
      </c>
      <c r="D267" s="47">
        <v>29</v>
      </c>
    </row>
    <row r="268" spans="1:4" ht="15" customHeight="1" x14ac:dyDescent="0.35">
      <c r="A268">
        <v>3</v>
      </c>
      <c r="B268" t="s">
        <v>397</v>
      </c>
      <c r="C268" t="s">
        <v>614</v>
      </c>
      <c r="D268" s="47">
        <v>234</v>
      </c>
    </row>
    <row r="269" spans="1:4" ht="15" customHeight="1" x14ac:dyDescent="0.35">
      <c r="A269">
        <v>3</v>
      </c>
      <c r="B269" t="s">
        <v>397</v>
      </c>
      <c r="C269" t="s">
        <v>658</v>
      </c>
      <c r="D269" s="47">
        <v>146</v>
      </c>
    </row>
    <row r="270" spans="1:4" ht="15" customHeight="1" x14ac:dyDescent="0.35">
      <c r="A270">
        <v>3</v>
      </c>
      <c r="B270" t="s">
        <v>397</v>
      </c>
      <c r="C270" t="s">
        <v>698</v>
      </c>
      <c r="D270" s="47">
        <v>664</v>
      </c>
    </row>
    <row r="271" spans="1:4" ht="15" customHeight="1" x14ac:dyDescent="0.35">
      <c r="A271">
        <v>3</v>
      </c>
      <c r="B271" t="s">
        <v>397</v>
      </c>
      <c r="C271" t="s">
        <v>701</v>
      </c>
      <c r="D271" s="47">
        <v>141</v>
      </c>
    </row>
    <row r="272" spans="1:4" ht="15" customHeight="1" x14ac:dyDescent="0.35">
      <c r="A272">
        <v>3</v>
      </c>
      <c r="B272" t="s">
        <v>397</v>
      </c>
      <c r="C272" t="s">
        <v>746</v>
      </c>
      <c r="D272" s="47">
        <v>1124</v>
      </c>
    </row>
    <row r="273" spans="1:4" ht="15" customHeight="1" x14ac:dyDescent="0.35">
      <c r="A273">
        <v>3</v>
      </c>
      <c r="B273" t="s">
        <v>397</v>
      </c>
      <c r="C273" t="s">
        <v>748</v>
      </c>
      <c r="D273" s="47">
        <v>632</v>
      </c>
    </row>
    <row r="274" spans="1:4" ht="15" customHeight="1" x14ac:dyDescent="0.35">
      <c r="A274">
        <v>3</v>
      </c>
      <c r="B274" t="s">
        <v>397</v>
      </c>
      <c r="C274" t="s">
        <v>751</v>
      </c>
      <c r="D274" s="47">
        <v>666</v>
      </c>
    </row>
    <row r="275" spans="1:4" ht="15" customHeight="1" x14ac:dyDescent="0.35">
      <c r="A275">
        <v>3</v>
      </c>
      <c r="B275" t="s">
        <v>397</v>
      </c>
      <c r="C275" t="s">
        <v>760</v>
      </c>
      <c r="D275" s="47">
        <v>49</v>
      </c>
    </row>
    <row r="276" spans="1:4" ht="15" customHeight="1" x14ac:dyDescent="0.35">
      <c r="A276">
        <v>3</v>
      </c>
      <c r="B276" t="s">
        <v>397</v>
      </c>
      <c r="C276" t="s">
        <v>762</v>
      </c>
      <c r="D276" s="47">
        <v>2437</v>
      </c>
    </row>
    <row r="277" spans="1:4" ht="15" customHeight="1" x14ac:dyDescent="0.35">
      <c r="A277">
        <v>3</v>
      </c>
      <c r="B277" t="s">
        <v>397</v>
      </c>
      <c r="C277" t="s">
        <v>764</v>
      </c>
      <c r="D277" s="47">
        <v>211</v>
      </c>
    </row>
    <row r="278" spans="1:4" ht="15" customHeight="1" x14ac:dyDescent="0.35">
      <c r="A278">
        <v>3</v>
      </c>
      <c r="B278" t="s">
        <v>397</v>
      </c>
      <c r="C278" t="s">
        <v>683</v>
      </c>
      <c r="D278" s="47">
        <v>317</v>
      </c>
    </row>
    <row r="279" spans="1:4" ht="15" customHeight="1" x14ac:dyDescent="0.35">
      <c r="A279">
        <v>3</v>
      </c>
      <c r="B279" t="s">
        <v>397</v>
      </c>
      <c r="C279" t="s">
        <v>684</v>
      </c>
      <c r="D279" s="47">
        <v>40</v>
      </c>
    </row>
    <row r="280" spans="1:4" ht="15" customHeight="1" x14ac:dyDescent="0.35">
      <c r="A280">
        <v>3</v>
      </c>
      <c r="B280" t="s">
        <v>397</v>
      </c>
      <c r="C280" t="s">
        <v>685</v>
      </c>
      <c r="D280" s="47">
        <v>48</v>
      </c>
    </row>
    <row r="281" spans="1:4" ht="15" customHeight="1" x14ac:dyDescent="0.35">
      <c r="A281">
        <v>3</v>
      </c>
      <c r="B281" t="s">
        <v>397</v>
      </c>
      <c r="C281" t="s">
        <v>687</v>
      </c>
      <c r="D281" s="47">
        <v>1205</v>
      </c>
    </row>
    <row r="282" spans="1:4" ht="15" customHeight="1" x14ac:dyDescent="0.35">
      <c r="A282">
        <v>3</v>
      </c>
      <c r="B282" t="s">
        <v>397</v>
      </c>
      <c r="C282" t="s">
        <v>688</v>
      </c>
      <c r="D282" s="47">
        <v>274</v>
      </c>
    </row>
    <row r="283" spans="1:4" ht="15" customHeight="1" x14ac:dyDescent="0.35">
      <c r="A283">
        <v>3</v>
      </c>
      <c r="B283" t="s">
        <v>397</v>
      </c>
      <c r="C283" t="s">
        <v>689</v>
      </c>
      <c r="D283" s="47">
        <v>109</v>
      </c>
    </row>
    <row r="284" spans="1:4" ht="15" customHeight="1" x14ac:dyDescent="0.35">
      <c r="A284">
        <v>3</v>
      </c>
      <c r="B284" t="s">
        <v>397</v>
      </c>
      <c r="C284" t="s">
        <v>844</v>
      </c>
      <c r="D284" s="47">
        <v>513</v>
      </c>
    </row>
    <row r="285" spans="1:4" ht="15" customHeight="1" x14ac:dyDescent="0.35">
      <c r="A285">
        <v>3</v>
      </c>
      <c r="B285" t="s">
        <v>397</v>
      </c>
      <c r="C285" t="s">
        <v>690</v>
      </c>
      <c r="D285" s="47">
        <v>455</v>
      </c>
    </row>
    <row r="286" spans="1:4" ht="15" customHeight="1" x14ac:dyDescent="0.35">
      <c r="A286">
        <v>3</v>
      </c>
      <c r="B286" t="s">
        <v>397</v>
      </c>
      <c r="C286" t="s">
        <v>691</v>
      </c>
      <c r="D286" s="47">
        <v>63</v>
      </c>
    </row>
    <row r="287" spans="1:4" ht="15" customHeight="1" x14ac:dyDescent="0.35">
      <c r="A287">
        <v>3</v>
      </c>
      <c r="B287" t="s">
        <v>397</v>
      </c>
      <c r="C287" t="s">
        <v>692</v>
      </c>
      <c r="D287" s="47">
        <v>183</v>
      </c>
    </row>
    <row r="288" spans="1:4" ht="15" customHeight="1" x14ac:dyDescent="0.35">
      <c r="A288">
        <v>3</v>
      </c>
      <c r="B288" t="s">
        <v>397</v>
      </c>
      <c r="C288" t="s">
        <v>693</v>
      </c>
      <c r="D288" s="47">
        <v>59</v>
      </c>
    </row>
    <row r="289" spans="1:5" ht="15" customHeight="1" x14ac:dyDescent="0.35">
      <c r="A289">
        <v>3</v>
      </c>
      <c r="B289" t="s">
        <v>397</v>
      </c>
      <c r="C289" t="s">
        <v>694</v>
      </c>
      <c r="D289" s="47">
        <v>153</v>
      </c>
    </row>
    <row r="290" spans="1:5" ht="15" customHeight="1" x14ac:dyDescent="0.35">
      <c r="A290">
        <v>3</v>
      </c>
      <c r="B290" t="s">
        <v>397</v>
      </c>
      <c r="C290" t="s">
        <v>695</v>
      </c>
      <c r="D290" s="47">
        <v>91</v>
      </c>
    </row>
    <row r="291" spans="1:5" ht="15" customHeight="1" x14ac:dyDescent="0.35">
      <c r="A291">
        <v>3</v>
      </c>
      <c r="B291" t="s">
        <v>397</v>
      </c>
      <c r="C291" t="s">
        <v>696</v>
      </c>
      <c r="D291" s="47">
        <v>361</v>
      </c>
    </row>
    <row r="292" spans="1:5" ht="15" customHeight="1" x14ac:dyDescent="0.35">
      <c r="A292">
        <v>3</v>
      </c>
      <c r="B292" t="s">
        <v>397</v>
      </c>
      <c r="C292" t="s">
        <v>697</v>
      </c>
      <c r="D292" s="47">
        <v>139</v>
      </c>
    </row>
    <row r="293" spans="1:5" ht="15" customHeight="1" x14ac:dyDescent="0.35">
      <c r="A293">
        <v>3</v>
      </c>
      <c r="B293" t="s">
        <v>397</v>
      </c>
      <c r="C293" t="s">
        <v>702</v>
      </c>
      <c r="D293" s="47">
        <v>1566</v>
      </c>
    </row>
    <row r="294" spans="1:5" ht="15" customHeight="1" x14ac:dyDescent="0.35">
      <c r="A294">
        <v>3</v>
      </c>
      <c r="B294" t="s">
        <v>397</v>
      </c>
      <c r="C294" t="s">
        <v>703</v>
      </c>
      <c r="D294" s="47">
        <v>253</v>
      </c>
    </row>
    <row r="295" spans="1:5" ht="15" customHeight="1" x14ac:dyDescent="0.35">
      <c r="A295">
        <v>3</v>
      </c>
      <c r="B295" t="s">
        <v>397</v>
      </c>
      <c r="C295" t="s">
        <v>704</v>
      </c>
      <c r="D295" s="47">
        <v>61</v>
      </c>
    </row>
    <row r="296" spans="1:5" ht="15" customHeight="1" x14ac:dyDescent="0.35">
      <c r="A296">
        <v>3</v>
      </c>
      <c r="B296" t="s">
        <v>397</v>
      </c>
      <c r="C296" t="s">
        <v>705</v>
      </c>
      <c r="D296" s="47">
        <v>3493</v>
      </c>
    </row>
    <row r="297" spans="1:5" ht="15" customHeight="1" x14ac:dyDescent="0.35">
      <c r="A297">
        <v>3</v>
      </c>
      <c r="B297" t="s">
        <v>397</v>
      </c>
      <c r="C297" t="s">
        <v>706</v>
      </c>
      <c r="D297" s="47">
        <v>99</v>
      </c>
    </row>
    <row r="298" spans="1:5" ht="15" customHeight="1" x14ac:dyDescent="0.35">
      <c r="A298">
        <v>3</v>
      </c>
      <c r="B298" t="s">
        <v>397</v>
      </c>
      <c r="C298" t="s">
        <v>707</v>
      </c>
      <c r="D298" s="47">
        <v>57</v>
      </c>
    </row>
    <row r="299" spans="1:5" ht="15" customHeight="1" x14ac:dyDescent="0.35">
      <c r="A299">
        <v>3</v>
      </c>
      <c r="B299" t="s">
        <v>397</v>
      </c>
      <c r="C299" t="s">
        <v>708</v>
      </c>
      <c r="D299" s="47">
        <v>44</v>
      </c>
    </row>
    <row r="300" spans="1:5" ht="15" customHeight="1" x14ac:dyDescent="0.35">
      <c r="A300">
        <v>3</v>
      </c>
      <c r="B300" t="s">
        <v>397</v>
      </c>
      <c r="C300" t="s">
        <v>709</v>
      </c>
      <c r="D300" s="47">
        <v>114</v>
      </c>
    </row>
    <row r="301" spans="1:5" ht="15" customHeight="1" x14ac:dyDescent="0.35">
      <c r="A301">
        <v>3</v>
      </c>
      <c r="B301" t="s">
        <v>397</v>
      </c>
      <c r="C301" t="s">
        <v>710</v>
      </c>
      <c r="D301" s="47">
        <v>194</v>
      </c>
    </row>
    <row r="302" spans="1:5" ht="15" customHeight="1" x14ac:dyDescent="0.35">
      <c r="A302">
        <v>3</v>
      </c>
      <c r="B302" t="s">
        <v>397</v>
      </c>
      <c r="C302" t="s">
        <v>711</v>
      </c>
      <c r="D302" s="47">
        <v>1765</v>
      </c>
    </row>
    <row r="303" spans="1:5" ht="15" customHeight="1" x14ac:dyDescent="0.35">
      <c r="A303">
        <v>3</v>
      </c>
      <c r="B303" t="s">
        <v>397</v>
      </c>
      <c r="C303" t="s">
        <v>712</v>
      </c>
      <c r="D303" s="47">
        <v>4305</v>
      </c>
      <c r="E303">
        <v>1</v>
      </c>
    </row>
    <row r="304" spans="1:5" ht="15" customHeight="1" x14ac:dyDescent="0.35">
      <c r="A304">
        <v>3</v>
      </c>
      <c r="B304" t="s">
        <v>397</v>
      </c>
      <c r="C304" t="s">
        <v>619</v>
      </c>
      <c r="D304" s="47">
        <v>1590</v>
      </c>
    </row>
    <row r="305" spans="1:4" ht="15" customHeight="1" x14ac:dyDescent="0.35">
      <c r="A305">
        <v>3</v>
      </c>
      <c r="B305" t="s">
        <v>397</v>
      </c>
      <c r="C305" t="s">
        <v>627</v>
      </c>
      <c r="D305" s="47">
        <v>365</v>
      </c>
    </row>
    <row r="306" spans="1:4" ht="15" customHeight="1" x14ac:dyDescent="0.35">
      <c r="A306">
        <v>3</v>
      </c>
      <c r="B306" t="s">
        <v>397</v>
      </c>
      <c r="C306" t="s">
        <v>680</v>
      </c>
      <c r="D306" s="47">
        <v>28</v>
      </c>
    </row>
    <row r="307" spans="1:4" ht="15" customHeight="1" x14ac:dyDescent="0.35">
      <c r="A307">
        <v>3</v>
      </c>
      <c r="B307" t="s">
        <v>397</v>
      </c>
      <c r="C307" t="s">
        <v>686</v>
      </c>
      <c r="D307" s="47">
        <v>155</v>
      </c>
    </row>
    <row r="308" spans="1:4" ht="15" customHeight="1" x14ac:dyDescent="0.35">
      <c r="A308">
        <v>3</v>
      </c>
      <c r="B308" t="s">
        <v>397</v>
      </c>
      <c r="C308" t="s">
        <v>699</v>
      </c>
      <c r="D308" s="47">
        <v>188</v>
      </c>
    </row>
    <row r="309" spans="1:4" ht="15" customHeight="1" x14ac:dyDescent="0.35">
      <c r="A309">
        <v>3</v>
      </c>
      <c r="B309" t="s">
        <v>397</v>
      </c>
      <c r="C309" t="s">
        <v>745</v>
      </c>
      <c r="D309" s="47">
        <v>33</v>
      </c>
    </row>
    <row r="310" spans="1:4" ht="15" customHeight="1" x14ac:dyDescent="0.35">
      <c r="A310">
        <v>3</v>
      </c>
      <c r="B310" t="s">
        <v>397</v>
      </c>
      <c r="C310" t="s">
        <v>749</v>
      </c>
      <c r="D310" s="47">
        <v>97</v>
      </c>
    </row>
    <row r="311" spans="1:4" ht="15" customHeight="1" x14ac:dyDescent="0.35">
      <c r="A311">
        <v>3</v>
      </c>
      <c r="B311" t="s">
        <v>397</v>
      </c>
      <c r="C311" t="s">
        <v>750</v>
      </c>
      <c r="D311" s="47">
        <v>215</v>
      </c>
    </row>
    <row r="312" spans="1:4" ht="15" customHeight="1" x14ac:dyDescent="0.35">
      <c r="A312">
        <v>3</v>
      </c>
      <c r="B312" t="s">
        <v>397</v>
      </c>
      <c r="C312" t="s">
        <v>713</v>
      </c>
      <c r="D312" s="47">
        <v>50</v>
      </c>
    </row>
    <row r="313" spans="1:4" ht="15" customHeight="1" x14ac:dyDescent="0.35">
      <c r="A313">
        <v>3</v>
      </c>
      <c r="B313" t="s">
        <v>397</v>
      </c>
      <c r="C313" t="s">
        <v>714</v>
      </c>
      <c r="D313" s="47">
        <v>77</v>
      </c>
    </row>
    <row r="314" spans="1:4" ht="15" customHeight="1" x14ac:dyDescent="0.35">
      <c r="A314">
        <v>3</v>
      </c>
      <c r="B314" t="s">
        <v>397</v>
      </c>
      <c r="C314" t="s">
        <v>715</v>
      </c>
      <c r="D314" s="47">
        <v>1234</v>
      </c>
    </row>
    <row r="315" spans="1:4" ht="15" customHeight="1" x14ac:dyDescent="0.35">
      <c r="A315">
        <v>3</v>
      </c>
      <c r="B315" t="s">
        <v>397</v>
      </c>
      <c r="C315" t="s">
        <v>718</v>
      </c>
      <c r="D315" s="47">
        <v>241</v>
      </c>
    </row>
    <row r="316" spans="1:4" ht="15" customHeight="1" x14ac:dyDescent="0.35">
      <c r="A316">
        <v>3</v>
      </c>
      <c r="B316" t="s">
        <v>397</v>
      </c>
      <c r="C316" t="s">
        <v>721</v>
      </c>
      <c r="D316" s="47">
        <v>2336</v>
      </c>
    </row>
    <row r="317" spans="1:4" ht="15" customHeight="1" x14ac:dyDescent="0.35">
      <c r="A317">
        <v>3</v>
      </c>
      <c r="B317" t="s">
        <v>397</v>
      </c>
      <c r="C317" t="s">
        <v>747</v>
      </c>
      <c r="D317" s="47">
        <v>6638</v>
      </c>
    </row>
    <row r="318" spans="1:4" ht="15" customHeight="1" x14ac:dyDescent="0.35">
      <c r="A318">
        <v>3</v>
      </c>
      <c r="B318" t="s">
        <v>397</v>
      </c>
      <c r="C318" t="s">
        <v>843</v>
      </c>
      <c r="D318" s="47">
        <v>1496</v>
      </c>
    </row>
    <row r="319" spans="1:4" ht="15" customHeight="1" x14ac:dyDescent="0.35">
      <c r="A319">
        <v>3</v>
      </c>
      <c r="B319" t="s">
        <v>397</v>
      </c>
      <c r="C319" t="s">
        <v>716</v>
      </c>
      <c r="D319" s="47">
        <v>1563</v>
      </c>
    </row>
    <row r="320" spans="1:4" ht="15" customHeight="1" x14ac:dyDescent="0.35">
      <c r="A320">
        <v>3</v>
      </c>
      <c r="B320" t="s">
        <v>397</v>
      </c>
      <c r="C320" t="s">
        <v>717</v>
      </c>
      <c r="D320" s="47">
        <v>190</v>
      </c>
    </row>
    <row r="321" spans="1:4" ht="15" customHeight="1" x14ac:dyDescent="0.35">
      <c r="A321">
        <v>3</v>
      </c>
      <c r="B321" t="s">
        <v>397</v>
      </c>
      <c r="C321" t="s">
        <v>700</v>
      </c>
      <c r="D321" s="47">
        <v>771</v>
      </c>
    </row>
    <row r="322" spans="1:4" ht="15" customHeight="1" x14ac:dyDescent="0.35">
      <c r="A322">
        <v>3</v>
      </c>
      <c r="B322" t="s">
        <v>397</v>
      </c>
      <c r="C322" t="s">
        <v>846</v>
      </c>
      <c r="D322" s="47">
        <v>72</v>
      </c>
    </row>
    <row r="323" spans="1:4" ht="15" customHeight="1" x14ac:dyDescent="0.35">
      <c r="A323">
        <v>3</v>
      </c>
      <c r="B323" t="s">
        <v>397</v>
      </c>
      <c r="C323" t="s">
        <v>719</v>
      </c>
      <c r="D323" s="47">
        <v>304</v>
      </c>
    </row>
    <row r="324" spans="1:4" ht="15" customHeight="1" x14ac:dyDescent="0.35">
      <c r="A324">
        <v>3</v>
      </c>
      <c r="B324" t="s">
        <v>397</v>
      </c>
      <c r="C324" t="s">
        <v>720</v>
      </c>
      <c r="D324" s="47">
        <v>64</v>
      </c>
    </row>
    <row r="325" spans="1:4" ht="15" customHeight="1" x14ac:dyDescent="0.35">
      <c r="A325">
        <v>3</v>
      </c>
      <c r="B325" t="s">
        <v>397</v>
      </c>
      <c r="C325" t="s">
        <v>722</v>
      </c>
      <c r="D325" s="47">
        <v>2221</v>
      </c>
    </row>
    <row r="326" spans="1:4" ht="15" customHeight="1" x14ac:dyDescent="0.35">
      <c r="A326">
        <v>3</v>
      </c>
      <c r="B326" t="s">
        <v>397</v>
      </c>
      <c r="C326" t="s">
        <v>723</v>
      </c>
      <c r="D326" s="47">
        <v>905</v>
      </c>
    </row>
    <row r="327" spans="1:4" ht="15" customHeight="1" x14ac:dyDescent="0.35">
      <c r="A327">
        <v>3</v>
      </c>
      <c r="B327" t="s">
        <v>397</v>
      </c>
      <c r="C327" t="s">
        <v>724</v>
      </c>
      <c r="D327" s="47">
        <v>56</v>
      </c>
    </row>
    <row r="328" spans="1:4" ht="15" customHeight="1" x14ac:dyDescent="0.35">
      <c r="A328">
        <v>3</v>
      </c>
      <c r="B328" t="s">
        <v>397</v>
      </c>
      <c r="C328" t="s">
        <v>725</v>
      </c>
      <c r="D328" s="47">
        <v>103</v>
      </c>
    </row>
    <row r="329" spans="1:4" ht="15" customHeight="1" x14ac:dyDescent="0.35">
      <c r="A329">
        <v>3</v>
      </c>
      <c r="B329" t="s">
        <v>397</v>
      </c>
      <c r="C329" t="s">
        <v>726</v>
      </c>
      <c r="D329" s="47">
        <v>643</v>
      </c>
    </row>
    <row r="330" spans="1:4" ht="15" customHeight="1" x14ac:dyDescent="0.35">
      <c r="A330">
        <v>3</v>
      </c>
      <c r="B330" t="s">
        <v>397</v>
      </c>
      <c r="C330" t="s">
        <v>727</v>
      </c>
      <c r="D330" s="47">
        <v>129</v>
      </c>
    </row>
    <row r="331" spans="1:4" ht="15" customHeight="1" x14ac:dyDescent="0.35">
      <c r="A331">
        <v>3</v>
      </c>
      <c r="B331" t="s">
        <v>397</v>
      </c>
      <c r="C331" t="s">
        <v>728</v>
      </c>
      <c r="D331" s="47">
        <v>34</v>
      </c>
    </row>
    <row r="332" spans="1:4" ht="15" customHeight="1" x14ac:dyDescent="0.35">
      <c r="A332">
        <v>3</v>
      </c>
      <c r="B332" t="s">
        <v>397</v>
      </c>
      <c r="C332" t="s">
        <v>729</v>
      </c>
      <c r="D332" s="47">
        <v>5990</v>
      </c>
    </row>
    <row r="333" spans="1:4" ht="15" customHeight="1" x14ac:dyDescent="0.35">
      <c r="A333">
        <v>3</v>
      </c>
      <c r="B333" t="s">
        <v>397</v>
      </c>
      <c r="C333" t="s">
        <v>730</v>
      </c>
      <c r="D333" s="47">
        <v>5869</v>
      </c>
    </row>
    <row r="334" spans="1:4" ht="15" customHeight="1" x14ac:dyDescent="0.35">
      <c r="A334">
        <v>3</v>
      </c>
      <c r="B334" t="s">
        <v>397</v>
      </c>
      <c r="C334" t="s">
        <v>731</v>
      </c>
      <c r="D334" s="47">
        <v>139</v>
      </c>
    </row>
    <row r="335" spans="1:4" ht="15" customHeight="1" x14ac:dyDescent="0.35">
      <c r="A335">
        <v>3</v>
      </c>
      <c r="B335" t="s">
        <v>397</v>
      </c>
      <c r="C335" t="s">
        <v>732</v>
      </c>
      <c r="D335" s="47">
        <v>37</v>
      </c>
    </row>
    <row r="336" spans="1:4" ht="15" customHeight="1" x14ac:dyDescent="0.35">
      <c r="A336">
        <v>3</v>
      </c>
      <c r="B336" t="s">
        <v>397</v>
      </c>
      <c r="C336" t="s">
        <v>733</v>
      </c>
      <c r="D336" s="47">
        <v>325</v>
      </c>
    </row>
    <row r="337" spans="1:4" ht="15" customHeight="1" x14ac:dyDescent="0.35">
      <c r="A337">
        <v>3</v>
      </c>
      <c r="B337" t="s">
        <v>397</v>
      </c>
      <c r="C337" t="s">
        <v>734</v>
      </c>
      <c r="D337" s="47">
        <v>20</v>
      </c>
    </row>
    <row r="338" spans="1:4" ht="15" customHeight="1" x14ac:dyDescent="0.35">
      <c r="A338">
        <v>3</v>
      </c>
      <c r="B338" t="s">
        <v>397</v>
      </c>
      <c r="C338" t="s">
        <v>735</v>
      </c>
      <c r="D338" s="47">
        <v>132</v>
      </c>
    </row>
    <row r="339" spans="1:4" ht="15" customHeight="1" x14ac:dyDescent="0.35">
      <c r="A339">
        <v>3</v>
      </c>
      <c r="B339" t="s">
        <v>397</v>
      </c>
      <c r="C339" t="s">
        <v>736</v>
      </c>
      <c r="D339" s="47">
        <v>149</v>
      </c>
    </row>
    <row r="340" spans="1:4" ht="15" customHeight="1" x14ac:dyDescent="0.35">
      <c r="A340">
        <v>3</v>
      </c>
      <c r="B340" t="s">
        <v>397</v>
      </c>
      <c r="C340" t="s">
        <v>737</v>
      </c>
      <c r="D340" s="47">
        <v>15</v>
      </c>
    </row>
    <row r="341" spans="1:4" ht="15" customHeight="1" x14ac:dyDescent="0.35">
      <c r="A341">
        <v>3</v>
      </c>
      <c r="B341" t="s">
        <v>397</v>
      </c>
      <c r="C341" t="s">
        <v>738</v>
      </c>
      <c r="D341" s="47">
        <v>479</v>
      </c>
    </row>
    <row r="342" spans="1:4" ht="15" customHeight="1" x14ac:dyDescent="0.35">
      <c r="A342">
        <v>3</v>
      </c>
      <c r="B342" t="s">
        <v>397</v>
      </c>
      <c r="C342" t="s">
        <v>739</v>
      </c>
      <c r="D342" s="47">
        <v>82</v>
      </c>
    </row>
    <row r="343" spans="1:4" ht="15" customHeight="1" x14ac:dyDescent="0.35">
      <c r="A343">
        <v>3</v>
      </c>
      <c r="B343" t="s">
        <v>397</v>
      </c>
      <c r="C343" t="s">
        <v>740</v>
      </c>
      <c r="D343" s="47">
        <v>65</v>
      </c>
    </row>
    <row r="344" spans="1:4" ht="15" customHeight="1" x14ac:dyDescent="0.35">
      <c r="A344">
        <v>3</v>
      </c>
      <c r="B344" t="s">
        <v>397</v>
      </c>
      <c r="C344" t="s">
        <v>741</v>
      </c>
      <c r="D344" s="47">
        <v>602</v>
      </c>
    </row>
    <row r="345" spans="1:4" ht="15" customHeight="1" x14ac:dyDescent="0.35">
      <c r="A345">
        <v>3</v>
      </c>
      <c r="B345" t="s">
        <v>397</v>
      </c>
      <c r="C345" t="s">
        <v>742</v>
      </c>
      <c r="D345" s="47">
        <v>171</v>
      </c>
    </row>
    <row r="346" spans="1:4" ht="15" customHeight="1" x14ac:dyDescent="0.35">
      <c r="A346">
        <v>3</v>
      </c>
      <c r="B346" t="s">
        <v>397</v>
      </c>
      <c r="C346" t="s">
        <v>743</v>
      </c>
      <c r="D346" s="47">
        <v>94</v>
      </c>
    </row>
    <row r="347" spans="1:4" ht="15" customHeight="1" x14ac:dyDescent="0.35">
      <c r="A347">
        <v>3</v>
      </c>
      <c r="B347" t="s">
        <v>397</v>
      </c>
      <c r="C347" t="s">
        <v>744</v>
      </c>
      <c r="D347" s="47">
        <v>66</v>
      </c>
    </row>
    <row r="348" spans="1:4" ht="15" customHeight="1" x14ac:dyDescent="0.35">
      <c r="A348">
        <v>3</v>
      </c>
      <c r="B348" t="s">
        <v>397</v>
      </c>
      <c r="C348" t="s">
        <v>752</v>
      </c>
      <c r="D348" s="47">
        <v>212</v>
      </c>
    </row>
    <row r="349" spans="1:4" ht="15" customHeight="1" x14ac:dyDescent="0.35">
      <c r="A349">
        <v>3</v>
      </c>
      <c r="B349" t="s">
        <v>397</v>
      </c>
      <c r="C349" t="s">
        <v>753</v>
      </c>
      <c r="D349" s="47">
        <v>60</v>
      </c>
    </row>
    <row r="350" spans="1:4" ht="15" customHeight="1" x14ac:dyDescent="0.35">
      <c r="A350">
        <v>3</v>
      </c>
      <c r="B350" t="s">
        <v>397</v>
      </c>
      <c r="C350" t="s">
        <v>754</v>
      </c>
      <c r="D350" s="47">
        <v>48</v>
      </c>
    </row>
    <row r="351" spans="1:4" ht="15" customHeight="1" x14ac:dyDescent="0.35">
      <c r="A351">
        <v>3</v>
      </c>
      <c r="B351" t="s">
        <v>397</v>
      </c>
      <c r="C351" t="s">
        <v>755</v>
      </c>
      <c r="D351" s="47">
        <v>22</v>
      </c>
    </row>
    <row r="352" spans="1:4" ht="15" customHeight="1" x14ac:dyDescent="0.35">
      <c r="A352">
        <v>3</v>
      </c>
      <c r="B352" t="s">
        <v>397</v>
      </c>
      <c r="C352" t="s">
        <v>756</v>
      </c>
      <c r="D352" s="47">
        <v>59</v>
      </c>
    </row>
    <row r="353" spans="1:4" ht="15" customHeight="1" x14ac:dyDescent="0.35">
      <c r="A353">
        <v>3</v>
      </c>
      <c r="B353" t="s">
        <v>397</v>
      </c>
      <c r="C353" t="s">
        <v>757</v>
      </c>
      <c r="D353" s="47">
        <v>56</v>
      </c>
    </row>
    <row r="354" spans="1:4" ht="15" customHeight="1" x14ac:dyDescent="0.35">
      <c r="A354">
        <v>3</v>
      </c>
      <c r="B354" t="s">
        <v>397</v>
      </c>
      <c r="C354" t="s">
        <v>758</v>
      </c>
      <c r="D354" s="47">
        <v>292</v>
      </c>
    </row>
    <row r="355" spans="1:4" ht="15" customHeight="1" x14ac:dyDescent="0.35">
      <c r="A355">
        <v>3</v>
      </c>
      <c r="B355" t="s">
        <v>397</v>
      </c>
      <c r="C355" t="s">
        <v>847</v>
      </c>
      <c r="D355" s="47">
        <v>180</v>
      </c>
    </row>
    <row r="356" spans="1:4" ht="15" customHeight="1" x14ac:dyDescent="0.35">
      <c r="A356">
        <v>3</v>
      </c>
      <c r="B356" t="s">
        <v>397</v>
      </c>
      <c r="C356" t="s">
        <v>759</v>
      </c>
      <c r="D356" s="47">
        <v>323</v>
      </c>
    </row>
    <row r="357" spans="1:4" ht="15" customHeight="1" x14ac:dyDescent="0.35">
      <c r="A357">
        <v>3</v>
      </c>
      <c r="B357" t="s">
        <v>397</v>
      </c>
      <c r="C357" t="s">
        <v>761</v>
      </c>
      <c r="D357" s="47">
        <v>896</v>
      </c>
    </row>
    <row r="358" spans="1:4" ht="15" customHeight="1" x14ac:dyDescent="0.35">
      <c r="A358">
        <v>3</v>
      </c>
      <c r="B358" t="s">
        <v>397</v>
      </c>
      <c r="C358" t="s">
        <v>763</v>
      </c>
      <c r="D358" s="47">
        <v>384</v>
      </c>
    </row>
    <row r="359" spans="1:4" ht="15" customHeight="1" x14ac:dyDescent="0.35">
      <c r="A359">
        <v>3</v>
      </c>
      <c r="B359" t="s">
        <v>397</v>
      </c>
      <c r="C359" t="s">
        <v>765</v>
      </c>
      <c r="D359" s="47">
        <v>181</v>
      </c>
    </row>
    <row r="360" spans="1:4" ht="15" customHeight="1" x14ac:dyDescent="0.35">
      <c r="A360">
        <v>3</v>
      </c>
      <c r="B360" t="s">
        <v>397</v>
      </c>
      <c r="C360" t="s">
        <v>766</v>
      </c>
      <c r="D360" s="47">
        <v>7586</v>
      </c>
    </row>
    <row r="361" spans="1:4" ht="15" customHeight="1" x14ac:dyDescent="0.35">
      <c r="A361">
        <v>3</v>
      </c>
      <c r="B361" t="s">
        <v>397</v>
      </c>
      <c r="C361" t="s">
        <v>767</v>
      </c>
      <c r="D361" s="47">
        <v>44</v>
      </c>
    </row>
    <row r="362" spans="1:4" ht="15" customHeight="1" x14ac:dyDescent="0.35">
      <c r="A362">
        <v>3</v>
      </c>
      <c r="B362" t="s">
        <v>397</v>
      </c>
      <c r="C362" t="s">
        <v>768</v>
      </c>
      <c r="D362" s="47">
        <v>118</v>
      </c>
    </row>
    <row r="363" spans="1:4" ht="15" customHeight="1" x14ac:dyDescent="0.35">
      <c r="A363">
        <v>3</v>
      </c>
      <c r="B363" t="s">
        <v>397</v>
      </c>
      <c r="C363" t="s">
        <v>769</v>
      </c>
      <c r="D363" s="47">
        <v>67</v>
      </c>
    </row>
    <row r="364" spans="1:4" ht="15" customHeight="1" x14ac:dyDescent="0.35">
      <c r="A364">
        <v>3</v>
      </c>
      <c r="B364" t="s">
        <v>397</v>
      </c>
      <c r="C364" t="s">
        <v>770</v>
      </c>
      <c r="D364" s="47">
        <v>41</v>
      </c>
    </row>
    <row r="365" spans="1:4" ht="15" customHeight="1" x14ac:dyDescent="0.35">
      <c r="A365">
        <v>3</v>
      </c>
      <c r="B365" t="s">
        <v>397</v>
      </c>
      <c r="C365" t="s">
        <v>771</v>
      </c>
      <c r="D365" s="47">
        <v>483</v>
      </c>
    </row>
    <row r="366" spans="1:4" ht="15" customHeight="1" x14ac:dyDescent="0.35">
      <c r="A366">
        <v>3</v>
      </c>
      <c r="B366" t="s">
        <v>397</v>
      </c>
      <c r="C366" t="s">
        <v>772</v>
      </c>
      <c r="D366" s="47">
        <v>68</v>
      </c>
    </row>
    <row r="367" spans="1:4" ht="15" customHeight="1" x14ac:dyDescent="0.35">
      <c r="A367">
        <v>3</v>
      </c>
      <c r="B367" t="s">
        <v>397</v>
      </c>
      <c r="C367" t="s">
        <v>773</v>
      </c>
      <c r="D367" s="47">
        <v>102</v>
      </c>
    </row>
    <row r="368" spans="1:4" ht="15" customHeight="1" x14ac:dyDescent="0.35">
      <c r="A368">
        <v>3</v>
      </c>
      <c r="B368" t="s">
        <v>397</v>
      </c>
      <c r="C368" t="s">
        <v>774</v>
      </c>
      <c r="D368" s="47">
        <v>303</v>
      </c>
    </row>
    <row r="369" spans="1:4" ht="15" customHeight="1" x14ac:dyDescent="0.35">
      <c r="A369">
        <v>3</v>
      </c>
      <c r="B369" t="s">
        <v>397</v>
      </c>
      <c r="C369" t="s">
        <v>775</v>
      </c>
      <c r="D369" s="47">
        <v>6988</v>
      </c>
    </row>
    <row r="370" spans="1:4" ht="15" customHeight="1" x14ac:dyDescent="0.35">
      <c r="A370">
        <v>3</v>
      </c>
      <c r="B370" t="s">
        <v>397</v>
      </c>
      <c r="C370" t="s">
        <v>776</v>
      </c>
      <c r="D370" s="47">
        <v>1042</v>
      </c>
    </row>
    <row r="371" spans="1:4" ht="15" customHeight="1" x14ac:dyDescent="0.35">
      <c r="A371">
        <v>3</v>
      </c>
      <c r="B371" t="s">
        <v>397</v>
      </c>
      <c r="C371" t="s">
        <v>777</v>
      </c>
      <c r="D371" s="47">
        <v>44</v>
      </c>
    </row>
    <row r="372" spans="1:4" ht="15" customHeight="1" x14ac:dyDescent="0.35">
      <c r="A372">
        <v>3</v>
      </c>
      <c r="B372" t="s">
        <v>397</v>
      </c>
      <c r="C372" t="s">
        <v>778</v>
      </c>
      <c r="D372" s="47">
        <v>57</v>
      </c>
    </row>
    <row r="373" spans="1:4" x14ac:dyDescent="0.35">
      <c r="A373">
        <v>3</v>
      </c>
      <c r="B373" t="s">
        <v>397</v>
      </c>
      <c r="C373" t="s">
        <v>779</v>
      </c>
      <c r="D373" s="47">
        <v>218</v>
      </c>
    </row>
    <row r="374" spans="1:4" ht="15" customHeight="1" x14ac:dyDescent="0.35">
      <c r="A374">
        <v>3</v>
      </c>
      <c r="B374" t="s">
        <v>397</v>
      </c>
      <c r="C374" t="s">
        <v>781</v>
      </c>
      <c r="D374" s="47">
        <v>676</v>
      </c>
    </row>
    <row r="375" spans="1:4" ht="15" customHeight="1" x14ac:dyDescent="0.35">
      <c r="A375">
        <v>3</v>
      </c>
      <c r="B375" t="s">
        <v>397</v>
      </c>
      <c r="C375" t="s">
        <v>780</v>
      </c>
      <c r="D375" s="47">
        <v>571</v>
      </c>
    </row>
    <row r="376" spans="1:4" ht="15" customHeight="1" x14ac:dyDescent="0.35">
      <c r="A376">
        <v>3</v>
      </c>
      <c r="B376" t="s">
        <v>397</v>
      </c>
      <c r="C376" t="s">
        <v>782</v>
      </c>
      <c r="D376" s="47">
        <v>67</v>
      </c>
    </row>
    <row r="377" spans="1:4" ht="15" customHeight="1" x14ac:dyDescent="0.35">
      <c r="A377">
        <v>3</v>
      </c>
      <c r="B377" t="s">
        <v>397</v>
      </c>
      <c r="C377" t="s">
        <v>783</v>
      </c>
      <c r="D377" s="47">
        <v>1642</v>
      </c>
    </row>
    <row r="378" spans="1:4" ht="15" customHeight="1" x14ac:dyDescent="0.35">
      <c r="A378">
        <v>3</v>
      </c>
      <c r="B378" t="s">
        <v>397</v>
      </c>
      <c r="C378" t="s">
        <v>784</v>
      </c>
      <c r="D378" s="47">
        <v>28</v>
      </c>
    </row>
    <row r="379" spans="1:4" ht="15" customHeight="1" x14ac:dyDescent="0.35">
      <c r="A379">
        <v>3</v>
      </c>
      <c r="B379" t="s">
        <v>397</v>
      </c>
      <c r="C379" t="s">
        <v>848</v>
      </c>
      <c r="D379" s="47">
        <v>732</v>
      </c>
    </row>
    <row r="380" spans="1:4" ht="15" customHeight="1" x14ac:dyDescent="0.35">
      <c r="A380">
        <v>3</v>
      </c>
      <c r="B380" t="s">
        <v>397</v>
      </c>
      <c r="C380" t="s">
        <v>785</v>
      </c>
      <c r="D380" s="47">
        <v>878</v>
      </c>
    </row>
    <row r="381" spans="1:4" ht="15" customHeight="1" x14ac:dyDescent="0.35">
      <c r="A381">
        <v>3</v>
      </c>
      <c r="B381" t="s">
        <v>397</v>
      </c>
      <c r="C381" t="s">
        <v>786</v>
      </c>
      <c r="D381" s="47">
        <v>15271</v>
      </c>
    </row>
    <row r="382" spans="1:4" ht="15" customHeight="1" x14ac:dyDescent="0.35">
      <c r="A382">
        <v>3</v>
      </c>
      <c r="B382" t="s">
        <v>397</v>
      </c>
      <c r="C382" t="s">
        <v>787</v>
      </c>
      <c r="D382" s="47">
        <v>286</v>
      </c>
    </row>
    <row r="383" spans="1:4" ht="15" customHeight="1" x14ac:dyDescent="0.35">
      <c r="A383">
        <v>3</v>
      </c>
      <c r="B383" t="s">
        <v>397</v>
      </c>
      <c r="C383" t="s">
        <v>788</v>
      </c>
      <c r="D383" s="47">
        <v>118</v>
      </c>
    </row>
    <row r="384" spans="1:4" ht="15" customHeight="1" x14ac:dyDescent="0.35">
      <c r="A384">
        <v>3</v>
      </c>
      <c r="B384" t="s">
        <v>397</v>
      </c>
      <c r="C384" t="s">
        <v>789</v>
      </c>
      <c r="D384" s="47">
        <v>201</v>
      </c>
    </row>
    <row r="385" spans="1:4" ht="15" customHeight="1" x14ac:dyDescent="0.35">
      <c r="A385">
        <v>3</v>
      </c>
      <c r="B385" t="s">
        <v>397</v>
      </c>
      <c r="C385" t="s">
        <v>790</v>
      </c>
      <c r="D385" s="47">
        <v>112</v>
      </c>
    </row>
    <row r="386" spans="1:4" ht="15" customHeight="1" x14ac:dyDescent="0.35">
      <c r="A386">
        <v>3</v>
      </c>
      <c r="B386" t="s">
        <v>397</v>
      </c>
      <c r="C386" t="s">
        <v>791</v>
      </c>
      <c r="D386" s="47">
        <v>341</v>
      </c>
    </row>
    <row r="387" spans="1:4" ht="15" customHeight="1" x14ac:dyDescent="0.35">
      <c r="A387">
        <v>3</v>
      </c>
      <c r="B387" t="s">
        <v>397</v>
      </c>
      <c r="C387" t="s">
        <v>792</v>
      </c>
      <c r="D387" s="47">
        <v>257</v>
      </c>
    </row>
    <row r="388" spans="1:4" ht="15" customHeight="1" x14ac:dyDescent="0.35">
      <c r="A388">
        <v>3</v>
      </c>
      <c r="B388" t="s">
        <v>397</v>
      </c>
      <c r="C388" t="s">
        <v>793</v>
      </c>
      <c r="D388" s="47">
        <v>38</v>
      </c>
    </row>
    <row r="389" spans="1:4" ht="15" customHeight="1" x14ac:dyDescent="0.35">
      <c r="A389">
        <v>3</v>
      </c>
      <c r="B389" t="s">
        <v>397</v>
      </c>
      <c r="C389" t="s">
        <v>794</v>
      </c>
      <c r="D389" s="47">
        <v>249</v>
      </c>
    </row>
    <row r="390" spans="1:4" ht="15" customHeight="1" x14ac:dyDescent="0.35">
      <c r="A390">
        <v>3</v>
      </c>
      <c r="B390" t="s">
        <v>397</v>
      </c>
      <c r="C390" t="s">
        <v>795</v>
      </c>
      <c r="D390" s="47">
        <v>293</v>
      </c>
    </row>
    <row r="391" spans="1:4" ht="15" customHeight="1" x14ac:dyDescent="0.35">
      <c r="A391">
        <v>3</v>
      </c>
      <c r="B391" t="s">
        <v>397</v>
      </c>
      <c r="C391" t="s">
        <v>796</v>
      </c>
      <c r="D391" s="47">
        <v>107</v>
      </c>
    </row>
    <row r="392" spans="1:4" ht="15" customHeight="1" x14ac:dyDescent="0.35">
      <c r="A392">
        <v>3</v>
      </c>
      <c r="B392" t="s">
        <v>397</v>
      </c>
      <c r="C392" t="s">
        <v>797</v>
      </c>
      <c r="D392" s="47">
        <v>222</v>
      </c>
    </row>
    <row r="393" spans="1:4" ht="15" customHeight="1" x14ac:dyDescent="0.35">
      <c r="A393">
        <v>3</v>
      </c>
      <c r="B393" t="s">
        <v>397</v>
      </c>
      <c r="C393" t="s">
        <v>798</v>
      </c>
      <c r="D393" s="47">
        <v>82</v>
      </c>
    </row>
    <row r="394" spans="1:4" ht="15" customHeight="1" x14ac:dyDescent="0.35">
      <c r="A394">
        <v>3</v>
      </c>
      <c r="B394" t="s">
        <v>397</v>
      </c>
      <c r="C394" t="s">
        <v>799</v>
      </c>
      <c r="D394" s="47">
        <v>84</v>
      </c>
    </row>
    <row r="395" spans="1:4" ht="15" customHeight="1" x14ac:dyDescent="0.35">
      <c r="A395">
        <v>3</v>
      </c>
      <c r="B395" t="s">
        <v>397</v>
      </c>
      <c r="C395" t="s">
        <v>800</v>
      </c>
      <c r="D395" s="47">
        <v>59</v>
      </c>
    </row>
    <row r="396" spans="1:4" ht="15" customHeight="1" x14ac:dyDescent="0.35">
      <c r="A396">
        <v>3</v>
      </c>
      <c r="B396" t="s">
        <v>397</v>
      </c>
      <c r="C396" t="s">
        <v>801</v>
      </c>
      <c r="D396" s="47">
        <v>110</v>
      </c>
    </row>
    <row r="397" spans="1:4" ht="15" customHeight="1" x14ac:dyDescent="0.35">
      <c r="A397">
        <v>3</v>
      </c>
      <c r="B397" t="s">
        <v>397</v>
      </c>
      <c r="C397" t="s">
        <v>802</v>
      </c>
      <c r="D397" s="47">
        <v>202</v>
      </c>
    </row>
    <row r="398" spans="1:4" ht="15" customHeight="1" x14ac:dyDescent="0.35">
      <c r="A398">
        <v>3</v>
      </c>
      <c r="B398" t="s">
        <v>397</v>
      </c>
      <c r="C398" t="s">
        <v>842</v>
      </c>
      <c r="D398" s="47">
        <v>133</v>
      </c>
    </row>
    <row r="399" spans="1:4" ht="15" customHeight="1" x14ac:dyDescent="0.35">
      <c r="A399">
        <v>3</v>
      </c>
      <c r="B399" t="s">
        <v>397</v>
      </c>
      <c r="C399" t="s">
        <v>803</v>
      </c>
      <c r="D399" s="47">
        <v>57</v>
      </c>
    </row>
    <row r="400" spans="1:4" ht="15" customHeight="1" x14ac:dyDescent="0.35">
      <c r="A400">
        <v>3</v>
      </c>
      <c r="B400" t="s">
        <v>397</v>
      </c>
      <c r="C400" t="s">
        <v>804</v>
      </c>
      <c r="D400" s="47">
        <v>23</v>
      </c>
    </row>
    <row r="401" spans="1:4" ht="15" customHeight="1" x14ac:dyDescent="0.35">
      <c r="A401">
        <v>3</v>
      </c>
      <c r="B401" t="s">
        <v>397</v>
      </c>
      <c r="C401" t="s">
        <v>805</v>
      </c>
      <c r="D401" s="47">
        <v>1082</v>
      </c>
    </row>
    <row r="402" spans="1:4" ht="15" customHeight="1" x14ac:dyDescent="0.35">
      <c r="A402">
        <v>3</v>
      </c>
      <c r="B402" t="s">
        <v>397</v>
      </c>
      <c r="C402" t="s">
        <v>806</v>
      </c>
      <c r="D402" s="47">
        <v>93</v>
      </c>
    </row>
    <row r="403" spans="1:4" ht="15" customHeight="1" x14ac:dyDescent="0.35">
      <c r="A403">
        <v>3</v>
      </c>
      <c r="B403" t="s">
        <v>397</v>
      </c>
      <c r="C403" t="s">
        <v>807</v>
      </c>
      <c r="D403" s="47">
        <v>496</v>
      </c>
    </row>
    <row r="404" spans="1:4" ht="15" customHeight="1" x14ac:dyDescent="0.35">
      <c r="A404">
        <v>3</v>
      </c>
      <c r="B404" t="s">
        <v>397</v>
      </c>
      <c r="C404" t="s">
        <v>808</v>
      </c>
      <c r="D404" s="47">
        <v>129</v>
      </c>
    </row>
    <row r="405" spans="1:4" ht="15" customHeight="1" x14ac:dyDescent="0.35">
      <c r="A405">
        <v>3</v>
      </c>
      <c r="B405" t="s">
        <v>397</v>
      </c>
      <c r="C405" t="s">
        <v>809</v>
      </c>
      <c r="D405" s="47">
        <v>102</v>
      </c>
    </row>
    <row r="406" spans="1:4" ht="15" customHeight="1" x14ac:dyDescent="0.35">
      <c r="A406">
        <v>3</v>
      </c>
      <c r="B406" t="s">
        <v>397</v>
      </c>
      <c r="C406" t="s">
        <v>810</v>
      </c>
      <c r="D406" s="47">
        <v>344</v>
      </c>
    </row>
    <row r="407" spans="1:4" ht="15" customHeight="1" x14ac:dyDescent="0.35">
      <c r="A407">
        <v>3</v>
      </c>
      <c r="B407" t="s">
        <v>397</v>
      </c>
      <c r="C407" t="s">
        <v>811</v>
      </c>
      <c r="D407" s="47">
        <v>470</v>
      </c>
    </row>
    <row r="408" spans="1:4" ht="15" customHeight="1" x14ac:dyDescent="0.35">
      <c r="A408">
        <v>3</v>
      </c>
      <c r="B408" t="s">
        <v>397</v>
      </c>
      <c r="C408" t="s">
        <v>812</v>
      </c>
      <c r="D408" s="47">
        <v>759</v>
      </c>
    </row>
    <row r="409" spans="1:4" ht="15" customHeight="1" x14ac:dyDescent="0.35">
      <c r="A409">
        <v>3</v>
      </c>
      <c r="B409" t="s">
        <v>397</v>
      </c>
      <c r="C409" t="s">
        <v>813</v>
      </c>
      <c r="D409" s="47">
        <v>456</v>
      </c>
    </row>
    <row r="410" spans="1:4" ht="15" customHeight="1" x14ac:dyDescent="0.35">
      <c r="A410">
        <v>3</v>
      </c>
      <c r="B410" t="s">
        <v>397</v>
      </c>
      <c r="C410" t="s">
        <v>814</v>
      </c>
      <c r="D410" s="47">
        <v>516</v>
      </c>
    </row>
    <row r="411" spans="1:4" ht="15" customHeight="1" x14ac:dyDescent="0.35">
      <c r="A411">
        <v>3</v>
      </c>
      <c r="B411" t="s">
        <v>397</v>
      </c>
      <c r="C411" t="s">
        <v>815</v>
      </c>
      <c r="D411" s="47">
        <v>80</v>
      </c>
    </row>
    <row r="412" spans="1:4" ht="15" customHeight="1" x14ac:dyDescent="0.35">
      <c r="A412">
        <v>3</v>
      </c>
      <c r="B412" t="s">
        <v>397</v>
      </c>
      <c r="C412" t="s">
        <v>816</v>
      </c>
      <c r="D412" s="47">
        <v>1018</v>
      </c>
    </row>
    <row r="413" spans="1:4" ht="15" customHeight="1" x14ac:dyDescent="0.35">
      <c r="A413">
        <v>3</v>
      </c>
      <c r="B413" t="s">
        <v>397</v>
      </c>
      <c r="C413" t="s">
        <v>817</v>
      </c>
      <c r="D413" s="47">
        <v>2481</v>
      </c>
    </row>
    <row r="414" spans="1:4" ht="15" customHeight="1" x14ac:dyDescent="0.35">
      <c r="A414">
        <v>3</v>
      </c>
      <c r="B414" t="s">
        <v>397</v>
      </c>
      <c r="C414" t="s">
        <v>818</v>
      </c>
      <c r="D414" s="47">
        <v>65</v>
      </c>
    </row>
    <row r="415" spans="1:4" ht="15" customHeight="1" x14ac:dyDescent="0.35">
      <c r="A415">
        <v>3</v>
      </c>
      <c r="B415" t="s">
        <v>397</v>
      </c>
      <c r="C415" t="s">
        <v>819</v>
      </c>
      <c r="D415" s="47">
        <v>2249</v>
      </c>
    </row>
    <row r="416" spans="1:4" ht="15" customHeight="1" x14ac:dyDescent="0.35">
      <c r="A416">
        <v>3</v>
      </c>
      <c r="B416" t="s">
        <v>397</v>
      </c>
      <c r="C416" t="s">
        <v>820</v>
      </c>
      <c r="D416" s="47">
        <v>374</v>
      </c>
    </row>
    <row r="417" spans="1:4" ht="15" customHeight="1" x14ac:dyDescent="0.35">
      <c r="A417">
        <v>3</v>
      </c>
      <c r="B417" t="s">
        <v>397</v>
      </c>
      <c r="C417" t="s">
        <v>821</v>
      </c>
      <c r="D417" s="47">
        <v>220</v>
      </c>
    </row>
    <row r="418" spans="1:4" ht="15" customHeight="1" x14ac:dyDescent="0.35">
      <c r="A418">
        <v>3</v>
      </c>
      <c r="B418" t="s">
        <v>397</v>
      </c>
      <c r="C418" t="s">
        <v>822</v>
      </c>
      <c r="D418" s="47">
        <v>154</v>
      </c>
    </row>
    <row r="419" spans="1:4" ht="15" customHeight="1" x14ac:dyDescent="0.35">
      <c r="A419">
        <v>3</v>
      </c>
      <c r="B419" t="s">
        <v>397</v>
      </c>
      <c r="C419" t="s">
        <v>825</v>
      </c>
      <c r="D419" s="47">
        <v>1270</v>
      </c>
    </row>
    <row r="420" spans="1:4" ht="15" customHeight="1" x14ac:dyDescent="0.35">
      <c r="A420">
        <v>3</v>
      </c>
      <c r="B420" t="s">
        <v>397</v>
      </c>
      <c r="C420" t="s">
        <v>823</v>
      </c>
      <c r="D420" s="47">
        <v>184</v>
      </c>
    </row>
    <row r="421" spans="1:4" ht="15" customHeight="1" x14ac:dyDescent="0.35">
      <c r="A421">
        <v>3</v>
      </c>
      <c r="B421" t="s">
        <v>397</v>
      </c>
      <c r="C421" t="s">
        <v>824</v>
      </c>
      <c r="D421" s="47">
        <v>43</v>
      </c>
    </row>
    <row r="422" spans="1:4" ht="15" customHeight="1" x14ac:dyDescent="0.35">
      <c r="A422">
        <v>3</v>
      </c>
      <c r="B422" t="s">
        <v>397</v>
      </c>
      <c r="C422" t="s">
        <v>849</v>
      </c>
      <c r="D422" s="47">
        <v>77</v>
      </c>
    </row>
    <row r="423" spans="1:4" ht="15" customHeight="1" x14ac:dyDescent="0.35">
      <c r="A423">
        <v>3</v>
      </c>
      <c r="B423" t="s">
        <v>397</v>
      </c>
      <c r="C423" t="s">
        <v>826</v>
      </c>
      <c r="D423" s="47">
        <v>429</v>
      </c>
    </row>
    <row r="424" spans="1:4" ht="15" customHeight="1" x14ac:dyDescent="0.35">
      <c r="A424">
        <v>3</v>
      </c>
      <c r="B424" t="s">
        <v>397</v>
      </c>
      <c r="C424" t="s">
        <v>827</v>
      </c>
      <c r="D424" s="47">
        <v>20</v>
      </c>
    </row>
    <row r="425" spans="1:4" ht="15" customHeight="1" x14ac:dyDescent="0.35">
      <c r="A425">
        <v>3</v>
      </c>
      <c r="B425" t="s">
        <v>397</v>
      </c>
      <c r="C425" t="s">
        <v>828</v>
      </c>
      <c r="D425" s="47">
        <v>380</v>
      </c>
    </row>
    <row r="426" spans="1:4" ht="15" customHeight="1" x14ac:dyDescent="0.35">
      <c r="A426">
        <v>3</v>
      </c>
      <c r="B426" t="s">
        <v>397</v>
      </c>
      <c r="C426" t="s">
        <v>829</v>
      </c>
      <c r="D426" s="47">
        <v>443</v>
      </c>
    </row>
    <row r="427" spans="1:4" ht="15" customHeight="1" x14ac:dyDescent="0.35">
      <c r="A427">
        <v>3</v>
      </c>
      <c r="B427" t="s">
        <v>397</v>
      </c>
      <c r="C427" t="s">
        <v>830</v>
      </c>
      <c r="D427" s="47">
        <v>194</v>
      </c>
    </row>
    <row r="428" spans="1:4" ht="15" customHeight="1" x14ac:dyDescent="0.35">
      <c r="A428">
        <v>3</v>
      </c>
      <c r="B428" t="s">
        <v>397</v>
      </c>
      <c r="C428" t="s">
        <v>831</v>
      </c>
      <c r="D428" s="47">
        <v>793</v>
      </c>
    </row>
    <row r="429" spans="1:4" ht="15" customHeight="1" x14ac:dyDescent="0.35">
      <c r="A429">
        <v>3</v>
      </c>
      <c r="B429" t="s">
        <v>397</v>
      </c>
      <c r="C429" t="s">
        <v>832</v>
      </c>
      <c r="D429" s="47">
        <v>211</v>
      </c>
    </row>
    <row r="430" spans="1:4" ht="15" customHeight="1" x14ac:dyDescent="0.35">
      <c r="A430">
        <v>3</v>
      </c>
      <c r="B430" t="s">
        <v>397</v>
      </c>
      <c r="C430" t="s">
        <v>833</v>
      </c>
      <c r="D430" s="47">
        <v>332</v>
      </c>
    </row>
    <row r="431" spans="1:4" ht="15" customHeight="1" x14ac:dyDescent="0.35">
      <c r="A431">
        <v>3</v>
      </c>
      <c r="B431" t="s">
        <v>397</v>
      </c>
      <c r="C431" t="s">
        <v>834</v>
      </c>
      <c r="D431" s="47">
        <v>114</v>
      </c>
    </row>
    <row r="432" spans="1:4" ht="15" customHeight="1" x14ac:dyDescent="0.35">
      <c r="A432">
        <v>3</v>
      </c>
      <c r="B432" t="s">
        <v>397</v>
      </c>
      <c r="C432" t="s">
        <v>835</v>
      </c>
      <c r="D432" s="47">
        <v>11</v>
      </c>
    </row>
    <row r="433" spans="1:4" ht="15" customHeight="1" x14ac:dyDescent="0.35">
      <c r="A433">
        <v>3</v>
      </c>
      <c r="B433" t="s">
        <v>397</v>
      </c>
      <c r="C433" t="s">
        <v>836</v>
      </c>
      <c r="D433" s="47">
        <v>21</v>
      </c>
    </row>
    <row r="434" spans="1:4" ht="15" customHeight="1" x14ac:dyDescent="0.35">
      <c r="A434">
        <v>3</v>
      </c>
      <c r="B434" t="s">
        <v>397</v>
      </c>
      <c r="C434" t="s">
        <v>837</v>
      </c>
      <c r="D434" s="47">
        <v>122</v>
      </c>
    </row>
    <row r="435" spans="1:4" ht="15" customHeight="1" x14ac:dyDescent="0.35">
      <c r="A435">
        <v>3</v>
      </c>
      <c r="B435" t="s">
        <v>397</v>
      </c>
      <c r="C435" t="s">
        <v>838</v>
      </c>
      <c r="D435" s="47">
        <v>58</v>
      </c>
    </row>
    <row r="436" spans="1:4" ht="15" customHeight="1" x14ac:dyDescent="0.35">
      <c r="A436">
        <v>3</v>
      </c>
      <c r="B436" t="s">
        <v>397</v>
      </c>
      <c r="C436" t="s">
        <v>839</v>
      </c>
      <c r="D436" s="47">
        <v>239</v>
      </c>
    </row>
    <row r="437" spans="1:4" ht="15" customHeight="1" x14ac:dyDescent="0.35">
      <c r="A437">
        <v>3</v>
      </c>
      <c r="B437" t="s">
        <v>397</v>
      </c>
      <c r="C437" t="s">
        <v>840</v>
      </c>
      <c r="D437" s="47">
        <v>170</v>
      </c>
    </row>
    <row r="438" spans="1:4" ht="15" customHeight="1" x14ac:dyDescent="0.35">
      <c r="A438">
        <v>4</v>
      </c>
      <c r="B438" t="s">
        <v>395</v>
      </c>
      <c r="C438" t="s">
        <v>850</v>
      </c>
      <c r="D438" s="47">
        <v>48</v>
      </c>
    </row>
    <row r="439" spans="1:4" ht="15" customHeight="1" x14ac:dyDescent="0.35">
      <c r="A439">
        <v>4</v>
      </c>
      <c r="B439" t="s">
        <v>395</v>
      </c>
      <c r="C439" t="s">
        <v>851</v>
      </c>
      <c r="D439" s="47">
        <v>59</v>
      </c>
    </row>
    <row r="440" spans="1:4" ht="15" customHeight="1" x14ac:dyDescent="0.35">
      <c r="A440">
        <v>4</v>
      </c>
      <c r="B440" t="s">
        <v>395</v>
      </c>
      <c r="C440" t="s">
        <v>852</v>
      </c>
      <c r="D440" s="47">
        <v>29</v>
      </c>
    </row>
    <row r="441" spans="1:4" ht="15" customHeight="1" x14ac:dyDescent="0.35">
      <c r="A441">
        <v>4</v>
      </c>
      <c r="B441" t="s">
        <v>395</v>
      </c>
      <c r="C441" t="s">
        <v>853</v>
      </c>
      <c r="D441" s="47">
        <v>60</v>
      </c>
    </row>
    <row r="442" spans="1:4" ht="15" customHeight="1" x14ac:dyDescent="0.35">
      <c r="A442">
        <v>4</v>
      </c>
      <c r="B442" t="s">
        <v>395</v>
      </c>
      <c r="C442" t="s">
        <v>854</v>
      </c>
      <c r="D442" s="47">
        <v>163</v>
      </c>
    </row>
    <row r="443" spans="1:4" ht="15" customHeight="1" x14ac:dyDescent="0.35">
      <c r="A443">
        <v>4</v>
      </c>
      <c r="B443" t="s">
        <v>395</v>
      </c>
      <c r="C443" t="s">
        <v>855</v>
      </c>
      <c r="D443" s="47">
        <v>943</v>
      </c>
    </row>
    <row r="444" spans="1:4" ht="15" customHeight="1" x14ac:dyDescent="0.35">
      <c r="A444">
        <v>4</v>
      </c>
      <c r="B444" t="s">
        <v>395</v>
      </c>
      <c r="C444" t="s">
        <v>856</v>
      </c>
      <c r="D444" s="47">
        <v>513</v>
      </c>
    </row>
    <row r="445" spans="1:4" ht="15" customHeight="1" x14ac:dyDescent="0.35">
      <c r="A445">
        <v>4</v>
      </c>
      <c r="B445" t="s">
        <v>395</v>
      </c>
      <c r="C445" t="s">
        <v>857</v>
      </c>
      <c r="D445" s="47">
        <v>49</v>
      </c>
    </row>
    <row r="446" spans="1:4" ht="15" customHeight="1" x14ac:dyDescent="0.35">
      <c r="A446">
        <v>4</v>
      </c>
      <c r="B446" t="s">
        <v>395</v>
      </c>
      <c r="C446" t="s">
        <v>858</v>
      </c>
      <c r="D446" s="47">
        <v>313</v>
      </c>
    </row>
    <row r="447" spans="1:4" ht="15" customHeight="1" x14ac:dyDescent="0.35">
      <c r="A447">
        <v>4</v>
      </c>
      <c r="B447" t="s">
        <v>395</v>
      </c>
      <c r="C447" t="s">
        <v>859</v>
      </c>
      <c r="D447" s="47">
        <v>13</v>
      </c>
    </row>
    <row r="448" spans="1:4" ht="15" customHeight="1" x14ac:dyDescent="0.35">
      <c r="A448">
        <v>4</v>
      </c>
      <c r="B448" t="s">
        <v>395</v>
      </c>
      <c r="C448" t="s">
        <v>860</v>
      </c>
      <c r="D448" s="47">
        <v>320</v>
      </c>
    </row>
    <row r="449" spans="1:4" ht="15" customHeight="1" x14ac:dyDescent="0.35">
      <c r="A449">
        <v>4</v>
      </c>
      <c r="B449" t="s">
        <v>395</v>
      </c>
      <c r="C449" t="s">
        <v>861</v>
      </c>
      <c r="D449" s="47">
        <v>126</v>
      </c>
    </row>
    <row r="450" spans="1:4" ht="15" customHeight="1" x14ac:dyDescent="0.35">
      <c r="A450">
        <v>4</v>
      </c>
      <c r="B450" t="s">
        <v>395</v>
      </c>
      <c r="C450" t="s">
        <v>862</v>
      </c>
      <c r="D450" s="47">
        <v>86</v>
      </c>
    </row>
    <row r="451" spans="1:4" ht="15" customHeight="1" x14ac:dyDescent="0.35">
      <c r="A451">
        <v>4</v>
      </c>
      <c r="B451" t="s">
        <v>395</v>
      </c>
      <c r="C451" t="s">
        <v>863</v>
      </c>
      <c r="D451" s="47">
        <v>55</v>
      </c>
    </row>
    <row r="452" spans="1:4" ht="15" customHeight="1" x14ac:dyDescent="0.35">
      <c r="A452">
        <v>4</v>
      </c>
      <c r="B452" t="s">
        <v>395</v>
      </c>
      <c r="C452" t="s">
        <v>864</v>
      </c>
      <c r="D452" s="47">
        <v>70</v>
      </c>
    </row>
    <row r="453" spans="1:4" ht="15" customHeight="1" x14ac:dyDescent="0.35">
      <c r="A453">
        <v>4</v>
      </c>
      <c r="B453" t="s">
        <v>395</v>
      </c>
      <c r="C453" t="s">
        <v>865</v>
      </c>
      <c r="D453" s="47">
        <v>157</v>
      </c>
    </row>
    <row r="454" spans="1:4" ht="15" customHeight="1" x14ac:dyDescent="0.35">
      <c r="A454">
        <v>4</v>
      </c>
      <c r="B454" t="s">
        <v>395</v>
      </c>
      <c r="C454" t="s">
        <v>866</v>
      </c>
      <c r="D454" s="47">
        <v>14</v>
      </c>
    </row>
    <row r="455" spans="1:4" ht="15" customHeight="1" x14ac:dyDescent="0.35">
      <c r="A455">
        <v>4</v>
      </c>
      <c r="B455" t="s">
        <v>395</v>
      </c>
      <c r="C455" t="s">
        <v>867</v>
      </c>
      <c r="D455" s="47">
        <v>57</v>
      </c>
    </row>
    <row r="456" spans="1:4" ht="15" customHeight="1" x14ac:dyDescent="0.35">
      <c r="A456">
        <v>4</v>
      </c>
      <c r="B456" t="s">
        <v>395</v>
      </c>
      <c r="C456" t="s">
        <v>868</v>
      </c>
      <c r="D456" s="47">
        <v>1289</v>
      </c>
    </row>
    <row r="457" spans="1:4" ht="15" customHeight="1" x14ac:dyDescent="0.35">
      <c r="A457">
        <v>4</v>
      </c>
      <c r="B457" t="s">
        <v>395</v>
      </c>
      <c r="C457" t="s">
        <v>869</v>
      </c>
      <c r="D457" s="47">
        <v>685</v>
      </c>
    </row>
    <row r="458" spans="1:4" ht="15" customHeight="1" x14ac:dyDescent="0.35">
      <c r="A458">
        <v>4</v>
      </c>
      <c r="B458" t="s">
        <v>395</v>
      </c>
      <c r="C458" t="s">
        <v>870</v>
      </c>
      <c r="D458" s="47">
        <v>172</v>
      </c>
    </row>
    <row r="459" spans="1:4" ht="15" customHeight="1" x14ac:dyDescent="0.35">
      <c r="A459">
        <v>4</v>
      </c>
      <c r="B459" t="s">
        <v>395</v>
      </c>
      <c r="C459" t="s">
        <v>871</v>
      </c>
      <c r="D459" s="47">
        <v>12735</v>
      </c>
    </row>
    <row r="460" spans="1:4" ht="15" customHeight="1" x14ac:dyDescent="0.35">
      <c r="A460">
        <v>4</v>
      </c>
      <c r="B460" t="s">
        <v>395</v>
      </c>
      <c r="C460" t="s">
        <v>872</v>
      </c>
      <c r="D460" s="47">
        <v>153</v>
      </c>
    </row>
    <row r="461" spans="1:4" ht="15" customHeight="1" x14ac:dyDescent="0.35">
      <c r="A461">
        <v>4</v>
      </c>
      <c r="B461" t="s">
        <v>395</v>
      </c>
      <c r="C461" t="s">
        <v>873</v>
      </c>
      <c r="D461" s="47">
        <v>10</v>
      </c>
    </row>
    <row r="462" spans="1:4" ht="15" customHeight="1" x14ac:dyDescent="0.35">
      <c r="A462">
        <v>4</v>
      </c>
      <c r="B462" t="s">
        <v>395</v>
      </c>
      <c r="C462" t="s">
        <v>874</v>
      </c>
      <c r="D462" s="47">
        <v>156</v>
      </c>
    </row>
    <row r="463" spans="1:4" ht="15" customHeight="1" x14ac:dyDescent="0.35">
      <c r="A463">
        <v>4</v>
      </c>
      <c r="B463" t="s">
        <v>395</v>
      </c>
      <c r="C463" t="s">
        <v>875</v>
      </c>
      <c r="D463" s="47">
        <v>50</v>
      </c>
    </row>
    <row r="464" spans="1:4" ht="15" customHeight="1" x14ac:dyDescent="0.35">
      <c r="A464">
        <v>4</v>
      </c>
      <c r="B464" t="s">
        <v>395</v>
      </c>
      <c r="C464" t="s">
        <v>876</v>
      </c>
      <c r="D464" s="47">
        <v>24</v>
      </c>
    </row>
    <row r="465" spans="1:4" ht="15" customHeight="1" x14ac:dyDescent="0.35">
      <c r="A465">
        <v>4</v>
      </c>
      <c r="B465" t="s">
        <v>395</v>
      </c>
      <c r="C465" t="s">
        <v>877</v>
      </c>
      <c r="D465" s="47">
        <v>380</v>
      </c>
    </row>
    <row r="466" spans="1:4" ht="15" customHeight="1" x14ac:dyDescent="0.35">
      <c r="A466">
        <v>4</v>
      </c>
      <c r="B466" t="s">
        <v>395</v>
      </c>
      <c r="C466" t="s">
        <v>878</v>
      </c>
      <c r="D466" s="47">
        <v>150</v>
      </c>
    </row>
    <row r="467" spans="1:4" ht="15" customHeight="1" x14ac:dyDescent="0.35">
      <c r="A467">
        <v>4</v>
      </c>
      <c r="B467" t="s">
        <v>395</v>
      </c>
      <c r="C467" t="s">
        <v>879</v>
      </c>
      <c r="D467" s="47">
        <v>22</v>
      </c>
    </row>
    <row r="468" spans="1:4" ht="15" customHeight="1" x14ac:dyDescent="0.35">
      <c r="A468">
        <v>4</v>
      </c>
      <c r="B468" t="s">
        <v>395</v>
      </c>
      <c r="C468" t="s">
        <v>880</v>
      </c>
      <c r="D468" s="47">
        <v>64</v>
      </c>
    </row>
    <row r="469" spans="1:4" ht="15" customHeight="1" x14ac:dyDescent="0.35">
      <c r="A469">
        <v>4</v>
      </c>
      <c r="B469" t="s">
        <v>395</v>
      </c>
      <c r="C469" t="s">
        <v>881</v>
      </c>
      <c r="D469" s="47">
        <v>59</v>
      </c>
    </row>
    <row r="470" spans="1:4" ht="15" customHeight="1" x14ac:dyDescent="0.35">
      <c r="A470">
        <v>4</v>
      </c>
      <c r="B470" t="s">
        <v>395</v>
      </c>
      <c r="C470" t="s">
        <v>882</v>
      </c>
      <c r="D470" s="47">
        <v>246</v>
      </c>
    </row>
    <row r="471" spans="1:4" ht="15" customHeight="1" x14ac:dyDescent="0.35">
      <c r="A471">
        <v>4</v>
      </c>
      <c r="B471" t="s">
        <v>395</v>
      </c>
      <c r="C471" t="s">
        <v>883</v>
      </c>
      <c r="D471" s="47">
        <v>22</v>
      </c>
    </row>
    <row r="472" spans="1:4" ht="15" customHeight="1" x14ac:dyDescent="0.35">
      <c r="A472">
        <v>4</v>
      </c>
      <c r="B472" t="s">
        <v>395</v>
      </c>
      <c r="C472" t="s">
        <v>884</v>
      </c>
      <c r="D472" s="47">
        <v>100</v>
      </c>
    </row>
    <row r="473" spans="1:4" ht="15" customHeight="1" x14ac:dyDescent="0.35">
      <c r="A473">
        <v>4</v>
      </c>
      <c r="B473" t="s">
        <v>395</v>
      </c>
      <c r="C473" t="s">
        <v>885</v>
      </c>
      <c r="D473" s="47">
        <v>405</v>
      </c>
    </row>
    <row r="474" spans="1:4" ht="15" customHeight="1" x14ac:dyDescent="0.35">
      <c r="A474">
        <v>4</v>
      </c>
      <c r="B474" t="s">
        <v>395</v>
      </c>
      <c r="C474" t="s">
        <v>886</v>
      </c>
      <c r="D474" s="47">
        <v>142</v>
      </c>
    </row>
    <row r="475" spans="1:4" ht="15" customHeight="1" x14ac:dyDescent="0.35">
      <c r="A475">
        <v>4</v>
      </c>
      <c r="B475" t="s">
        <v>395</v>
      </c>
      <c r="C475" t="s">
        <v>887</v>
      </c>
      <c r="D475" s="47">
        <v>35009</v>
      </c>
    </row>
    <row r="476" spans="1:4" ht="15" customHeight="1" x14ac:dyDescent="0.35">
      <c r="A476">
        <v>4</v>
      </c>
      <c r="B476" t="s">
        <v>395</v>
      </c>
      <c r="C476" t="s">
        <v>888</v>
      </c>
      <c r="D476" s="47">
        <v>56</v>
      </c>
    </row>
    <row r="477" spans="1:4" ht="15" customHeight="1" x14ac:dyDescent="0.35">
      <c r="A477">
        <v>4</v>
      </c>
      <c r="B477" t="s">
        <v>395</v>
      </c>
      <c r="C477" t="s">
        <v>889</v>
      </c>
      <c r="D477" s="47">
        <v>19</v>
      </c>
    </row>
    <row r="478" spans="1:4" ht="15" customHeight="1" x14ac:dyDescent="0.35">
      <c r="A478">
        <v>4</v>
      </c>
      <c r="B478" t="s">
        <v>395</v>
      </c>
      <c r="C478" t="s">
        <v>890</v>
      </c>
      <c r="D478" s="47">
        <v>14</v>
      </c>
    </row>
    <row r="479" spans="1:4" ht="15" customHeight="1" x14ac:dyDescent="0.35">
      <c r="A479">
        <v>4</v>
      </c>
      <c r="B479" t="s">
        <v>395</v>
      </c>
      <c r="C479" t="s">
        <v>891</v>
      </c>
      <c r="D479" s="47">
        <v>15</v>
      </c>
    </row>
    <row r="480" spans="1:4" ht="15" customHeight="1" x14ac:dyDescent="0.35">
      <c r="A480">
        <v>4</v>
      </c>
      <c r="B480" t="s">
        <v>395</v>
      </c>
      <c r="C480" t="s">
        <v>892</v>
      </c>
      <c r="D480" s="47">
        <v>49</v>
      </c>
    </row>
    <row r="481" spans="1:4" ht="15" customHeight="1" x14ac:dyDescent="0.35">
      <c r="A481">
        <v>4</v>
      </c>
      <c r="B481" t="s">
        <v>395</v>
      </c>
      <c r="C481" t="s">
        <v>894</v>
      </c>
      <c r="D481" s="47">
        <v>2410</v>
      </c>
    </row>
    <row r="482" spans="1:4" ht="15" customHeight="1" x14ac:dyDescent="0.35">
      <c r="A482">
        <v>4</v>
      </c>
      <c r="B482" t="s">
        <v>395</v>
      </c>
      <c r="C482" t="s">
        <v>895</v>
      </c>
      <c r="D482" s="47">
        <v>196</v>
      </c>
    </row>
    <row r="483" spans="1:4" ht="15" customHeight="1" x14ac:dyDescent="0.35">
      <c r="A483">
        <v>4</v>
      </c>
      <c r="B483" t="s">
        <v>395</v>
      </c>
      <c r="C483" t="s">
        <v>896</v>
      </c>
      <c r="D483" s="47">
        <v>47</v>
      </c>
    </row>
    <row r="484" spans="1:4" ht="15" customHeight="1" x14ac:dyDescent="0.35">
      <c r="A484">
        <v>4</v>
      </c>
      <c r="B484" t="s">
        <v>395</v>
      </c>
      <c r="C484" t="s">
        <v>897</v>
      </c>
      <c r="D484" s="47">
        <v>79</v>
      </c>
    </row>
    <row r="485" spans="1:4" ht="15" customHeight="1" x14ac:dyDescent="0.35">
      <c r="A485">
        <v>4</v>
      </c>
      <c r="B485" t="s">
        <v>395</v>
      </c>
      <c r="C485" t="s">
        <v>898</v>
      </c>
      <c r="D485" s="47">
        <v>10442</v>
      </c>
    </row>
    <row r="486" spans="1:4" ht="15" customHeight="1" x14ac:dyDescent="0.35">
      <c r="A486">
        <v>4</v>
      </c>
      <c r="B486" t="s">
        <v>395</v>
      </c>
      <c r="C486" t="s">
        <v>899</v>
      </c>
      <c r="D486" s="47">
        <v>78</v>
      </c>
    </row>
    <row r="487" spans="1:4" ht="15" customHeight="1" x14ac:dyDescent="0.35">
      <c r="A487">
        <v>4</v>
      </c>
      <c r="B487" t="s">
        <v>395</v>
      </c>
      <c r="C487" t="s">
        <v>900</v>
      </c>
      <c r="D487" s="47">
        <v>171</v>
      </c>
    </row>
    <row r="488" spans="1:4" ht="15" customHeight="1" x14ac:dyDescent="0.35">
      <c r="A488">
        <v>4</v>
      </c>
      <c r="B488" t="s">
        <v>395</v>
      </c>
      <c r="C488" t="s">
        <v>901</v>
      </c>
      <c r="D488" s="47">
        <v>57</v>
      </c>
    </row>
    <row r="489" spans="1:4" ht="15" customHeight="1" x14ac:dyDescent="0.35">
      <c r="A489">
        <v>4</v>
      </c>
      <c r="B489" t="s">
        <v>395</v>
      </c>
      <c r="C489" t="s">
        <v>902</v>
      </c>
      <c r="D489" s="47">
        <v>67</v>
      </c>
    </row>
    <row r="490" spans="1:4" ht="15" customHeight="1" x14ac:dyDescent="0.35">
      <c r="A490">
        <v>4</v>
      </c>
      <c r="B490" t="s">
        <v>395</v>
      </c>
      <c r="C490" t="s">
        <v>903</v>
      </c>
      <c r="D490" s="47">
        <v>151</v>
      </c>
    </row>
    <row r="491" spans="1:4" ht="15" customHeight="1" x14ac:dyDescent="0.35">
      <c r="A491">
        <v>4</v>
      </c>
      <c r="B491" t="s">
        <v>395</v>
      </c>
      <c r="C491" t="s">
        <v>904</v>
      </c>
      <c r="D491" s="47">
        <v>54</v>
      </c>
    </row>
    <row r="492" spans="1:4" ht="15" customHeight="1" x14ac:dyDescent="0.35">
      <c r="A492">
        <v>4</v>
      </c>
      <c r="B492" t="s">
        <v>395</v>
      </c>
      <c r="C492" t="s">
        <v>906</v>
      </c>
      <c r="D492" s="47">
        <v>89</v>
      </c>
    </row>
    <row r="493" spans="1:4" ht="15" customHeight="1" x14ac:dyDescent="0.35">
      <c r="A493">
        <v>4</v>
      </c>
      <c r="B493" t="s">
        <v>395</v>
      </c>
      <c r="C493" t="s">
        <v>908</v>
      </c>
      <c r="D493" s="47">
        <v>16</v>
      </c>
    </row>
    <row r="494" spans="1:4" ht="15" customHeight="1" x14ac:dyDescent="0.35">
      <c r="A494">
        <v>4</v>
      </c>
      <c r="B494" t="s">
        <v>395</v>
      </c>
      <c r="C494" t="s">
        <v>909</v>
      </c>
      <c r="D494" s="47">
        <v>81</v>
      </c>
    </row>
    <row r="495" spans="1:4" ht="15" customHeight="1" x14ac:dyDescent="0.35">
      <c r="A495">
        <v>4</v>
      </c>
      <c r="B495" t="s">
        <v>395</v>
      </c>
      <c r="C495" t="s">
        <v>910</v>
      </c>
      <c r="D495" s="47">
        <v>65</v>
      </c>
    </row>
    <row r="496" spans="1:4" ht="15" customHeight="1" x14ac:dyDescent="0.35">
      <c r="A496">
        <v>4</v>
      </c>
      <c r="B496" t="s">
        <v>395</v>
      </c>
      <c r="C496" t="s">
        <v>911</v>
      </c>
      <c r="D496" s="47">
        <v>22</v>
      </c>
    </row>
    <row r="497" spans="1:4" ht="15" customHeight="1" x14ac:dyDescent="0.35">
      <c r="A497">
        <v>4</v>
      </c>
      <c r="B497" t="s">
        <v>395</v>
      </c>
      <c r="C497" t="s">
        <v>912</v>
      </c>
      <c r="D497" s="47">
        <v>55</v>
      </c>
    </row>
    <row r="498" spans="1:4" ht="15" customHeight="1" x14ac:dyDescent="0.35">
      <c r="A498">
        <v>4</v>
      </c>
      <c r="B498" t="s">
        <v>395</v>
      </c>
      <c r="C498" t="s">
        <v>913</v>
      </c>
      <c r="D498" s="47">
        <v>8</v>
      </c>
    </row>
    <row r="499" spans="1:4" ht="15" customHeight="1" x14ac:dyDescent="0.35">
      <c r="A499">
        <v>4</v>
      </c>
      <c r="B499" t="s">
        <v>395</v>
      </c>
      <c r="C499" t="s">
        <v>914</v>
      </c>
      <c r="D499" s="47">
        <v>72</v>
      </c>
    </row>
    <row r="500" spans="1:4" ht="15" customHeight="1" x14ac:dyDescent="0.35">
      <c r="A500">
        <v>4</v>
      </c>
      <c r="B500" t="s">
        <v>395</v>
      </c>
      <c r="C500" t="s">
        <v>915</v>
      </c>
      <c r="D500" s="47">
        <v>24</v>
      </c>
    </row>
    <row r="501" spans="1:4" ht="15" customHeight="1" x14ac:dyDescent="0.35">
      <c r="A501">
        <v>4</v>
      </c>
      <c r="B501" t="s">
        <v>395</v>
      </c>
      <c r="C501" t="s">
        <v>916</v>
      </c>
      <c r="D501" s="47">
        <v>117</v>
      </c>
    </row>
    <row r="502" spans="1:4" ht="15" customHeight="1" x14ac:dyDescent="0.35">
      <c r="A502">
        <v>4</v>
      </c>
      <c r="B502" t="s">
        <v>395</v>
      </c>
      <c r="C502" t="s">
        <v>930</v>
      </c>
      <c r="D502" s="47">
        <v>282</v>
      </c>
    </row>
    <row r="503" spans="1:4" ht="15" customHeight="1" x14ac:dyDescent="0.35">
      <c r="A503">
        <v>4</v>
      </c>
      <c r="B503" t="s">
        <v>395</v>
      </c>
      <c r="C503" t="s">
        <v>931</v>
      </c>
      <c r="D503" s="47">
        <v>18</v>
      </c>
    </row>
    <row r="504" spans="1:4" ht="15" customHeight="1" x14ac:dyDescent="0.35">
      <c r="A504">
        <v>4</v>
      </c>
      <c r="B504" t="s">
        <v>395</v>
      </c>
      <c r="C504" t="s">
        <v>933</v>
      </c>
      <c r="D504" s="47">
        <v>88</v>
      </c>
    </row>
    <row r="505" spans="1:4" ht="15" customHeight="1" x14ac:dyDescent="0.35">
      <c r="A505">
        <v>4</v>
      </c>
      <c r="B505" t="s">
        <v>395</v>
      </c>
      <c r="C505" t="s">
        <v>932</v>
      </c>
      <c r="D505" s="47">
        <v>3579</v>
      </c>
    </row>
    <row r="506" spans="1:4" ht="15" customHeight="1" x14ac:dyDescent="0.35">
      <c r="A506">
        <v>4</v>
      </c>
      <c r="B506" t="s">
        <v>395</v>
      </c>
      <c r="C506" t="s">
        <v>917</v>
      </c>
      <c r="D506" s="47">
        <v>1645</v>
      </c>
    </row>
    <row r="507" spans="1:4" ht="15" customHeight="1" x14ac:dyDescent="0.35">
      <c r="A507">
        <v>4</v>
      </c>
      <c r="B507" t="s">
        <v>395</v>
      </c>
      <c r="C507" t="s">
        <v>918</v>
      </c>
      <c r="D507" s="47">
        <v>22</v>
      </c>
    </row>
    <row r="508" spans="1:4" ht="15" customHeight="1" x14ac:dyDescent="0.35">
      <c r="A508">
        <v>4</v>
      </c>
      <c r="B508" t="s">
        <v>395</v>
      </c>
      <c r="C508" t="s">
        <v>919</v>
      </c>
      <c r="D508" s="47">
        <v>122</v>
      </c>
    </row>
    <row r="509" spans="1:4" ht="15" customHeight="1" x14ac:dyDescent="0.35">
      <c r="A509">
        <v>4</v>
      </c>
      <c r="B509" t="s">
        <v>395</v>
      </c>
      <c r="C509" t="s">
        <v>920</v>
      </c>
      <c r="D509" s="47">
        <v>29</v>
      </c>
    </row>
    <row r="510" spans="1:4" ht="15" customHeight="1" x14ac:dyDescent="0.35">
      <c r="A510">
        <v>4</v>
      </c>
      <c r="B510" t="s">
        <v>395</v>
      </c>
      <c r="C510" t="s">
        <v>921</v>
      </c>
      <c r="D510" s="47">
        <v>114</v>
      </c>
    </row>
    <row r="511" spans="1:4" ht="15" customHeight="1" x14ac:dyDescent="0.35">
      <c r="A511">
        <v>4</v>
      </c>
      <c r="B511" t="s">
        <v>395</v>
      </c>
      <c r="C511" t="s">
        <v>922</v>
      </c>
      <c r="D511" s="47">
        <v>25</v>
      </c>
    </row>
    <row r="512" spans="1:4" ht="15" customHeight="1" x14ac:dyDescent="0.35">
      <c r="A512">
        <v>4</v>
      </c>
      <c r="B512" t="s">
        <v>395</v>
      </c>
      <c r="C512" t="s">
        <v>923</v>
      </c>
      <c r="D512" s="47">
        <v>540</v>
      </c>
    </row>
    <row r="513" spans="1:5" ht="15" customHeight="1" x14ac:dyDescent="0.35">
      <c r="A513">
        <v>4</v>
      </c>
      <c r="B513" t="s">
        <v>395</v>
      </c>
      <c r="C513" t="s">
        <v>924</v>
      </c>
      <c r="D513" s="47">
        <v>14</v>
      </c>
    </row>
    <row r="514" spans="1:5" ht="15" customHeight="1" x14ac:dyDescent="0.35">
      <c r="A514">
        <v>4</v>
      </c>
      <c r="B514" t="s">
        <v>395</v>
      </c>
      <c r="C514" t="s">
        <v>925</v>
      </c>
      <c r="D514" s="47">
        <v>123</v>
      </c>
    </row>
    <row r="515" spans="1:5" ht="15" customHeight="1" x14ac:dyDescent="0.35">
      <c r="A515">
        <v>4</v>
      </c>
      <c r="B515" t="s">
        <v>395</v>
      </c>
      <c r="C515" t="s">
        <v>926</v>
      </c>
      <c r="D515" s="47">
        <v>17</v>
      </c>
    </row>
    <row r="516" spans="1:5" ht="15" customHeight="1" x14ac:dyDescent="0.35">
      <c r="A516">
        <v>4</v>
      </c>
      <c r="B516" t="s">
        <v>395</v>
      </c>
      <c r="C516" t="s">
        <v>927</v>
      </c>
      <c r="D516" s="47">
        <v>28</v>
      </c>
    </row>
    <row r="517" spans="1:5" ht="15" customHeight="1" x14ac:dyDescent="0.35">
      <c r="A517">
        <v>4</v>
      </c>
      <c r="B517" t="s">
        <v>395</v>
      </c>
      <c r="C517" t="s">
        <v>928</v>
      </c>
      <c r="D517" s="47">
        <v>349</v>
      </c>
    </row>
    <row r="518" spans="1:5" ht="15" customHeight="1" x14ac:dyDescent="0.35">
      <c r="A518">
        <v>4</v>
      </c>
      <c r="B518" t="s">
        <v>395</v>
      </c>
      <c r="C518" t="s">
        <v>934</v>
      </c>
      <c r="D518" s="47">
        <v>366</v>
      </c>
    </row>
    <row r="519" spans="1:5" ht="15" customHeight="1" x14ac:dyDescent="0.35">
      <c r="A519">
        <v>4</v>
      </c>
      <c r="B519" t="s">
        <v>395</v>
      </c>
      <c r="C519" t="s">
        <v>935</v>
      </c>
      <c r="D519" s="47">
        <v>106</v>
      </c>
    </row>
    <row r="520" spans="1:5" ht="15" customHeight="1" x14ac:dyDescent="0.35">
      <c r="A520">
        <v>4</v>
      </c>
      <c r="B520" t="s">
        <v>395</v>
      </c>
      <c r="C520" t="s">
        <v>905</v>
      </c>
      <c r="D520" s="47">
        <v>60</v>
      </c>
    </row>
    <row r="521" spans="1:5" ht="15" customHeight="1" x14ac:dyDescent="0.35">
      <c r="A521">
        <v>4</v>
      </c>
      <c r="B521" t="s">
        <v>395</v>
      </c>
      <c r="C521" t="s">
        <v>907</v>
      </c>
      <c r="D521" s="47">
        <v>12062</v>
      </c>
      <c r="E521">
        <v>1</v>
      </c>
    </row>
    <row r="522" spans="1:5" ht="15" customHeight="1" x14ac:dyDescent="0.35">
      <c r="A522">
        <v>4</v>
      </c>
      <c r="B522" t="s">
        <v>395</v>
      </c>
      <c r="C522" t="s">
        <v>929</v>
      </c>
      <c r="D522" s="47">
        <v>121</v>
      </c>
    </row>
    <row r="523" spans="1:5" ht="15" customHeight="1" x14ac:dyDescent="0.35">
      <c r="A523">
        <v>4</v>
      </c>
      <c r="B523" t="s">
        <v>395</v>
      </c>
      <c r="C523" t="s">
        <v>1016</v>
      </c>
      <c r="D523" s="47">
        <v>71</v>
      </c>
    </row>
    <row r="524" spans="1:5" ht="15" customHeight="1" x14ac:dyDescent="0.35">
      <c r="A524">
        <v>4</v>
      </c>
      <c r="B524" t="s">
        <v>395</v>
      </c>
      <c r="C524" t="s">
        <v>1019</v>
      </c>
      <c r="D524" s="47">
        <v>29</v>
      </c>
    </row>
    <row r="525" spans="1:5" ht="15" customHeight="1" x14ac:dyDescent="0.35">
      <c r="A525">
        <v>4</v>
      </c>
      <c r="B525" t="s">
        <v>395</v>
      </c>
      <c r="C525" t="s">
        <v>1026</v>
      </c>
      <c r="D525" s="47">
        <v>74</v>
      </c>
    </row>
    <row r="526" spans="1:5" ht="15" customHeight="1" x14ac:dyDescent="0.35">
      <c r="A526">
        <v>4</v>
      </c>
      <c r="B526" t="s">
        <v>395</v>
      </c>
      <c r="C526" t="s">
        <v>1035</v>
      </c>
      <c r="D526" s="47">
        <v>109</v>
      </c>
    </row>
    <row r="527" spans="1:5" ht="15" customHeight="1" x14ac:dyDescent="0.35">
      <c r="A527">
        <v>4</v>
      </c>
      <c r="B527" t="s">
        <v>395</v>
      </c>
      <c r="C527" t="s">
        <v>1045</v>
      </c>
      <c r="D527" s="47">
        <v>58</v>
      </c>
    </row>
    <row r="528" spans="1:5" ht="15" customHeight="1" x14ac:dyDescent="0.35">
      <c r="A528">
        <v>4</v>
      </c>
      <c r="B528" t="s">
        <v>395</v>
      </c>
      <c r="C528" t="s">
        <v>1071</v>
      </c>
      <c r="D528" s="47">
        <v>42</v>
      </c>
    </row>
    <row r="529" spans="1:4" ht="15" customHeight="1" x14ac:dyDescent="0.35">
      <c r="A529">
        <v>4</v>
      </c>
      <c r="B529" t="s">
        <v>395</v>
      </c>
      <c r="C529" t="s">
        <v>936</v>
      </c>
      <c r="D529" s="47">
        <v>33</v>
      </c>
    </row>
    <row r="530" spans="1:4" ht="15" customHeight="1" x14ac:dyDescent="0.35">
      <c r="A530">
        <v>4</v>
      </c>
      <c r="B530" t="s">
        <v>395</v>
      </c>
      <c r="C530" t="s">
        <v>937</v>
      </c>
      <c r="D530" s="47">
        <v>63</v>
      </c>
    </row>
    <row r="531" spans="1:4" ht="15" customHeight="1" x14ac:dyDescent="0.35">
      <c r="A531">
        <v>4</v>
      </c>
      <c r="B531" t="s">
        <v>395</v>
      </c>
      <c r="C531" t="s">
        <v>938</v>
      </c>
      <c r="D531" s="47">
        <v>185</v>
      </c>
    </row>
    <row r="532" spans="1:4" ht="15" customHeight="1" x14ac:dyDescent="0.35">
      <c r="A532">
        <v>4</v>
      </c>
      <c r="B532" t="s">
        <v>395</v>
      </c>
      <c r="C532" t="s">
        <v>939</v>
      </c>
      <c r="D532" s="47">
        <v>57</v>
      </c>
    </row>
    <row r="533" spans="1:4" ht="15" customHeight="1" x14ac:dyDescent="0.35">
      <c r="A533">
        <v>4</v>
      </c>
      <c r="B533" t="s">
        <v>395</v>
      </c>
      <c r="C533" t="s">
        <v>940</v>
      </c>
      <c r="D533" s="47">
        <v>628</v>
      </c>
    </row>
    <row r="534" spans="1:4" ht="15" customHeight="1" x14ac:dyDescent="0.35">
      <c r="A534">
        <v>4</v>
      </c>
      <c r="B534" t="s">
        <v>395</v>
      </c>
      <c r="C534" t="s">
        <v>941</v>
      </c>
      <c r="D534" s="47">
        <v>38</v>
      </c>
    </row>
    <row r="535" spans="1:4" ht="15" customHeight="1" x14ac:dyDescent="0.35">
      <c r="A535">
        <v>4</v>
      </c>
      <c r="B535" t="s">
        <v>395</v>
      </c>
      <c r="C535" t="s">
        <v>942</v>
      </c>
      <c r="D535" s="47">
        <v>37</v>
      </c>
    </row>
    <row r="536" spans="1:4" ht="15" customHeight="1" x14ac:dyDescent="0.35">
      <c r="A536">
        <v>4</v>
      </c>
      <c r="B536" t="s">
        <v>395</v>
      </c>
      <c r="C536" t="s">
        <v>943</v>
      </c>
      <c r="D536" s="47">
        <v>14</v>
      </c>
    </row>
    <row r="537" spans="1:4" ht="15" customHeight="1" x14ac:dyDescent="0.35">
      <c r="A537">
        <v>4</v>
      </c>
      <c r="B537" t="s">
        <v>395</v>
      </c>
      <c r="C537" t="s">
        <v>944</v>
      </c>
      <c r="D537" s="47">
        <v>2370</v>
      </c>
    </row>
    <row r="538" spans="1:4" ht="15" customHeight="1" x14ac:dyDescent="0.35">
      <c r="A538">
        <v>4</v>
      </c>
      <c r="B538" t="s">
        <v>395</v>
      </c>
      <c r="C538" t="s">
        <v>945</v>
      </c>
      <c r="D538" s="47">
        <v>10</v>
      </c>
    </row>
    <row r="539" spans="1:4" ht="15" customHeight="1" x14ac:dyDescent="0.35">
      <c r="A539">
        <v>4</v>
      </c>
      <c r="B539" t="s">
        <v>395</v>
      </c>
      <c r="C539" t="s">
        <v>946</v>
      </c>
      <c r="D539" s="47">
        <v>86</v>
      </c>
    </row>
    <row r="540" spans="1:4" ht="15" customHeight="1" x14ac:dyDescent="0.35">
      <c r="A540">
        <v>4</v>
      </c>
      <c r="B540" t="s">
        <v>395</v>
      </c>
      <c r="C540" t="s">
        <v>947</v>
      </c>
      <c r="D540" s="47">
        <v>136</v>
      </c>
    </row>
    <row r="541" spans="1:4" ht="15" customHeight="1" x14ac:dyDescent="0.35">
      <c r="A541">
        <v>4</v>
      </c>
      <c r="B541" t="s">
        <v>395</v>
      </c>
      <c r="C541" t="s">
        <v>948</v>
      </c>
      <c r="D541" s="47">
        <v>325</v>
      </c>
    </row>
    <row r="542" spans="1:4" ht="15" customHeight="1" x14ac:dyDescent="0.35">
      <c r="A542">
        <v>4</v>
      </c>
      <c r="B542" t="s">
        <v>395</v>
      </c>
      <c r="C542" t="s">
        <v>949</v>
      </c>
      <c r="D542" s="47">
        <v>94</v>
      </c>
    </row>
    <row r="543" spans="1:4" ht="15" customHeight="1" x14ac:dyDescent="0.35">
      <c r="A543">
        <v>4</v>
      </c>
      <c r="B543" t="s">
        <v>395</v>
      </c>
      <c r="C543" t="s">
        <v>950</v>
      </c>
      <c r="D543" s="47">
        <v>46</v>
      </c>
    </row>
    <row r="544" spans="1:4" ht="15" customHeight="1" x14ac:dyDescent="0.35">
      <c r="A544">
        <v>4</v>
      </c>
      <c r="B544" t="s">
        <v>395</v>
      </c>
      <c r="C544" t="s">
        <v>951</v>
      </c>
      <c r="D544" s="47">
        <v>517</v>
      </c>
    </row>
    <row r="545" spans="1:5" ht="15" customHeight="1" x14ac:dyDescent="0.35">
      <c r="A545">
        <v>4</v>
      </c>
      <c r="B545" t="s">
        <v>395</v>
      </c>
      <c r="C545" t="s">
        <v>952</v>
      </c>
      <c r="D545" s="47">
        <v>47</v>
      </c>
    </row>
    <row r="546" spans="1:5" ht="15" customHeight="1" x14ac:dyDescent="0.35">
      <c r="A546">
        <v>4</v>
      </c>
      <c r="B546" t="s">
        <v>395</v>
      </c>
      <c r="C546" t="s">
        <v>953</v>
      </c>
      <c r="D546" s="47">
        <v>2403</v>
      </c>
    </row>
    <row r="547" spans="1:5" ht="15" customHeight="1" x14ac:dyDescent="0.35">
      <c r="A547">
        <v>4</v>
      </c>
      <c r="B547" t="s">
        <v>395</v>
      </c>
      <c r="C547" t="s">
        <v>954</v>
      </c>
      <c r="D547" s="47">
        <v>100</v>
      </c>
    </row>
    <row r="548" spans="1:5" ht="15" customHeight="1" x14ac:dyDescent="0.35">
      <c r="A548">
        <v>4</v>
      </c>
      <c r="B548" t="s">
        <v>395</v>
      </c>
      <c r="C548" t="s">
        <v>955</v>
      </c>
      <c r="D548" s="47">
        <v>28</v>
      </c>
    </row>
    <row r="549" spans="1:5" ht="15" customHeight="1" x14ac:dyDescent="0.35">
      <c r="A549">
        <v>4</v>
      </c>
      <c r="B549" t="s">
        <v>395</v>
      </c>
      <c r="C549" t="s">
        <v>395</v>
      </c>
      <c r="D549" s="47">
        <v>85871</v>
      </c>
    </row>
    <row r="550" spans="1:5" ht="15" customHeight="1" x14ac:dyDescent="0.35">
      <c r="A550">
        <v>4</v>
      </c>
      <c r="B550" t="s">
        <v>395</v>
      </c>
      <c r="C550" t="s">
        <v>956</v>
      </c>
      <c r="D550" s="47">
        <v>104</v>
      </c>
    </row>
    <row r="551" spans="1:5" ht="15" customHeight="1" x14ac:dyDescent="0.35">
      <c r="A551">
        <v>4</v>
      </c>
      <c r="B551" t="s">
        <v>395</v>
      </c>
      <c r="C551" t="s">
        <v>957</v>
      </c>
      <c r="D551" s="47">
        <v>270</v>
      </c>
    </row>
    <row r="552" spans="1:5" ht="15" customHeight="1" x14ac:dyDescent="0.35">
      <c r="A552">
        <v>4</v>
      </c>
      <c r="B552" t="s">
        <v>395</v>
      </c>
      <c r="C552" t="s">
        <v>958</v>
      </c>
      <c r="D552" s="47">
        <v>30</v>
      </c>
    </row>
    <row r="553" spans="1:5" ht="15" customHeight="1" x14ac:dyDescent="0.35">
      <c r="A553">
        <v>4</v>
      </c>
      <c r="B553" t="s">
        <v>395</v>
      </c>
      <c r="C553" t="s">
        <v>959</v>
      </c>
      <c r="D553" s="47">
        <v>115</v>
      </c>
    </row>
    <row r="554" spans="1:5" ht="15" customHeight="1" x14ac:dyDescent="0.35">
      <c r="A554">
        <v>4</v>
      </c>
      <c r="B554" t="s">
        <v>395</v>
      </c>
      <c r="C554" t="s">
        <v>960</v>
      </c>
      <c r="D554" s="47">
        <v>19</v>
      </c>
    </row>
    <row r="555" spans="1:5" ht="15" customHeight="1" x14ac:dyDescent="0.35">
      <c r="A555">
        <v>4</v>
      </c>
      <c r="B555" t="s">
        <v>395</v>
      </c>
      <c r="C555" t="s">
        <v>961</v>
      </c>
      <c r="D555" s="47">
        <v>294</v>
      </c>
    </row>
    <row r="556" spans="1:5" ht="15" customHeight="1" x14ac:dyDescent="0.35">
      <c r="A556">
        <v>4</v>
      </c>
      <c r="B556" t="s">
        <v>395</v>
      </c>
      <c r="C556" t="s">
        <v>962</v>
      </c>
      <c r="D556" s="47">
        <v>33</v>
      </c>
    </row>
    <row r="557" spans="1:5" ht="15" customHeight="1" x14ac:dyDescent="0.35">
      <c r="A557">
        <v>4</v>
      </c>
      <c r="B557" t="s">
        <v>395</v>
      </c>
      <c r="C557" t="s">
        <v>963</v>
      </c>
      <c r="D557" s="47">
        <v>318</v>
      </c>
    </row>
    <row r="558" spans="1:5" ht="15" customHeight="1" x14ac:dyDescent="0.35">
      <c r="A558">
        <v>4</v>
      </c>
      <c r="B558" t="s">
        <v>395</v>
      </c>
      <c r="C558" t="s">
        <v>964</v>
      </c>
      <c r="D558" s="47">
        <v>2535</v>
      </c>
      <c r="E558">
        <v>1</v>
      </c>
    </row>
    <row r="559" spans="1:5" ht="15" customHeight="1" x14ac:dyDescent="0.35">
      <c r="A559">
        <v>4</v>
      </c>
      <c r="B559" t="s">
        <v>395</v>
      </c>
      <c r="C559" t="s">
        <v>965</v>
      </c>
      <c r="D559" s="47">
        <v>42</v>
      </c>
    </row>
    <row r="560" spans="1:5" ht="15" customHeight="1" x14ac:dyDescent="0.35">
      <c r="A560">
        <v>4</v>
      </c>
      <c r="B560" t="s">
        <v>395</v>
      </c>
      <c r="C560" t="s">
        <v>967</v>
      </c>
      <c r="D560" s="47">
        <v>42</v>
      </c>
    </row>
    <row r="561" spans="1:4" ht="15" customHeight="1" x14ac:dyDescent="0.35">
      <c r="A561">
        <v>4</v>
      </c>
      <c r="B561" t="s">
        <v>395</v>
      </c>
      <c r="C561" t="s">
        <v>968</v>
      </c>
      <c r="D561" s="47">
        <v>53</v>
      </c>
    </row>
    <row r="562" spans="1:4" ht="15" customHeight="1" x14ac:dyDescent="0.35">
      <c r="A562">
        <v>4</v>
      </c>
      <c r="B562" t="s">
        <v>395</v>
      </c>
      <c r="C562" t="s">
        <v>969</v>
      </c>
      <c r="D562" s="47">
        <v>143</v>
      </c>
    </row>
    <row r="563" spans="1:4" ht="15" customHeight="1" x14ac:dyDescent="0.35">
      <c r="A563">
        <v>4</v>
      </c>
      <c r="B563" t="s">
        <v>395</v>
      </c>
      <c r="C563" t="s">
        <v>970</v>
      </c>
      <c r="D563" s="47">
        <v>1496</v>
      </c>
    </row>
    <row r="564" spans="1:4" ht="15" customHeight="1" x14ac:dyDescent="0.35">
      <c r="A564">
        <v>4</v>
      </c>
      <c r="B564" t="s">
        <v>395</v>
      </c>
      <c r="C564" t="s">
        <v>971</v>
      </c>
      <c r="D564" s="47">
        <v>686</v>
      </c>
    </row>
    <row r="565" spans="1:4" ht="15" customHeight="1" x14ac:dyDescent="0.35">
      <c r="A565">
        <v>4</v>
      </c>
      <c r="B565" t="s">
        <v>395</v>
      </c>
      <c r="C565" t="s">
        <v>972</v>
      </c>
      <c r="D565" s="47">
        <v>22</v>
      </c>
    </row>
    <row r="566" spans="1:4" ht="15" customHeight="1" x14ac:dyDescent="0.35">
      <c r="A566">
        <v>4</v>
      </c>
      <c r="B566" t="s">
        <v>395</v>
      </c>
      <c r="C566" t="s">
        <v>974</v>
      </c>
      <c r="D566" s="47">
        <v>68</v>
      </c>
    </row>
    <row r="567" spans="1:4" ht="15" customHeight="1" x14ac:dyDescent="0.35">
      <c r="A567">
        <v>4</v>
      </c>
      <c r="B567" t="s">
        <v>395</v>
      </c>
      <c r="C567" t="s">
        <v>975</v>
      </c>
      <c r="D567" s="47">
        <v>1413</v>
      </c>
    </row>
    <row r="568" spans="1:4" ht="15" customHeight="1" x14ac:dyDescent="0.35">
      <c r="A568">
        <v>4</v>
      </c>
      <c r="B568" t="s">
        <v>395</v>
      </c>
      <c r="C568" t="s">
        <v>976</v>
      </c>
      <c r="D568" s="47">
        <v>59</v>
      </c>
    </row>
    <row r="569" spans="1:4" ht="15" customHeight="1" x14ac:dyDescent="0.35">
      <c r="A569">
        <v>4</v>
      </c>
      <c r="B569" t="s">
        <v>395</v>
      </c>
      <c r="C569" t="s">
        <v>893</v>
      </c>
      <c r="D569" s="47">
        <v>22</v>
      </c>
    </row>
    <row r="570" spans="1:4" ht="15" customHeight="1" x14ac:dyDescent="0.35">
      <c r="A570">
        <v>4</v>
      </c>
      <c r="B570" t="s">
        <v>395</v>
      </c>
      <c r="C570" t="s">
        <v>966</v>
      </c>
      <c r="D570" s="47">
        <v>51</v>
      </c>
    </row>
    <row r="571" spans="1:4" ht="15" customHeight="1" x14ac:dyDescent="0.35">
      <c r="A571">
        <v>4</v>
      </c>
      <c r="B571" t="s">
        <v>395</v>
      </c>
      <c r="C571" t="s">
        <v>998</v>
      </c>
      <c r="D571" s="47">
        <v>41</v>
      </c>
    </row>
    <row r="572" spans="1:4" ht="15" customHeight="1" x14ac:dyDescent="0.35">
      <c r="A572">
        <v>4</v>
      </c>
      <c r="B572" t="s">
        <v>395</v>
      </c>
      <c r="C572" t="s">
        <v>1001</v>
      </c>
      <c r="D572" s="47">
        <v>28</v>
      </c>
    </row>
    <row r="573" spans="1:4" ht="15" customHeight="1" x14ac:dyDescent="0.35">
      <c r="A573">
        <v>4</v>
      </c>
      <c r="B573" t="s">
        <v>395</v>
      </c>
      <c r="C573" t="s">
        <v>1018</v>
      </c>
      <c r="D573" s="47">
        <v>17</v>
      </c>
    </row>
    <row r="574" spans="1:4" ht="15" customHeight="1" x14ac:dyDescent="0.35">
      <c r="A574">
        <v>4</v>
      </c>
      <c r="B574" t="s">
        <v>395</v>
      </c>
      <c r="C574" t="s">
        <v>1080</v>
      </c>
      <c r="D574" s="47">
        <v>96</v>
      </c>
    </row>
    <row r="575" spans="1:4" ht="15" customHeight="1" x14ac:dyDescent="0.35">
      <c r="A575">
        <v>4</v>
      </c>
      <c r="B575" t="s">
        <v>395</v>
      </c>
      <c r="C575" t="s">
        <v>1132</v>
      </c>
      <c r="D575" s="47">
        <v>89</v>
      </c>
    </row>
    <row r="576" spans="1:4" ht="15" customHeight="1" x14ac:dyDescent="0.35">
      <c r="A576">
        <v>4</v>
      </c>
      <c r="B576" t="s">
        <v>395</v>
      </c>
      <c r="C576" t="s">
        <v>973</v>
      </c>
      <c r="D576" s="47">
        <v>59</v>
      </c>
    </row>
    <row r="577" spans="1:4" ht="15" customHeight="1" x14ac:dyDescent="0.35">
      <c r="A577">
        <v>4</v>
      </c>
      <c r="B577" t="s">
        <v>395</v>
      </c>
      <c r="C577" t="s">
        <v>1013</v>
      </c>
      <c r="D577" s="47">
        <v>27</v>
      </c>
    </row>
    <row r="578" spans="1:4" ht="15" customHeight="1" x14ac:dyDescent="0.35">
      <c r="A578">
        <v>4</v>
      </c>
      <c r="B578" t="s">
        <v>395</v>
      </c>
      <c r="C578" t="s">
        <v>977</v>
      </c>
      <c r="D578" s="47">
        <v>98</v>
      </c>
    </row>
    <row r="579" spans="1:4" ht="15" customHeight="1" x14ac:dyDescent="0.35">
      <c r="A579">
        <v>4</v>
      </c>
      <c r="B579" t="s">
        <v>395</v>
      </c>
      <c r="C579" t="s">
        <v>978</v>
      </c>
      <c r="D579" s="47">
        <v>1249</v>
      </c>
    </row>
    <row r="580" spans="1:4" ht="15" customHeight="1" x14ac:dyDescent="0.35">
      <c r="A580">
        <v>4</v>
      </c>
      <c r="B580" t="s">
        <v>395</v>
      </c>
      <c r="C580" t="s">
        <v>979</v>
      </c>
      <c r="D580" s="47">
        <v>257</v>
      </c>
    </row>
    <row r="581" spans="1:4" ht="15" customHeight="1" x14ac:dyDescent="0.35">
      <c r="A581">
        <v>4</v>
      </c>
      <c r="B581" t="s">
        <v>395</v>
      </c>
      <c r="C581" t="s">
        <v>980</v>
      </c>
      <c r="D581" s="47">
        <v>69</v>
      </c>
    </row>
    <row r="582" spans="1:4" ht="15" customHeight="1" x14ac:dyDescent="0.35">
      <c r="A582">
        <v>4</v>
      </c>
      <c r="B582" t="s">
        <v>395</v>
      </c>
      <c r="C582" t="s">
        <v>981</v>
      </c>
      <c r="D582" s="47">
        <v>68</v>
      </c>
    </row>
    <row r="583" spans="1:4" ht="15" customHeight="1" x14ac:dyDescent="0.35">
      <c r="A583">
        <v>4</v>
      </c>
      <c r="B583" t="s">
        <v>395</v>
      </c>
      <c r="C583" t="s">
        <v>982</v>
      </c>
      <c r="D583" s="47">
        <v>51</v>
      </c>
    </row>
    <row r="584" spans="1:4" ht="15" customHeight="1" x14ac:dyDescent="0.35">
      <c r="A584">
        <v>4</v>
      </c>
      <c r="B584" t="s">
        <v>395</v>
      </c>
      <c r="C584" t="s">
        <v>983</v>
      </c>
      <c r="D584" s="47">
        <v>180</v>
      </c>
    </row>
    <row r="585" spans="1:4" ht="15" customHeight="1" x14ac:dyDescent="0.35">
      <c r="A585">
        <v>4</v>
      </c>
      <c r="B585" t="s">
        <v>395</v>
      </c>
      <c r="C585" t="s">
        <v>984</v>
      </c>
      <c r="D585" s="47">
        <v>152</v>
      </c>
    </row>
    <row r="586" spans="1:4" ht="15" customHeight="1" x14ac:dyDescent="0.35">
      <c r="A586">
        <v>4</v>
      </c>
      <c r="B586" t="s">
        <v>395</v>
      </c>
      <c r="C586" t="s">
        <v>985</v>
      </c>
      <c r="D586" s="47">
        <v>294</v>
      </c>
    </row>
    <row r="587" spans="1:4" ht="15" customHeight="1" x14ac:dyDescent="0.35">
      <c r="A587">
        <v>4</v>
      </c>
      <c r="B587" t="s">
        <v>395</v>
      </c>
      <c r="C587" t="s">
        <v>986</v>
      </c>
      <c r="D587" s="47">
        <v>34</v>
      </c>
    </row>
    <row r="588" spans="1:4" ht="15" customHeight="1" x14ac:dyDescent="0.35">
      <c r="A588">
        <v>4</v>
      </c>
      <c r="B588" t="s">
        <v>395</v>
      </c>
      <c r="C588" t="s">
        <v>987</v>
      </c>
      <c r="D588" s="47">
        <v>229</v>
      </c>
    </row>
    <row r="589" spans="1:4" ht="15" customHeight="1" x14ac:dyDescent="0.35">
      <c r="A589">
        <v>4</v>
      </c>
      <c r="B589" t="s">
        <v>395</v>
      </c>
      <c r="C589" t="s">
        <v>988</v>
      </c>
      <c r="D589" s="47">
        <v>7474</v>
      </c>
    </row>
    <row r="590" spans="1:4" ht="15" customHeight="1" x14ac:dyDescent="0.35">
      <c r="A590">
        <v>4</v>
      </c>
      <c r="B590" t="s">
        <v>395</v>
      </c>
      <c r="C590" t="s">
        <v>989</v>
      </c>
      <c r="D590" s="47">
        <v>52</v>
      </c>
    </row>
    <row r="591" spans="1:4" ht="15" customHeight="1" x14ac:dyDescent="0.35">
      <c r="A591">
        <v>4</v>
      </c>
      <c r="B591" t="s">
        <v>395</v>
      </c>
      <c r="C591" t="s">
        <v>990</v>
      </c>
      <c r="D591" s="47">
        <v>70</v>
      </c>
    </row>
    <row r="592" spans="1:4" ht="15" customHeight="1" x14ac:dyDescent="0.35">
      <c r="A592">
        <v>4</v>
      </c>
      <c r="B592" t="s">
        <v>395</v>
      </c>
      <c r="C592" t="s">
        <v>991</v>
      </c>
      <c r="D592" s="47">
        <v>105</v>
      </c>
    </row>
    <row r="593" spans="1:4" ht="15" customHeight="1" x14ac:dyDescent="0.35">
      <c r="A593">
        <v>4</v>
      </c>
      <c r="B593" t="s">
        <v>395</v>
      </c>
      <c r="C593" t="s">
        <v>992</v>
      </c>
      <c r="D593" s="47">
        <v>38</v>
      </c>
    </row>
    <row r="594" spans="1:4" ht="15" customHeight="1" x14ac:dyDescent="0.35">
      <c r="A594">
        <v>4</v>
      </c>
      <c r="B594" t="s">
        <v>395</v>
      </c>
      <c r="C594" t="s">
        <v>993</v>
      </c>
      <c r="D594" s="47">
        <v>268</v>
      </c>
    </row>
    <row r="595" spans="1:4" ht="15" customHeight="1" x14ac:dyDescent="0.35">
      <c r="A595">
        <v>4</v>
      </c>
      <c r="B595" t="s">
        <v>395</v>
      </c>
      <c r="C595" t="s">
        <v>994</v>
      </c>
      <c r="D595" s="47">
        <v>66</v>
      </c>
    </row>
    <row r="596" spans="1:4" ht="15" customHeight="1" x14ac:dyDescent="0.35">
      <c r="A596">
        <v>4</v>
      </c>
      <c r="B596" t="s">
        <v>395</v>
      </c>
      <c r="C596" t="s">
        <v>995</v>
      </c>
      <c r="D596" s="47">
        <v>32</v>
      </c>
    </row>
    <row r="597" spans="1:4" ht="15" customHeight="1" x14ac:dyDescent="0.35">
      <c r="A597">
        <v>4</v>
      </c>
      <c r="B597" t="s">
        <v>395</v>
      </c>
      <c r="C597" t="s">
        <v>996</v>
      </c>
      <c r="D597" s="47">
        <v>98</v>
      </c>
    </row>
    <row r="598" spans="1:4" ht="15" customHeight="1" x14ac:dyDescent="0.35">
      <c r="A598">
        <v>4</v>
      </c>
      <c r="B598" t="s">
        <v>395</v>
      </c>
      <c r="C598" t="s">
        <v>997</v>
      </c>
      <c r="D598" s="47">
        <v>59</v>
      </c>
    </row>
    <row r="599" spans="1:4" ht="15" customHeight="1" x14ac:dyDescent="0.35">
      <c r="A599">
        <v>4</v>
      </c>
      <c r="B599" t="s">
        <v>395</v>
      </c>
      <c r="C599" t="s">
        <v>1000</v>
      </c>
      <c r="D599" s="47">
        <v>110</v>
      </c>
    </row>
    <row r="600" spans="1:4" ht="15" customHeight="1" x14ac:dyDescent="0.35">
      <c r="A600">
        <v>4</v>
      </c>
      <c r="B600" t="s">
        <v>395</v>
      </c>
      <c r="C600" t="s">
        <v>999</v>
      </c>
      <c r="D600" s="47">
        <v>73</v>
      </c>
    </row>
    <row r="601" spans="1:4" ht="15" customHeight="1" x14ac:dyDescent="0.35">
      <c r="A601">
        <v>4</v>
      </c>
      <c r="B601" t="s">
        <v>395</v>
      </c>
      <c r="C601" t="s">
        <v>1002</v>
      </c>
      <c r="D601" s="47">
        <v>80</v>
      </c>
    </row>
    <row r="602" spans="1:4" ht="15" customHeight="1" x14ac:dyDescent="0.35">
      <c r="A602">
        <v>4</v>
      </c>
      <c r="B602" t="s">
        <v>395</v>
      </c>
      <c r="C602" t="s">
        <v>1003</v>
      </c>
      <c r="D602" s="47">
        <v>51</v>
      </c>
    </row>
    <row r="603" spans="1:4" ht="15" customHeight="1" x14ac:dyDescent="0.35">
      <c r="A603">
        <v>4</v>
      </c>
      <c r="B603" t="s">
        <v>395</v>
      </c>
      <c r="C603" t="s">
        <v>1004</v>
      </c>
      <c r="D603" s="47">
        <v>46</v>
      </c>
    </row>
    <row r="604" spans="1:4" ht="15" customHeight="1" x14ac:dyDescent="0.35">
      <c r="A604">
        <v>4</v>
      </c>
      <c r="B604" t="s">
        <v>395</v>
      </c>
      <c r="C604" t="s">
        <v>1005</v>
      </c>
      <c r="D604" s="47">
        <v>173</v>
      </c>
    </row>
    <row r="605" spans="1:4" ht="15" customHeight="1" x14ac:dyDescent="0.35">
      <c r="A605">
        <v>4</v>
      </c>
      <c r="B605" t="s">
        <v>395</v>
      </c>
      <c r="C605" t="s">
        <v>1006</v>
      </c>
      <c r="D605" s="47">
        <v>3275</v>
      </c>
    </row>
    <row r="606" spans="1:4" ht="15" customHeight="1" x14ac:dyDescent="0.35">
      <c r="A606">
        <v>4</v>
      </c>
      <c r="B606" t="s">
        <v>395</v>
      </c>
      <c r="C606" t="s">
        <v>1007</v>
      </c>
      <c r="D606" s="47">
        <v>14</v>
      </c>
    </row>
    <row r="607" spans="1:4" ht="15" customHeight="1" x14ac:dyDescent="0.35">
      <c r="A607">
        <v>4</v>
      </c>
      <c r="B607" t="s">
        <v>395</v>
      </c>
      <c r="C607" t="s">
        <v>1008</v>
      </c>
      <c r="D607" s="47">
        <v>2645</v>
      </c>
    </row>
    <row r="608" spans="1:4" ht="15" customHeight="1" x14ac:dyDescent="0.35">
      <c r="A608">
        <v>4</v>
      </c>
      <c r="B608" t="s">
        <v>395</v>
      </c>
      <c r="C608" t="s">
        <v>1009</v>
      </c>
      <c r="D608" s="47">
        <v>23</v>
      </c>
    </row>
    <row r="609" spans="1:4" ht="15" customHeight="1" x14ac:dyDescent="0.35">
      <c r="A609">
        <v>4</v>
      </c>
      <c r="B609" t="s">
        <v>395</v>
      </c>
      <c r="C609" t="s">
        <v>1010</v>
      </c>
      <c r="D609" s="47">
        <v>103</v>
      </c>
    </row>
    <row r="610" spans="1:4" ht="15" customHeight="1" x14ac:dyDescent="0.35">
      <c r="A610">
        <v>4</v>
      </c>
      <c r="B610" t="s">
        <v>395</v>
      </c>
      <c r="C610" t="s">
        <v>1011</v>
      </c>
      <c r="D610" s="47">
        <v>38</v>
      </c>
    </row>
    <row r="611" spans="1:4" ht="15" customHeight="1" x14ac:dyDescent="0.35">
      <c r="A611">
        <v>4</v>
      </c>
      <c r="B611" t="s">
        <v>395</v>
      </c>
      <c r="C611" t="s">
        <v>1012</v>
      </c>
      <c r="D611" s="47">
        <v>100</v>
      </c>
    </row>
    <row r="612" spans="1:4" ht="15" customHeight="1" x14ac:dyDescent="0.35">
      <c r="A612">
        <v>4</v>
      </c>
      <c r="B612" t="s">
        <v>395</v>
      </c>
      <c r="C612" t="s">
        <v>1014</v>
      </c>
      <c r="D612" s="47">
        <v>17</v>
      </c>
    </row>
    <row r="613" spans="1:4" ht="15" customHeight="1" x14ac:dyDescent="0.35">
      <c r="A613">
        <v>4</v>
      </c>
      <c r="B613" t="s">
        <v>395</v>
      </c>
      <c r="C613" t="s">
        <v>1015</v>
      </c>
      <c r="D613" s="47">
        <v>21</v>
      </c>
    </row>
    <row r="614" spans="1:4" ht="15" customHeight="1" x14ac:dyDescent="0.35">
      <c r="A614">
        <v>4</v>
      </c>
      <c r="B614" t="s">
        <v>395</v>
      </c>
      <c r="C614" t="s">
        <v>1017</v>
      </c>
      <c r="D614" s="47">
        <v>66</v>
      </c>
    </row>
    <row r="615" spans="1:4" ht="15" customHeight="1" x14ac:dyDescent="0.35">
      <c r="A615">
        <v>4</v>
      </c>
      <c r="B615" t="s">
        <v>395</v>
      </c>
      <c r="C615" t="s">
        <v>1020</v>
      </c>
      <c r="D615" s="47">
        <v>180</v>
      </c>
    </row>
    <row r="616" spans="1:4" ht="15" customHeight="1" x14ac:dyDescent="0.35">
      <c r="A616">
        <v>4</v>
      </c>
      <c r="B616" t="s">
        <v>395</v>
      </c>
      <c r="C616" t="s">
        <v>1021</v>
      </c>
      <c r="D616" s="47">
        <v>41</v>
      </c>
    </row>
    <row r="617" spans="1:4" ht="15" customHeight="1" x14ac:dyDescent="0.35">
      <c r="A617">
        <v>4</v>
      </c>
      <c r="B617" t="s">
        <v>395</v>
      </c>
      <c r="C617" t="s">
        <v>1022</v>
      </c>
      <c r="D617" s="47">
        <v>43</v>
      </c>
    </row>
    <row r="618" spans="1:4" ht="15" customHeight="1" x14ac:dyDescent="0.35">
      <c r="A618">
        <v>4</v>
      </c>
      <c r="B618" t="s">
        <v>395</v>
      </c>
      <c r="C618" t="s">
        <v>1023</v>
      </c>
      <c r="D618" s="47">
        <v>19</v>
      </c>
    </row>
    <row r="619" spans="1:4" ht="15" customHeight="1" x14ac:dyDescent="0.35">
      <c r="A619">
        <v>4</v>
      </c>
      <c r="B619" t="s">
        <v>395</v>
      </c>
      <c r="C619" t="s">
        <v>1024</v>
      </c>
      <c r="D619" s="47">
        <v>393</v>
      </c>
    </row>
    <row r="620" spans="1:4" ht="15" customHeight="1" x14ac:dyDescent="0.35">
      <c r="A620">
        <v>4</v>
      </c>
      <c r="B620" t="s">
        <v>395</v>
      </c>
      <c r="C620" t="s">
        <v>1025</v>
      </c>
      <c r="D620" s="47">
        <v>850</v>
      </c>
    </row>
    <row r="621" spans="1:4" ht="15" customHeight="1" x14ac:dyDescent="0.35">
      <c r="A621">
        <v>4</v>
      </c>
      <c r="B621" t="s">
        <v>395</v>
      </c>
      <c r="C621" t="s">
        <v>1027</v>
      </c>
      <c r="D621" s="47">
        <v>73</v>
      </c>
    </row>
    <row r="622" spans="1:4" ht="15" customHeight="1" x14ac:dyDescent="0.35">
      <c r="A622">
        <v>4</v>
      </c>
      <c r="B622" t="s">
        <v>395</v>
      </c>
      <c r="C622" t="s">
        <v>1028</v>
      </c>
      <c r="D622" s="47">
        <v>144</v>
      </c>
    </row>
    <row r="623" spans="1:4" ht="15" customHeight="1" x14ac:dyDescent="0.35">
      <c r="A623">
        <v>4</v>
      </c>
      <c r="B623" t="s">
        <v>395</v>
      </c>
      <c r="C623" t="s">
        <v>1029</v>
      </c>
      <c r="D623" s="47">
        <v>143</v>
      </c>
    </row>
    <row r="624" spans="1:4" ht="15" customHeight="1" x14ac:dyDescent="0.35">
      <c r="A624">
        <v>4</v>
      </c>
      <c r="B624" t="s">
        <v>395</v>
      </c>
      <c r="C624" t="s">
        <v>1030</v>
      </c>
      <c r="D624" s="47">
        <v>45</v>
      </c>
    </row>
    <row r="625" spans="1:4" ht="15" customHeight="1" x14ac:dyDescent="0.35">
      <c r="A625">
        <v>4</v>
      </c>
      <c r="B625" t="s">
        <v>395</v>
      </c>
      <c r="C625" t="s">
        <v>1031</v>
      </c>
      <c r="D625" s="47">
        <v>50</v>
      </c>
    </row>
    <row r="626" spans="1:4" ht="15" customHeight="1" x14ac:dyDescent="0.35">
      <c r="A626">
        <v>4</v>
      </c>
      <c r="B626" t="s">
        <v>395</v>
      </c>
      <c r="C626" t="s">
        <v>1032</v>
      </c>
      <c r="D626" s="47">
        <v>10</v>
      </c>
    </row>
    <row r="627" spans="1:4" ht="15" customHeight="1" x14ac:dyDescent="0.35">
      <c r="A627">
        <v>4</v>
      </c>
      <c r="B627" t="s">
        <v>395</v>
      </c>
      <c r="C627" t="s">
        <v>1033</v>
      </c>
      <c r="D627" s="47">
        <v>4052</v>
      </c>
    </row>
    <row r="628" spans="1:4" ht="15" customHeight="1" x14ac:dyDescent="0.35">
      <c r="A628">
        <v>4</v>
      </c>
      <c r="B628" t="s">
        <v>395</v>
      </c>
      <c r="C628" t="s">
        <v>1034</v>
      </c>
      <c r="D628" s="47">
        <v>55</v>
      </c>
    </row>
    <row r="629" spans="1:4" ht="15" customHeight="1" x14ac:dyDescent="0.35">
      <c r="A629">
        <v>4</v>
      </c>
      <c r="B629" t="s">
        <v>395</v>
      </c>
      <c r="C629" t="s">
        <v>1036</v>
      </c>
      <c r="D629" s="47">
        <v>114</v>
      </c>
    </row>
    <row r="630" spans="1:4" ht="15" customHeight="1" x14ac:dyDescent="0.35">
      <c r="A630">
        <v>4</v>
      </c>
      <c r="B630" t="s">
        <v>395</v>
      </c>
      <c r="C630" t="s">
        <v>1037</v>
      </c>
      <c r="D630" s="47">
        <v>105</v>
      </c>
    </row>
    <row r="631" spans="1:4" ht="15" customHeight="1" x14ac:dyDescent="0.35">
      <c r="A631">
        <v>4</v>
      </c>
      <c r="B631" t="s">
        <v>395</v>
      </c>
      <c r="C631" t="s">
        <v>1038</v>
      </c>
      <c r="D631" s="47">
        <v>1303</v>
      </c>
    </row>
    <row r="632" spans="1:4" ht="15" customHeight="1" x14ac:dyDescent="0.35">
      <c r="A632">
        <v>4</v>
      </c>
      <c r="B632" t="s">
        <v>395</v>
      </c>
      <c r="C632" t="s">
        <v>1039</v>
      </c>
      <c r="D632" s="47">
        <v>49</v>
      </c>
    </row>
    <row r="633" spans="1:4" ht="15" customHeight="1" x14ac:dyDescent="0.35">
      <c r="A633">
        <v>4</v>
      </c>
      <c r="B633" t="s">
        <v>395</v>
      </c>
      <c r="C633" t="s">
        <v>1040</v>
      </c>
      <c r="D633" s="47">
        <v>73</v>
      </c>
    </row>
    <row r="634" spans="1:4" ht="15" customHeight="1" x14ac:dyDescent="0.35">
      <c r="A634">
        <v>4</v>
      </c>
      <c r="B634" t="s">
        <v>395</v>
      </c>
      <c r="C634" t="s">
        <v>1041</v>
      </c>
      <c r="D634" s="47">
        <v>40</v>
      </c>
    </row>
    <row r="635" spans="1:4" ht="15" customHeight="1" x14ac:dyDescent="0.35">
      <c r="A635">
        <v>4</v>
      </c>
      <c r="B635" t="s">
        <v>395</v>
      </c>
      <c r="C635" t="s">
        <v>1042</v>
      </c>
      <c r="D635" s="47">
        <v>58</v>
      </c>
    </row>
    <row r="636" spans="1:4" ht="15" customHeight="1" x14ac:dyDescent="0.35">
      <c r="A636">
        <v>4</v>
      </c>
      <c r="B636" t="s">
        <v>395</v>
      </c>
      <c r="C636" t="s">
        <v>1043</v>
      </c>
      <c r="D636" s="47">
        <v>814</v>
      </c>
    </row>
    <row r="637" spans="1:4" ht="15" customHeight="1" x14ac:dyDescent="0.35">
      <c r="A637">
        <v>4</v>
      </c>
      <c r="B637" t="s">
        <v>395</v>
      </c>
      <c r="C637" t="s">
        <v>1044</v>
      </c>
      <c r="D637" s="47">
        <v>11</v>
      </c>
    </row>
    <row r="638" spans="1:4" ht="15" customHeight="1" x14ac:dyDescent="0.35">
      <c r="A638">
        <v>4</v>
      </c>
      <c r="B638" t="s">
        <v>395</v>
      </c>
      <c r="C638" t="s">
        <v>1046</v>
      </c>
      <c r="D638" s="47">
        <v>90</v>
      </c>
    </row>
    <row r="639" spans="1:4" ht="15" customHeight="1" x14ac:dyDescent="0.35">
      <c r="A639">
        <v>4</v>
      </c>
      <c r="B639" t="s">
        <v>395</v>
      </c>
      <c r="C639" t="s">
        <v>1047</v>
      </c>
      <c r="D639" s="47">
        <v>48</v>
      </c>
    </row>
    <row r="640" spans="1:4" ht="15" customHeight="1" x14ac:dyDescent="0.35">
      <c r="A640">
        <v>4</v>
      </c>
      <c r="B640" t="s">
        <v>395</v>
      </c>
      <c r="C640" t="s">
        <v>1048</v>
      </c>
      <c r="D640" s="47">
        <v>105</v>
      </c>
    </row>
    <row r="641" spans="1:4" ht="15" customHeight="1" x14ac:dyDescent="0.35">
      <c r="A641">
        <v>4</v>
      </c>
      <c r="B641" t="s">
        <v>395</v>
      </c>
      <c r="C641" t="s">
        <v>1049</v>
      </c>
      <c r="D641" s="47">
        <v>43</v>
      </c>
    </row>
    <row r="642" spans="1:4" ht="15" customHeight="1" x14ac:dyDescent="0.35">
      <c r="A642">
        <v>4</v>
      </c>
      <c r="B642" t="s">
        <v>395</v>
      </c>
      <c r="C642" t="s">
        <v>1050</v>
      </c>
      <c r="D642" s="47">
        <v>55</v>
      </c>
    </row>
    <row r="643" spans="1:4" ht="15" customHeight="1" x14ac:dyDescent="0.35">
      <c r="A643">
        <v>4</v>
      </c>
      <c r="B643" t="s">
        <v>395</v>
      </c>
      <c r="C643" t="s">
        <v>1051</v>
      </c>
      <c r="D643" s="47">
        <v>115</v>
      </c>
    </row>
    <row r="644" spans="1:4" ht="15" customHeight="1" x14ac:dyDescent="0.35">
      <c r="A644">
        <v>4</v>
      </c>
      <c r="B644" t="s">
        <v>395</v>
      </c>
      <c r="C644" t="s">
        <v>1052</v>
      </c>
      <c r="D644" s="47">
        <v>52</v>
      </c>
    </row>
    <row r="645" spans="1:4" ht="15" customHeight="1" x14ac:dyDescent="0.35">
      <c r="A645">
        <v>4</v>
      </c>
      <c r="B645" t="s">
        <v>395</v>
      </c>
      <c r="C645" t="s">
        <v>1053</v>
      </c>
      <c r="D645" s="47">
        <v>36</v>
      </c>
    </row>
    <row r="646" spans="1:4" ht="15" customHeight="1" x14ac:dyDescent="0.35">
      <c r="A646">
        <v>4</v>
      </c>
      <c r="B646" t="s">
        <v>395</v>
      </c>
      <c r="C646" t="s">
        <v>1054</v>
      </c>
      <c r="D646" s="47">
        <v>99</v>
      </c>
    </row>
    <row r="647" spans="1:4" ht="15" customHeight="1" x14ac:dyDescent="0.35">
      <c r="A647">
        <v>4</v>
      </c>
      <c r="B647" t="s">
        <v>395</v>
      </c>
      <c r="C647" t="s">
        <v>1055</v>
      </c>
      <c r="D647" s="47">
        <v>38</v>
      </c>
    </row>
    <row r="648" spans="1:4" ht="15" customHeight="1" x14ac:dyDescent="0.35">
      <c r="A648">
        <v>4</v>
      </c>
      <c r="B648" t="s">
        <v>395</v>
      </c>
      <c r="C648" t="s">
        <v>1056</v>
      </c>
      <c r="D648" s="47">
        <v>91</v>
      </c>
    </row>
    <row r="649" spans="1:4" ht="15" customHeight="1" x14ac:dyDescent="0.35">
      <c r="A649">
        <v>4</v>
      </c>
      <c r="B649" t="s">
        <v>395</v>
      </c>
      <c r="C649" t="s">
        <v>1057</v>
      </c>
      <c r="D649" s="47">
        <v>1533</v>
      </c>
    </row>
    <row r="650" spans="1:4" ht="15" customHeight="1" x14ac:dyDescent="0.35">
      <c r="A650">
        <v>4</v>
      </c>
      <c r="B650" t="s">
        <v>395</v>
      </c>
      <c r="C650" t="s">
        <v>1058</v>
      </c>
      <c r="D650" s="47">
        <v>43</v>
      </c>
    </row>
    <row r="651" spans="1:4" ht="15" customHeight="1" x14ac:dyDescent="0.35">
      <c r="A651">
        <v>4</v>
      </c>
      <c r="B651" t="s">
        <v>395</v>
      </c>
      <c r="C651" t="s">
        <v>1059</v>
      </c>
      <c r="D651" s="47">
        <v>157</v>
      </c>
    </row>
    <row r="652" spans="1:4" ht="15" customHeight="1" x14ac:dyDescent="0.35">
      <c r="A652">
        <v>4</v>
      </c>
      <c r="B652" t="s">
        <v>395</v>
      </c>
      <c r="C652" t="s">
        <v>1060</v>
      </c>
      <c r="D652" s="47">
        <v>76</v>
      </c>
    </row>
    <row r="653" spans="1:4" ht="15" customHeight="1" x14ac:dyDescent="0.35">
      <c r="A653">
        <v>4</v>
      </c>
      <c r="B653" t="s">
        <v>395</v>
      </c>
      <c r="C653" t="s">
        <v>1061</v>
      </c>
      <c r="D653" s="47">
        <v>29</v>
      </c>
    </row>
    <row r="654" spans="1:4" ht="15" customHeight="1" x14ac:dyDescent="0.35">
      <c r="A654">
        <v>4</v>
      </c>
      <c r="B654" t="s">
        <v>395</v>
      </c>
      <c r="C654" t="s">
        <v>1062</v>
      </c>
      <c r="D654" s="47">
        <v>14</v>
      </c>
    </row>
    <row r="655" spans="1:4" ht="15" customHeight="1" x14ac:dyDescent="0.35">
      <c r="A655">
        <v>4</v>
      </c>
      <c r="B655" t="s">
        <v>395</v>
      </c>
      <c r="C655" t="s">
        <v>1063</v>
      </c>
      <c r="D655" s="47">
        <v>52</v>
      </c>
    </row>
    <row r="656" spans="1:4" ht="15" customHeight="1" x14ac:dyDescent="0.35">
      <c r="A656">
        <v>4</v>
      </c>
      <c r="B656" t="s">
        <v>395</v>
      </c>
      <c r="C656" t="s">
        <v>1064</v>
      </c>
      <c r="D656" s="47">
        <v>78</v>
      </c>
    </row>
    <row r="657" spans="1:5" ht="15" customHeight="1" x14ac:dyDescent="0.35">
      <c r="A657">
        <v>4</v>
      </c>
      <c r="B657" t="s">
        <v>395</v>
      </c>
      <c r="C657" t="s">
        <v>1065</v>
      </c>
      <c r="D657" s="47">
        <v>46</v>
      </c>
    </row>
    <row r="658" spans="1:5" ht="15" customHeight="1" x14ac:dyDescent="0.35">
      <c r="A658">
        <v>4</v>
      </c>
      <c r="B658" t="s">
        <v>395</v>
      </c>
      <c r="C658" t="s">
        <v>1136</v>
      </c>
      <c r="D658" s="47">
        <v>36</v>
      </c>
    </row>
    <row r="659" spans="1:5" ht="15" customHeight="1" x14ac:dyDescent="0.35">
      <c r="A659">
        <v>4</v>
      </c>
      <c r="B659" t="s">
        <v>395</v>
      </c>
      <c r="C659" t="s">
        <v>1066</v>
      </c>
      <c r="D659" s="47">
        <v>80</v>
      </c>
    </row>
    <row r="660" spans="1:5" ht="15" customHeight="1" x14ac:dyDescent="0.35">
      <c r="A660">
        <v>4</v>
      </c>
      <c r="B660" t="s">
        <v>395</v>
      </c>
      <c r="C660" t="s">
        <v>1067</v>
      </c>
      <c r="D660" s="47">
        <v>50</v>
      </c>
    </row>
    <row r="661" spans="1:5" ht="15" customHeight="1" x14ac:dyDescent="0.35">
      <c r="A661">
        <v>4</v>
      </c>
      <c r="B661" t="s">
        <v>395</v>
      </c>
      <c r="C661" t="s">
        <v>1068</v>
      </c>
      <c r="D661" s="47">
        <v>4309</v>
      </c>
      <c r="E661">
        <v>1</v>
      </c>
    </row>
    <row r="662" spans="1:5" ht="15" customHeight="1" x14ac:dyDescent="0.35">
      <c r="A662">
        <v>4</v>
      </c>
      <c r="B662" t="s">
        <v>395</v>
      </c>
      <c r="C662" t="s">
        <v>1069</v>
      </c>
      <c r="D662" s="47">
        <v>91</v>
      </c>
    </row>
    <row r="663" spans="1:5" ht="15" customHeight="1" x14ac:dyDescent="0.35">
      <c r="A663">
        <v>4</v>
      </c>
      <c r="B663" t="s">
        <v>395</v>
      </c>
      <c r="C663" t="s">
        <v>1070</v>
      </c>
      <c r="D663" s="47">
        <v>30</v>
      </c>
    </row>
    <row r="664" spans="1:5" ht="15" customHeight="1" x14ac:dyDescent="0.35">
      <c r="A664">
        <v>4</v>
      </c>
      <c r="B664" t="s">
        <v>395</v>
      </c>
      <c r="C664" t="s">
        <v>1072</v>
      </c>
      <c r="D664" s="47">
        <v>33</v>
      </c>
    </row>
    <row r="665" spans="1:5" ht="15" customHeight="1" x14ac:dyDescent="0.35">
      <c r="A665">
        <v>4</v>
      </c>
      <c r="B665" t="s">
        <v>395</v>
      </c>
      <c r="C665" t="s">
        <v>1073</v>
      </c>
      <c r="D665" s="47">
        <v>126</v>
      </c>
    </row>
    <row r="666" spans="1:5" ht="15" customHeight="1" x14ac:dyDescent="0.35">
      <c r="A666">
        <v>4</v>
      </c>
      <c r="B666" t="s">
        <v>395</v>
      </c>
      <c r="C666" t="s">
        <v>1074</v>
      </c>
      <c r="D666" s="47">
        <v>49</v>
      </c>
    </row>
    <row r="667" spans="1:5" ht="15" customHeight="1" x14ac:dyDescent="0.35">
      <c r="A667">
        <v>4</v>
      </c>
      <c r="B667" t="s">
        <v>395</v>
      </c>
      <c r="C667" t="s">
        <v>1075</v>
      </c>
      <c r="D667" s="47">
        <v>38</v>
      </c>
    </row>
    <row r="668" spans="1:5" ht="15" customHeight="1" x14ac:dyDescent="0.35">
      <c r="A668">
        <v>4</v>
      </c>
      <c r="B668" t="s">
        <v>395</v>
      </c>
      <c r="C668" t="s">
        <v>1076</v>
      </c>
      <c r="D668" s="47">
        <v>140</v>
      </c>
    </row>
    <row r="669" spans="1:5" ht="15" customHeight="1" x14ac:dyDescent="0.35">
      <c r="A669">
        <v>4</v>
      </c>
      <c r="B669" t="s">
        <v>395</v>
      </c>
      <c r="C669" t="s">
        <v>1077</v>
      </c>
      <c r="D669" s="47">
        <v>307</v>
      </c>
    </row>
    <row r="670" spans="1:5" ht="15" customHeight="1" x14ac:dyDescent="0.35">
      <c r="A670">
        <v>4</v>
      </c>
      <c r="B670" t="s">
        <v>395</v>
      </c>
      <c r="C670" t="s">
        <v>1078</v>
      </c>
      <c r="D670" s="47">
        <v>23</v>
      </c>
    </row>
    <row r="671" spans="1:5" ht="15" customHeight="1" x14ac:dyDescent="0.35">
      <c r="A671">
        <v>4</v>
      </c>
      <c r="B671" t="s">
        <v>395</v>
      </c>
      <c r="C671" t="s">
        <v>1079</v>
      </c>
      <c r="D671" s="47">
        <v>49</v>
      </c>
    </row>
    <row r="672" spans="1:5" ht="15" customHeight="1" x14ac:dyDescent="0.35">
      <c r="A672">
        <v>4</v>
      </c>
      <c r="B672" t="s">
        <v>395</v>
      </c>
      <c r="C672" t="s">
        <v>1082</v>
      </c>
      <c r="D672" s="47">
        <v>48</v>
      </c>
    </row>
    <row r="673" spans="1:4" ht="15" customHeight="1" x14ac:dyDescent="0.35">
      <c r="A673">
        <v>4</v>
      </c>
      <c r="B673" t="s">
        <v>395</v>
      </c>
      <c r="C673" t="s">
        <v>1081</v>
      </c>
      <c r="D673" s="47">
        <v>26</v>
      </c>
    </row>
    <row r="674" spans="1:4" ht="15" customHeight="1" x14ac:dyDescent="0.35">
      <c r="A674">
        <v>4</v>
      </c>
      <c r="B674" t="s">
        <v>395</v>
      </c>
      <c r="C674" t="s">
        <v>1083</v>
      </c>
      <c r="D674" s="47">
        <v>92</v>
      </c>
    </row>
    <row r="675" spans="1:4" ht="15" customHeight="1" x14ac:dyDescent="0.35">
      <c r="A675">
        <v>4</v>
      </c>
      <c r="B675" t="s">
        <v>395</v>
      </c>
      <c r="C675" t="s">
        <v>1084</v>
      </c>
      <c r="D675" s="47">
        <v>1448</v>
      </c>
    </row>
    <row r="676" spans="1:4" ht="15" customHeight="1" x14ac:dyDescent="0.35">
      <c r="A676">
        <v>4</v>
      </c>
      <c r="B676" t="s">
        <v>395</v>
      </c>
      <c r="C676" t="s">
        <v>1087</v>
      </c>
      <c r="D676" s="47">
        <v>592</v>
      </c>
    </row>
    <row r="677" spans="1:4" ht="15" customHeight="1" x14ac:dyDescent="0.35">
      <c r="A677">
        <v>4</v>
      </c>
      <c r="B677" t="s">
        <v>395</v>
      </c>
      <c r="C677" t="s">
        <v>1085</v>
      </c>
      <c r="D677" s="47">
        <v>18</v>
      </c>
    </row>
    <row r="678" spans="1:4" ht="15" customHeight="1" x14ac:dyDescent="0.35">
      <c r="A678">
        <v>4</v>
      </c>
      <c r="B678" t="s">
        <v>395</v>
      </c>
      <c r="C678" t="s">
        <v>1086</v>
      </c>
      <c r="D678" s="47">
        <v>24</v>
      </c>
    </row>
    <row r="679" spans="1:4" ht="15" customHeight="1" x14ac:dyDescent="0.35">
      <c r="A679">
        <v>4</v>
      </c>
      <c r="B679" t="s">
        <v>395</v>
      </c>
      <c r="C679" t="s">
        <v>1088</v>
      </c>
      <c r="D679" s="47">
        <v>5434</v>
      </c>
    </row>
    <row r="680" spans="1:4" ht="15" customHeight="1" x14ac:dyDescent="0.35">
      <c r="A680">
        <v>4</v>
      </c>
      <c r="B680" t="s">
        <v>395</v>
      </c>
      <c r="C680" t="s">
        <v>1089</v>
      </c>
      <c r="D680" s="47">
        <v>21</v>
      </c>
    </row>
    <row r="681" spans="1:4" ht="15" customHeight="1" x14ac:dyDescent="0.35">
      <c r="A681">
        <v>4</v>
      </c>
      <c r="B681" t="s">
        <v>395</v>
      </c>
      <c r="C681" t="s">
        <v>1090</v>
      </c>
      <c r="D681" s="47">
        <v>166</v>
      </c>
    </row>
    <row r="682" spans="1:4" ht="15" customHeight="1" x14ac:dyDescent="0.35">
      <c r="A682">
        <v>4</v>
      </c>
      <c r="B682" t="s">
        <v>395</v>
      </c>
      <c r="C682" t="s">
        <v>1091</v>
      </c>
      <c r="D682" s="47">
        <v>40</v>
      </c>
    </row>
    <row r="683" spans="1:4" ht="15" customHeight="1" x14ac:dyDescent="0.35">
      <c r="A683">
        <v>4</v>
      </c>
      <c r="B683" t="s">
        <v>395</v>
      </c>
      <c r="C683" t="s">
        <v>1092</v>
      </c>
      <c r="D683" s="47">
        <v>10</v>
      </c>
    </row>
    <row r="684" spans="1:4" ht="15" customHeight="1" x14ac:dyDescent="0.35">
      <c r="A684">
        <v>4</v>
      </c>
      <c r="B684" t="s">
        <v>395</v>
      </c>
      <c r="C684" t="s">
        <v>1093</v>
      </c>
      <c r="D684" s="47">
        <v>19</v>
      </c>
    </row>
    <row r="685" spans="1:4" ht="15" customHeight="1" x14ac:dyDescent="0.35">
      <c r="A685">
        <v>4</v>
      </c>
      <c r="B685" t="s">
        <v>395</v>
      </c>
      <c r="C685" t="s">
        <v>1094</v>
      </c>
      <c r="D685" s="47">
        <v>1044</v>
      </c>
    </row>
    <row r="686" spans="1:4" ht="15" customHeight="1" x14ac:dyDescent="0.35">
      <c r="A686">
        <v>4</v>
      </c>
      <c r="B686" t="s">
        <v>395</v>
      </c>
      <c r="C686" t="s">
        <v>1095</v>
      </c>
      <c r="D686" s="47">
        <v>194</v>
      </c>
    </row>
    <row r="687" spans="1:4" ht="15" customHeight="1" x14ac:dyDescent="0.35">
      <c r="A687">
        <v>4</v>
      </c>
      <c r="B687" t="s">
        <v>395</v>
      </c>
      <c r="C687" t="s">
        <v>1096</v>
      </c>
      <c r="D687" s="47">
        <v>18</v>
      </c>
    </row>
    <row r="688" spans="1:4" ht="15" customHeight="1" x14ac:dyDescent="0.35">
      <c r="A688">
        <v>4</v>
      </c>
      <c r="B688" t="s">
        <v>395</v>
      </c>
      <c r="C688" t="s">
        <v>1097</v>
      </c>
      <c r="D688" s="47">
        <v>23</v>
      </c>
    </row>
    <row r="689" spans="1:4" ht="15" customHeight="1" x14ac:dyDescent="0.35">
      <c r="A689">
        <v>4</v>
      </c>
      <c r="B689" t="s">
        <v>395</v>
      </c>
      <c r="C689" t="s">
        <v>1098</v>
      </c>
      <c r="D689" s="47">
        <v>1201</v>
      </c>
    </row>
    <row r="690" spans="1:4" ht="15" customHeight="1" x14ac:dyDescent="0.35">
      <c r="A690">
        <v>4</v>
      </c>
      <c r="B690" t="s">
        <v>395</v>
      </c>
      <c r="C690" t="s">
        <v>1099</v>
      </c>
      <c r="D690" s="47">
        <v>1319</v>
      </c>
    </row>
    <row r="691" spans="1:4" ht="15" customHeight="1" x14ac:dyDescent="0.35">
      <c r="A691">
        <v>4</v>
      </c>
      <c r="B691" t="s">
        <v>395</v>
      </c>
      <c r="C691" t="s">
        <v>1100</v>
      </c>
      <c r="D691" s="47">
        <v>2616</v>
      </c>
    </row>
    <row r="692" spans="1:4" ht="15" customHeight="1" x14ac:dyDescent="0.35">
      <c r="A692">
        <v>4</v>
      </c>
      <c r="B692" t="s">
        <v>395</v>
      </c>
      <c r="C692" t="s">
        <v>1101</v>
      </c>
      <c r="D692" s="47">
        <v>28</v>
      </c>
    </row>
    <row r="693" spans="1:4" ht="15" customHeight="1" x14ac:dyDescent="0.35">
      <c r="A693">
        <v>4</v>
      </c>
      <c r="B693" t="s">
        <v>395</v>
      </c>
      <c r="C693" t="s">
        <v>1102</v>
      </c>
      <c r="D693" s="47">
        <v>31</v>
      </c>
    </row>
    <row r="694" spans="1:4" ht="15" customHeight="1" x14ac:dyDescent="0.35">
      <c r="A694">
        <v>4</v>
      </c>
      <c r="B694" t="s">
        <v>395</v>
      </c>
      <c r="C694" t="s">
        <v>1103</v>
      </c>
      <c r="D694" s="47">
        <v>40</v>
      </c>
    </row>
    <row r="695" spans="1:4" ht="15" customHeight="1" x14ac:dyDescent="0.35">
      <c r="A695">
        <v>4</v>
      </c>
      <c r="B695" t="s">
        <v>395</v>
      </c>
      <c r="C695" t="s">
        <v>1104</v>
      </c>
      <c r="D695" s="47">
        <v>76</v>
      </c>
    </row>
    <row r="696" spans="1:4" ht="15" customHeight="1" x14ac:dyDescent="0.35">
      <c r="A696">
        <v>4</v>
      </c>
      <c r="B696" t="s">
        <v>395</v>
      </c>
      <c r="C696" t="s">
        <v>1105</v>
      </c>
      <c r="D696" s="47">
        <v>114</v>
      </c>
    </row>
    <row r="697" spans="1:4" ht="15" customHeight="1" x14ac:dyDescent="0.35">
      <c r="A697">
        <v>4</v>
      </c>
      <c r="B697" t="s">
        <v>395</v>
      </c>
      <c r="C697" t="s">
        <v>1106</v>
      </c>
      <c r="D697" s="47">
        <v>1072</v>
      </c>
    </row>
    <row r="698" spans="1:4" ht="15" customHeight="1" x14ac:dyDescent="0.35">
      <c r="A698">
        <v>4</v>
      </c>
      <c r="B698" t="s">
        <v>395</v>
      </c>
      <c r="C698" t="s">
        <v>1107</v>
      </c>
      <c r="D698" s="47">
        <v>40</v>
      </c>
    </row>
    <row r="699" spans="1:4" ht="15" customHeight="1" x14ac:dyDescent="0.35">
      <c r="A699">
        <v>4</v>
      </c>
      <c r="B699" t="s">
        <v>395</v>
      </c>
      <c r="C699" t="s">
        <v>1108</v>
      </c>
      <c r="D699" s="47">
        <v>56</v>
      </c>
    </row>
    <row r="700" spans="1:4" ht="15" customHeight="1" x14ac:dyDescent="0.35">
      <c r="A700">
        <v>4</v>
      </c>
      <c r="B700" t="s">
        <v>395</v>
      </c>
      <c r="C700" t="s">
        <v>1109</v>
      </c>
      <c r="D700" s="47">
        <v>45</v>
      </c>
    </row>
    <row r="701" spans="1:4" ht="15" customHeight="1" x14ac:dyDescent="0.35">
      <c r="A701">
        <v>4</v>
      </c>
      <c r="B701" t="s">
        <v>395</v>
      </c>
      <c r="C701" t="s">
        <v>1110</v>
      </c>
      <c r="D701" s="47">
        <v>257</v>
      </c>
    </row>
    <row r="702" spans="1:4" ht="15" customHeight="1" x14ac:dyDescent="0.35">
      <c r="A702">
        <v>4</v>
      </c>
      <c r="B702" t="s">
        <v>395</v>
      </c>
      <c r="C702" t="s">
        <v>1111</v>
      </c>
      <c r="D702" s="47">
        <v>152</v>
      </c>
    </row>
    <row r="703" spans="1:4" ht="15" customHeight="1" x14ac:dyDescent="0.35">
      <c r="A703">
        <v>4</v>
      </c>
      <c r="B703" t="s">
        <v>395</v>
      </c>
      <c r="C703" t="s">
        <v>1112</v>
      </c>
      <c r="D703" s="47">
        <v>23</v>
      </c>
    </row>
    <row r="704" spans="1:4" ht="15" customHeight="1" x14ac:dyDescent="0.35">
      <c r="A704">
        <v>4</v>
      </c>
      <c r="B704" t="s">
        <v>395</v>
      </c>
      <c r="C704" t="s">
        <v>1113</v>
      </c>
      <c r="D704" s="47">
        <v>26</v>
      </c>
    </row>
    <row r="705" spans="1:5" ht="15" customHeight="1" x14ac:dyDescent="0.35">
      <c r="A705">
        <v>4</v>
      </c>
      <c r="B705" t="s">
        <v>395</v>
      </c>
      <c r="C705" t="s">
        <v>1114</v>
      </c>
      <c r="D705" s="47">
        <v>60</v>
      </c>
    </row>
    <row r="706" spans="1:5" ht="15" customHeight="1" x14ac:dyDescent="0.35">
      <c r="A706">
        <v>4</v>
      </c>
      <c r="B706" t="s">
        <v>395</v>
      </c>
      <c r="C706" t="s">
        <v>1115</v>
      </c>
      <c r="D706" s="47">
        <v>23</v>
      </c>
    </row>
    <row r="707" spans="1:5" ht="15" customHeight="1" x14ac:dyDescent="0.35">
      <c r="A707">
        <v>4</v>
      </c>
      <c r="B707" t="s">
        <v>395</v>
      </c>
      <c r="C707" t="s">
        <v>1116</v>
      </c>
      <c r="D707" s="47">
        <v>7</v>
      </c>
    </row>
    <row r="708" spans="1:5" ht="15" customHeight="1" x14ac:dyDescent="0.35">
      <c r="A708">
        <v>4</v>
      </c>
      <c r="B708" t="s">
        <v>395</v>
      </c>
      <c r="C708" t="s">
        <v>1117</v>
      </c>
      <c r="D708" s="47">
        <v>94</v>
      </c>
    </row>
    <row r="709" spans="1:5" ht="15" customHeight="1" x14ac:dyDescent="0.35">
      <c r="A709">
        <v>4</v>
      </c>
      <c r="B709" t="s">
        <v>395</v>
      </c>
      <c r="C709" t="s">
        <v>1118</v>
      </c>
      <c r="D709" s="47">
        <v>46</v>
      </c>
    </row>
    <row r="710" spans="1:5" ht="15" customHeight="1" x14ac:dyDescent="0.35">
      <c r="A710">
        <v>4</v>
      </c>
      <c r="B710" t="s">
        <v>395</v>
      </c>
      <c r="C710" t="s">
        <v>1119</v>
      </c>
      <c r="D710" s="47">
        <v>149</v>
      </c>
    </row>
    <row r="711" spans="1:5" ht="15" customHeight="1" x14ac:dyDescent="0.35">
      <c r="A711">
        <v>4</v>
      </c>
      <c r="B711" t="s">
        <v>395</v>
      </c>
      <c r="C711" t="s">
        <v>1120</v>
      </c>
      <c r="D711" s="47">
        <v>31</v>
      </c>
    </row>
    <row r="712" spans="1:5" ht="15" customHeight="1" x14ac:dyDescent="0.35">
      <c r="A712">
        <v>4</v>
      </c>
      <c r="B712" t="s">
        <v>395</v>
      </c>
      <c r="C712" t="s">
        <v>1121</v>
      </c>
      <c r="D712" s="47">
        <v>6573</v>
      </c>
      <c r="E712">
        <v>1</v>
      </c>
    </row>
    <row r="713" spans="1:5" ht="15" customHeight="1" x14ac:dyDescent="0.35">
      <c r="A713">
        <v>4</v>
      </c>
      <c r="B713" t="s">
        <v>395</v>
      </c>
      <c r="C713" t="s">
        <v>1122</v>
      </c>
      <c r="D713" s="47">
        <v>45</v>
      </c>
    </row>
    <row r="714" spans="1:5" ht="15" customHeight="1" x14ac:dyDescent="0.35">
      <c r="A714">
        <v>4</v>
      </c>
      <c r="B714" t="s">
        <v>395</v>
      </c>
      <c r="C714" t="s">
        <v>1123</v>
      </c>
      <c r="D714" s="47">
        <v>27</v>
      </c>
    </row>
    <row r="715" spans="1:5" ht="15" customHeight="1" x14ac:dyDescent="0.35">
      <c r="A715">
        <v>4</v>
      </c>
      <c r="B715" t="s">
        <v>395</v>
      </c>
      <c r="C715" t="s">
        <v>1124</v>
      </c>
      <c r="D715" s="47">
        <v>39</v>
      </c>
    </row>
    <row r="716" spans="1:5" ht="15" customHeight="1" x14ac:dyDescent="0.35">
      <c r="A716">
        <v>4</v>
      </c>
      <c r="B716" t="s">
        <v>395</v>
      </c>
      <c r="C716" t="s">
        <v>1125</v>
      </c>
      <c r="D716" s="47">
        <v>182</v>
      </c>
    </row>
    <row r="717" spans="1:5" ht="15" customHeight="1" x14ac:dyDescent="0.35">
      <c r="A717">
        <v>4</v>
      </c>
      <c r="B717" t="s">
        <v>395</v>
      </c>
      <c r="C717" t="s">
        <v>1126</v>
      </c>
      <c r="D717" s="47">
        <v>148</v>
      </c>
    </row>
    <row r="718" spans="1:5" ht="15" customHeight="1" x14ac:dyDescent="0.35">
      <c r="A718">
        <v>4</v>
      </c>
      <c r="B718" t="s">
        <v>395</v>
      </c>
      <c r="C718" t="s">
        <v>1127</v>
      </c>
      <c r="D718" s="47">
        <v>3791</v>
      </c>
    </row>
    <row r="719" spans="1:5" ht="15" customHeight="1" x14ac:dyDescent="0.35">
      <c r="A719">
        <v>4</v>
      </c>
      <c r="B719" t="s">
        <v>395</v>
      </c>
      <c r="C719" t="s">
        <v>1128</v>
      </c>
      <c r="D719" s="47">
        <v>444</v>
      </c>
    </row>
    <row r="720" spans="1:5" ht="15" customHeight="1" x14ac:dyDescent="0.35">
      <c r="A720">
        <v>4</v>
      </c>
      <c r="B720" t="s">
        <v>395</v>
      </c>
      <c r="C720" t="s">
        <v>1129</v>
      </c>
      <c r="D720" s="47">
        <v>71</v>
      </c>
    </row>
    <row r="721" spans="1:4" ht="15" customHeight="1" x14ac:dyDescent="0.35">
      <c r="A721">
        <v>4</v>
      </c>
      <c r="B721" t="s">
        <v>395</v>
      </c>
      <c r="C721" t="s">
        <v>1130</v>
      </c>
      <c r="D721" s="47">
        <v>78</v>
      </c>
    </row>
    <row r="722" spans="1:4" ht="15" customHeight="1" x14ac:dyDescent="0.35">
      <c r="A722">
        <v>4</v>
      </c>
      <c r="B722" t="s">
        <v>395</v>
      </c>
      <c r="C722" t="s">
        <v>1131</v>
      </c>
      <c r="D722" s="47">
        <v>4044</v>
      </c>
    </row>
    <row r="723" spans="1:4" ht="15" customHeight="1" x14ac:dyDescent="0.35">
      <c r="A723">
        <v>4</v>
      </c>
      <c r="B723" t="s">
        <v>395</v>
      </c>
      <c r="C723" t="s">
        <v>1133</v>
      </c>
      <c r="D723" s="47">
        <v>116</v>
      </c>
    </row>
    <row r="724" spans="1:4" ht="15" customHeight="1" x14ac:dyDescent="0.35">
      <c r="A724">
        <v>4</v>
      </c>
      <c r="B724" t="s">
        <v>395</v>
      </c>
      <c r="C724" t="s">
        <v>1134</v>
      </c>
      <c r="D724" s="47">
        <v>44</v>
      </c>
    </row>
    <row r="725" spans="1:4" ht="15" customHeight="1" x14ac:dyDescent="0.35">
      <c r="A725">
        <v>4</v>
      </c>
      <c r="B725" t="s">
        <v>395</v>
      </c>
      <c r="C725" t="s">
        <v>1135</v>
      </c>
      <c r="D725" s="47">
        <v>78</v>
      </c>
    </row>
    <row r="726" spans="1:4" ht="15" customHeight="1" x14ac:dyDescent="0.35">
      <c r="A726">
        <v>5</v>
      </c>
      <c r="B726" t="s">
        <v>392</v>
      </c>
      <c r="C726" t="s">
        <v>1137</v>
      </c>
      <c r="D726" s="47">
        <v>2264</v>
      </c>
    </row>
    <row r="727" spans="1:4" ht="15" customHeight="1" x14ac:dyDescent="0.35">
      <c r="A727">
        <v>5</v>
      </c>
      <c r="B727" t="s">
        <v>392</v>
      </c>
      <c r="C727" t="s">
        <v>1138</v>
      </c>
      <c r="D727" s="47">
        <v>3623</v>
      </c>
    </row>
    <row r="728" spans="1:4" ht="15" customHeight="1" x14ac:dyDescent="0.35">
      <c r="A728">
        <v>5</v>
      </c>
      <c r="B728" t="s">
        <v>392</v>
      </c>
      <c r="C728" t="s">
        <v>1139</v>
      </c>
      <c r="D728" s="47">
        <v>683</v>
      </c>
    </row>
    <row r="729" spans="1:4" ht="15" customHeight="1" x14ac:dyDescent="0.35">
      <c r="A729">
        <v>5</v>
      </c>
      <c r="B729" t="s">
        <v>392</v>
      </c>
      <c r="C729" t="s">
        <v>1140</v>
      </c>
      <c r="D729" s="47">
        <v>686</v>
      </c>
    </row>
    <row r="730" spans="1:4" ht="15" customHeight="1" x14ac:dyDescent="0.35">
      <c r="A730">
        <v>5</v>
      </c>
      <c r="B730" t="s">
        <v>392</v>
      </c>
      <c r="C730" t="s">
        <v>1141</v>
      </c>
      <c r="D730" s="47">
        <v>274</v>
      </c>
    </row>
    <row r="731" spans="1:4" ht="15" customHeight="1" x14ac:dyDescent="0.35">
      <c r="A731">
        <v>5</v>
      </c>
      <c r="B731" t="s">
        <v>392</v>
      </c>
      <c r="C731" t="s">
        <v>1142</v>
      </c>
      <c r="D731" s="47">
        <v>1648</v>
      </c>
    </row>
    <row r="732" spans="1:4" ht="15" customHeight="1" x14ac:dyDescent="0.35">
      <c r="A732">
        <v>5</v>
      </c>
      <c r="B732" t="s">
        <v>392</v>
      </c>
      <c r="C732" t="s">
        <v>1143</v>
      </c>
      <c r="D732" s="47">
        <v>810</v>
      </c>
    </row>
    <row r="733" spans="1:4" ht="15" customHeight="1" x14ac:dyDescent="0.35">
      <c r="A733">
        <v>5</v>
      </c>
      <c r="B733" t="s">
        <v>392</v>
      </c>
      <c r="C733" t="s">
        <v>1144</v>
      </c>
      <c r="D733" s="47">
        <v>163</v>
      </c>
    </row>
    <row r="734" spans="1:4" ht="15" customHeight="1" x14ac:dyDescent="0.35">
      <c r="A734">
        <v>5</v>
      </c>
      <c r="B734" t="s">
        <v>392</v>
      </c>
      <c r="C734" t="s">
        <v>1145</v>
      </c>
      <c r="D734" s="47">
        <v>520</v>
      </c>
    </row>
    <row r="735" spans="1:4" ht="15" customHeight="1" x14ac:dyDescent="0.35">
      <c r="A735">
        <v>5</v>
      </c>
      <c r="B735" t="s">
        <v>392</v>
      </c>
      <c r="C735" t="s">
        <v>1146</v>
      </c>
      <c r="D735" s="47">
        <v>427</v>
      </c>
    </row>
    <row r="736" spans="1:4" ht="15" customHeight="1" x14ac:dyDescent="0.35">
      <c r="A736">
        <v>5</v>
      </c>
      <c r="B736" t="s">
        <v>392</v>
      </c>
      <c r="C736" t="s">
        <v>1147</v>
      </c>
      <c r="D736" s="47">
        <v>313</v>
      </c>
    </row>
    <row r="737" spans="1:4" ht="15" customHeight="1" x14ac:dyDescent="0.35">
      <c r="A737">
        <v>5</v>
      </c>
      <c r="B737" t="s">
        <v>392</v>
      </c>
      <c r="C737" t="s">
        <v>1148</v>
      </c>
      <c r="D737" s="47">
        <v>790</v>
      </c>
    </row>
    <row r="738" spans="1:4" ht="15" customHeight="1" x14ac:dyDescent="0.35">
      <c r="A738">
        <v>5</v>
      </c>
      <c r="B738" t="s">
        <v>392</v>
      </c>
      <c r="C738" t="s">
        <v>1149</v>
      </c>
      <c r="D738" s="47">
        <v>2105</v>
      </c>
    </row>
    <row r="739" spans="1:4" ht="15" customHeight="1" x14ac:dyDescent="0.35">
      <c r="A739">
        <v>5</v>
      </c>
      <c r="B739" t="s">
        <v>392</v>
      </c>
      <c r="C739" t="s">
        <v>1150</v>
      </c>
      <c r="D739" s="47">
        <v>5154</v>
      </c>
    </row>
    <row r="740" spans="1:4" ht="15" customHeight="1" x14ac:dyDescent="0.35">
      <c r="A740">
        <v>5</v>
      </c>
      <c r="B740" t="s">
        <v>392</v>
      </c>
      <c r="C740" t="s">
        <v>1151</v>
      </c>
      <c r="D740" s="47">
        <v>883</v>
      </c>
    </row>
    <row r="741" spans="1:4" ht="15" customHeight="1" x14ac:dyDescent="0.35">
      <c r="A741">
        <v>5</v>
      </c>
      <c r="B741" t="s">
        <v>392</v>
      </c>
      <c r="C741" t="s">
        <v>1152</v>
      </c>
      <c r="D741" s="47">
        <v>6418</v>
      </c>
    </row>
    <row r="742" spans="1:4" ht="15" customHeight="1" x14ac:dyDescent="0.35">
      <c r="A742">
        <v>5</v>
      </c>
      <c r="B742" t="s">
        <v>392</v>
      </c>
      <c r="C742" t="s">
        <v>1153</v>
      </c>
      <c r="D742" s="47">
        <v>288</v>
      </c>
    </row>
    <row r="743" spans="1:4" ht="15" customHeight="1" x14ac:dyDescent="0.35">
      <c r="A743">
        <v>5</v>
      </c>
      <c r="B743" t="s">
        <v>392</v>
      </c>
      <c r="C743" t="s">
        <v>1154</v>
      </c>
      <c r="D743" s="47">
        <v>872</v>
      </c>
    </row>
    <row r="744" spans="1:4" ht="15" customHeight="1" x14ac:dyDescent="0.35">
      <c r="A744">
        <v>5</v>
      </c>
      <c r="B744" t="s">
        <v>392</v>
      </c>
      <c r="C744" t="s">
        <v>1155</v>
      </c>
      <c r="D744" s="47">
        <v>10332</v>
      </c>
    </row>
    <row r="745" spans="1:4" ht="15" customHeight="1" x14ac:dyDescent="0.35">
      <c r="A745">
        <v>5</v>
      </c>
      <c r="B745" t="s">
        <v>392</v>
      </c>
      <c r="C745" t="s">
        <v>1156</v>
      </c>
      <c r="D745" s="47">
        <v>1522</v>
      </c>
    </row>
    <row r="746" spans="1:4" ht="15" customHeight="1" x14ac:dyDescent="0.35">
      <c r="A746">
        <v>5</v>
      </c>
      <c r="B746" t="s">
        <v>392</v>
      </c>
      <c r="C746" t="s">
        <v>1157</v>
      </c>
      <c r="D746" s="47">
        <v>3825</v>
      </c>
    </row>
    <row r="747" spans="1:4" ht="15" customHeight="1" x14ac:dyDescent="0.35">
      <c r="A747">
        <v>5</v>
      </c>
      <c r="B747" t="s">
        <v>392</v>
      </c>
      <c r="C747" t="s">
        <v>1158</v>
      </c>
      <c r="D747" s="47">
        <v>424</v>
      </c>
    </row>
    <row r="748" spans="1:4" ht="15" customHeight="1" x14ac:dyDescent="0.35">
      <c r="A748">
        <v>5</v>
      </c>
      <c r="B748" t="s">
        <v>392</v>
      </c>
      <c r="C748" t="s">
        <v>1159</v>
      </c>
      <c r="D748" s="47">
        <v>3172</v>
      </c>
    </row>
    <row r="749" spans="1:4" ht="15" customHeight="1" x14ac:dyDescent="0.35">
      <c r="A749">
        <v>5</v>
      </c>
      <c r="B749" t="s">
        <v>392</v>
      </c>
      <c r="C749" t="s">
        <v>1160</v>
      </c>
      <c r="D749" s="47">
        <v>1319</v>
      </c>
    </row>
    <row r="750" spans="1:4" ht="15" customHeight="1" x14ac:dyDescent="0.35">
      <c r="A750">
        <v>5</v>
      </c>
      <c r="B750" t="s">
        <v>392</v>
      </c>
      <c r="C750" t="s">
        <v>1161</v>
      </c>
      <c r="D750" s="47">
        <v>1799</v>
      </c>
    </row>
    <row r="751" spans="1:4" ht="15" customHeight="1" x14ac:dyDescent="0.35">
      <c r="A751">
        <v>5</v>
      </c>
      <c r="B751" t="s">
        <v>392</v>
      </c>
      <c r="C751" t="s">
        <v>1162</v>
      </c>
      <c r="D751" s="47">
        <v>257</v>
      </c>
    </row>
    <row r="752" spans="1:4" ht="15" customHeight="1" x14ac:dyDescent="0.35">
      <c r="A752">
        <v>5</v>
      </c>
      <c r="B752" t="s">
        <v>392</v>
      </c>
      <c r="C752" t="s">
        <v>1163</v>
      </c>
      <c r="D752" s="47">
        <v>346</v>
      </c>
    </row>
    <row r="753" spans="1:5" ht="15" customHeight="1" x14ac:dyDescent="0.35">
      <c r="A753">
        <v>5</v>
      </c>
      <c r="B753" t="s">
        <v>392</v>
      </c>
      <c r="C753" t="s">
        <v>1164</v>
      </c>
      <c r="D753" s="47">
        <v>4646</v>
      </c>
    </row>
    <row r="754" spans="1:5" ht="15" customHeight="1" x14ac:dyDescent="0.35">
      <c r="A754">
        <v>5</v>
      </c>
      <c r="B754" t="s">
        <v>392</v>
      </c>
      <c r="C754" t="s">
        <v>1165</v>
      </c>
      <c r="D754" s="47">
        <v>208</v>
      </c>
    </row>
    <row r="755" spans="1:5" ht="15" customHeight="1" x14ac:dyDescent="0.35">
      <c r="A755">
        <v>5</v>
      </c>
      <c r="B755" t="s">
        <v>392</v>
      </c>
      <c r="C755" t="s">
        <v>1166</v>
      </c>
      <c r="D755" s="47">
        <v>529</v>
      </c>
    </row>
    <row r="756" spans="1:5" ht="15" customHeight="1" x14ac:dyDescent="0.35">
      <c r="A756">
        <v>5</v>
      </c>
      <c r="B756" t="s">
        <v>392</v>
      </c>
      <c r="C756" t="s">
        <v>1167</v>
      </c>
      <c r="D756" s="47">
        <v>3960</v>
      </c>
    </row>
    <row r="757" spans="1:5" ht="15" customHeight="1" x14ac:dyDescent="0.35">
      <c r="A757">
        <v>5</v>
      </c>
      <c r="B757" t="s">
        <v>392</v>
      </c>
      <c r="C757" t="s">
        <v>1168</v>
      </c>
      <c r="D757" s="47">
        <v>565</v>
      </c>
    </row>
    <row r="758" spans="1:5" ht="15" customHeight="1" x14ac:dyDescent="0.35">
      <c r="A758">
        <v>5</v>
      </c>
      <c r="B758" t="s">
        <v>392</v>
      </c>
      <c r="C758" t="s">
        <v>1170</v>
      </c>
      <c r="D758" s="47">
        <v>1726</v>
      </c>
    </row>
    <row r="759" spans="1:5" ht="15" customHeight="1" x14ac:dyDescent="0.35">
      <c r="A759">
        <v>5</v>
      </c>
      <c r="B759" t="s">
        <v>392</v>
      </c>
      <c r="C759" t="s">
        <v>1171</v>
      </c>
      <c r="D759" s="47">
        <v>355</v>
      </c>
    </row>
    <row r="760" spans="1:5" ht="15" customHeight="1" x14ac:dyDescent="0.35">
      <c r="A760">
        <v>5</v>
      </c>
      <c r="B760" t="s">
        <v>392</v>
      </c>
      <c r="C760" t="s">
        <v>1172</v>
      </c>
      <c r="D760" s="47">
        <v>743</v>
      </c>
    </row>
    <row r="761" spans="1:5" ht="15" customHeight="1" x14ac:dyDescent="0.35">
      <c r="A761">
        <v>5</v>
      </c>
      <c r="B761" t="s">
        <v>392</v>
      </c>
      <c r="C761" t="s">
        <v>1174</v>
      </c>
      <c r="D761" s="47">
        <v>4846</v>
      </c>
    </row>
    <row r="762" spans="1:5" ht="15" customHeight="1" x14ac:dyDescent="0.35">
      <c r="A762">
        <v>5</v>
      </c>
      <c r="B762" t="s">
        <v>392</v>
      </c>
      <c r="C762" t="s">
        <v>1175</v>
      </c>
      <c r="D762" s="47">
        <v>262</v>
      </c>
    </row>
    <row r="763" spans="1:5" ht="15" customHeight="1" x14ac:dyDescent="0.35">
      <c r="A763">
        <v>5</v>
      </c>
      <c r="B763" t="s">
        <v>392</v>
      </c>
      <c r="C763" t="s">
        <v>1177</v>
      </c>
      <c r="D763" s="47">
        <v>5681</v>
      </c>
      <c r="E763">
        <v>1</v>
      </c>
    </row>
    <row r="764" spans="1:5" ht="15" customHeight="1" x14ac:dyDescent="0.35">
      <c r="A764">
        <v>5</v>
      </c>
      <c r="B764" t="s">
        <v>392</v>
      </c>
      <c r="C764" t="s">
        <v>1178</v>
      </c>
      <c r="D764" s="47">
        <v>201</v>
      </c>
    </row>
    <row r="765" spans="1:5" ht="15" customHeight="1" x14ac:dyDescent="0.35">
      <c r="A765">
        <v>5</v>
      </c>
      <c r="B765" t="s">
        <v>392</v>
      </c>
      <c r="C765" t="s">
        <v>1179</v>
      </c>
      <c r="D765" s="47">
        <v>938</v>
      </c>
    </row>
    <row r="766" spans="1:5" ht="15" customHeight="1" x14ac:dyDescent="0.35">
      <c r="A766">
        <v>5</v>
      </c>
      <c r="B766" t="s">
        <v>392</v>
      </c>
      <c r="C766" t="s">
        <v>1180</v>
      </c>
      <c r="D766" s="47">
        <v>1750</v>
      </c>
    </row>
    <row r="767" spans="1:5" ht="15" customHeight="1" x14ac:dyDescent="0.35">
      <c r="A767">
        <v>5</v>
      </c>
      <c r="B767" t="s">
        <v>392</v>
      </c>
      <c r="C767" t="s">
        <v>1181</v>
      </c>
      <c r="D767" s="47">
        <v>3235</v>
      </c>
    </row>
    <row r="768" spans="1:5" ht="15" customHeight="1" x14ac:dyDescent="0.35">
      <c r="A768">
        <v>5</v>
      </c>
      <c r="B768" t="s">
        <v>392</v>
      </c>
      <c r="C768" t="s">
        <v>1182</v>
      </c>
      <c r="D768" s="47">
        <v>3762</v>
      </c>
    </row>
    <row r="769" spans="1:4" ht="15" customHeight="1" x14ac:dyDescent="0.35">
      <c r="A769">
        <v>5</v>
      </c>
      <c r="B769" t="s">
        <v>392</v>
      </c>
      <c r="C769" t="s">
        <v>1184</v>
      </c>
      <c r="D769" s="47">
        <v>517</v>
      </c>
    </row>
    <row r="770" spans="1:4" ht="15" customHeight="1" x14ac:dyDescent="0.35">
      <c r="A770">
        <v>5</v>
      </c>
      <c r="B770" t="s">
        <v>392</v>
      </c>
      <c r="C770" t="s">
        <v>1191</v>
      </c>
      <c r="D770" s="47">
        <v>3966</v>
      </c>
    </row>
    <row r="771" spans="1:4" ht="15" customHeight="1" x14ac:dyDescent="0.35">
      <c r="A771">
        <v>5</v>
      </c>
      <c r="B771" t="s">
        <v>392</v>
      </c>
      <c r="C771" t="s">
        <v>1192</v>
      </c>
      <c r="D771" s="47">
        <v>257</v>
      </c>
    </row>
    <row r="772" spans="1:4" ht="15" customHeight="1" x14ac:dyDescent="0.35">
      <c r="A772">
        <v>5</v>
      </c>
      <c r="B772" t="s">
        <v>392</v>
      </c>
      <c r="C772" t="s">
        <v>1185</v>
      </c>
      <c r="D772" s="47">
        <v>551</v>
      </c>
    </row>
    <row r="773" spans="1:4" ht="15" customHeight="1" x14ac:dyDescent="0.35">
      <c r="A773">
        <v>5</v>
      </c>
      <c r="B773" t="s">
        <v>392</v>
      </c>
      <c r="C773" t="s">
        <v>1186</v>
      </c>
      <c r="D773" s="47">
        <v>2255</v>
      </c>
    </row>
    <row r="774" spans="1:4" ht="15" customHeight="1" x14ac:dyDescent="0.35">
      <c r="A774">
        <v>5</v>
      </c>
      <c r="B774" t="s">
        <v>392</v>
      </c>
      <c r="C774" t="s">
        <v>1187</v>
      </c>
      <c r="D774" s="47">
        <v>4310</v>
      </c>
    </row>
    <row r="775" spans="1:4" ht="15" customHeight="1" x14ac:dyDescent="0.35">
      <c r="A775">
        <v>5</v>
      </c>
      <c r="B775" t="s">
        <v>392</v>
      </c>
      <c r="C775" t="s">
        <v>1188</v>
      </c>
      <c r="D775" s="47">
        <v>9998</v>
      </c>
    </row>
    <row r="776" spans="1:4" ht="15" customHeight="1" x14ac:dyDescent="0.35">
      <c r="A776">
        <v>5</v>
      </c>
      <c r="B776" t="s">
        <v>392</v>
      </c>
      <c r="C776" t="s">
        <v>1189</v>
      </c>
      <c r="D776" s="47">
        <v>5352</v>
      </c>
    </row>
    <row r="777" spans="1:4" ht="15" customHeight="1" x14ac:dyDescent="0.35">
      <c r="A777">
        <v>5</v>
      </c>
      <c r="B777" t="s">
        <v>392</v>
      </c>
      <c r="C777" t="s">
        <v>1190</v>
      </c>
      <c r="D777" s="47">
        <v>1291</v>
      </c>
    </row>
    <row r="778" spans="1:4" ht="15" customHeight="1" x14ac:dyDescent="0.35">
      <c r="A778">
        <v>5</v>
      </c>
      <c r="B778" t="s">
        <v>392</v>
      </c>
      <c r="C778" t="s">
        <v>1193</v>
      </c>
      <c r="D778" s="47">
        <v>372</v>
      </c>
    </row>
    <row r="779" spans="1:4" ht="15" customHeight="1" x14ac:dyDescent="0.35">
      <c r="A779">
        <v>5</v>
      </c>
      <c r="B779" t="s">
        <v>392</v>
      </c>
      <c r="C779" t="s">
        <v>1194</v>
      </c>
      <c r="D779" s="47">
        <v>2223</v>
      </c>
    </row>
    <row r="780" spans="1:4" ht="15" customHeight="1" x14ac:dyDescent="0.35">
      <c r="A780">
        <v>5</v>
      </c>
      <c r="B780" t="s">
        <v>392</v>
      </c>
      <c r="C780" t="s">
        <v>1169</v>
      </c>
      <c r="D780" s="47">
        <v>344</v>
      </c>
    </row>
    <row r="781" spans="1:4" ht="15" customHeight="1" x14ac:dyDescent="0.35">
      <c r="A781">
        <v>5</v>
      </c>
      <c r="B781" t="s">
        <v>392</v>
      </c>
      <c r="C781" t="s">
        <v>1173</v>
      </c>
      <c r="D781" s="47">
        <v>1838</v>
      </c>
    </row>
    <row r="782" spans="1:4" ht="15" customHeight="1" x14ac:dyDescent="0.35">
      <c r="A782">
        <v>5</v>
      </c>
      <c r="B782" t="s">
        <v>392</v>
      </c>
      <c r="C782" t="s">
        <v>1176</v>
      </c>
      <c r="D782" s="47">
        <v>1725</v>
      </c>
    </row>
    <row r="783" spans="1:4" ht="15" customHeight="1" x14ac:dyDescent="0.35">
      <c r="A783">
        <v>5</v>
      </c>
      <c r="B783" t="s">
        <v>392</v>
      </c>
      <c r="C783" t="s">
        <v>1273</v>
      </c>
      <c r="D783" s="47">
        <v>1246</v>
      </c>
    </row>
    <row r="784" spans="1:4" ht="15" customHeight="1" x14ac:dyDescent="0.35">
      <c r="A784">
        <v>5</v>
      </c>
      <c r="B784" t="s">
        <v>392</v>
      </c>
      <c r="C784" t="s">
        <v>1279</v>
      </c>
      <c r="D784" s="47">
        <v>922</v>
      </c>
    </row>
    <row r="785" spans="1:5" ht="15" customHeight="1" x14ac:dyDescent="0.35">
      <c r="A785">
        <v>5</v>
      </c>
      <c r="B785" t="s">
        <v>392</v>
      </c>
      <c r="C785" t="s">
        <v>1284</v>
      </c>
      <c r="D785" s="47">
        <v>622</v>
      </c>
    </row>
    <row r="786" spans="1:5" ht="15" customHeight="1" x14ac:dyDescent="0.35">
      <c r="A786">
        <v>5</v>
      </c>
      <c r="B786" t="s">
        <v>392</v>
      </c>
      <c r="C786" t="s">
        <v>1302</v>
      </c>
      <c r="D786" s="47">
        <v>1764</v>
      </c>
    </row>
    <row r="787" spans="1:5" ht="15" customHeight="1" x14ac:dyDescent="0.35">
      <c r="A787">
        <v>5</v>
      </c>
      <c r="B787" t="s">
        <v>392</v>
      </c>
      <c r="C787" t="s">
        <v>1332</v>
      </c>
      <c r="D787" s="47">
        <v>4416</v>
      </c>
    </row>
    <row r="788" spans="1:5" ht="15" customHeight="1" x14ac:dyDescent="0.35">
      <c r="A788">
        <v>5</v>
      </c>
      <c r="B788" t="s">
        <v>392</v>
      </c>
      <c r="C788" t="s">
        <v>1195</v>
      </c>
      <c r="D788" s="47">
        <v>193</v>
      </c>
    </row>
    <row r="789" spans="1:5" ht="15" customHeight="1" x14ac:dyDescent="0.35">
      <c r="A789">
        <v>5</v>
      </c>
      <c r="B789" t="s">
        <v>392</v>
      </c>
      <c r="C789" t="s">
        <v>1196</v>
      </c>
      <c r="D789" s="47">
        <v>3241</v>
      </c>
    </row>
    <row r="790" spans="1:5" ht="15" customHeight="1" x14ac:dyDescent="0.35">
      <c r="A790">
        <v>5</v>
      </c>
      <c r="B790" t="s">
        <v>392</v>
      </c>
      <c r="C790" t="s">
        <v>1197</v>
      </c>
      <c r="D790" s="47">
        <v>1427</v>
      </c>
    </row>
    <row r="791" spans="1:5" ht="15" customHeight="1" x14ac:dyDescent="0.35">
      <c r="A791">
        <v>5</v>
      </c>
      <c r="B791" t="s">
        <v>392</v>
      </c>
      <c r="C791" t="s">
        <v>1198</v>
      </c>
      <c r="D791" s="47">
        <v>436</v>
      </c>
    </row>
    <row r="792" spans="1:5" ht="15" customHeight="1" x14ac:dyDescent="0.35">
      <c r="A792">
        <v>5</v>
      </c>
      <c r="B792" t="s">
        <v>392</v>
      </c>
      <c r="C792" t="s">
        <v>1199</v>
      </c>
      <c r="D792" s="47">
        <v>5549</v>
      </c>
    </row>
    <row r="793" spans="1:5" ht="15" customHeight="1" x14ac:dyDescent="0.35">
      <c r="A793">
        <v>5</v>
      </c>
      <c r="B793" t="s">
        <v>392</v>
      </c>
      <c r="C793" t="s">
        <v>1201</v>
      </c>
      <c r="D793" s="47">
        <v>11370</v>
      </c>
      <c r="E793">
        <v>1</v>
      </c>
    </row>
    <row r="794" spans="1:5" ht="15" customHeight="1" x14ac:dyDescent="0.35">
      <c r="A794">
        <v>5</v>
      </c>
      <c r="B794" t="s">
        <v>392</v>
      </c>
      <c r="C794" t="s">
        <v>1202</v>
      </c>
      <c r="D794" s="47">
        <v>3016</v>
      </c>
    </row>
    <row r="795" spans="1:5" ht="15" customHeight="1" x14ac:dyDescent="0.35">
      <c r="A795">
        <v>5</v>
      </c>
      <c r="B795" t="s">
        <v>392</v>
      </c>
      <c r="C795" t="s">
        <v>1203</v>
      </c>
      <c r="D795" s="47">
        <v>206</v>
      </c>
    </row>
    <row r="796" spans="1:5" ht="15" customHeight="1" x14ac:dyDescent="0.35">
      <c r="A796">
        <v>5</v>
      </c>
      <c r="B796" t="s">
        <v>392</v>
      </c>
      <c r="C796" t="s">
        <v>1204</v>
      </c>
      <c r="D796" s="47">
        <v>2300</v>
      </c>
    </row>
    <row r="797" spans="1:5" ht="15" customHeight="1" x14ac:dyDescent="0.35">
      <c r="A797">
        <v>5</v>
      </c>
      <c r="B797" t="s">
        <v>392</v>
      </c>
      <c r="C797" t="s">
        <v>1205</v>
      </c>
      <c r="D797" s="47">
        <v>1792</v>
      </c>
    </row>
    <row r="798" spans="1:5" ht="15" customHeight="1" x14ac:dyDescent="0.35">
      <c r="A798">
        <v>5</v>
      </c>
      <c r="B798" t="s">
        <v>392</v>
      </c>
      <c r="C798" t="s">
        <v>1208</v>
      </c>
      <c r="D798" s="47">
        <v>333</v>
      </c>
    </row>
    <row r="799" spans="1:5" ht="15" customHeight="1" x14ac:dyDescent="0.35">
      <c r="A799">
        <v>5</v>
      </c>
      <c r="B799" t="s">
        <v>392</v>
      </c>
      <c r="C799" t="s">
        <v>1209</v>
      </c>
      <c r="D799" s="47">
        <v>383</v>
      </c>
    </row>
    <row r="800" spans="1:5" ht="15" customHeight="1" x14ac:dyDescent="0.35">
      <c r="A800">
        <v>5</v>
      </c>
      <c r="B800" t="s">
        <v>392</v>
      </c>
      <c r="C800" t="s">
        <v>1210</v>
      </c>
      <c r="D800" s="47">
        <v>141</v>
      </c>
    </row>
    <row r="801" spans="1:5" ht="15" customHeight="1" x14ac:dyDescent="0.35">
      <c r="A801">
        <v>5</v>
      </c>
      <c r="B801" t="s">
        <v>392</v>
      </c>
      <c r="C801" t="s">
        <v>1211</v>
      </c>
      <c r="D801" s="47">
        <v>709</v>
      </c>
    </row>
    <row r="802" spans="1:5" ht="15" customHeight="1" x14ac:dyDescent="0.35">
      <c r="A802">
        <v>5</v>
      </c>
      <c r="B802" t="s">
        <v>392</v>
      </c>
      <c r="C802" t="s">
        <v>1212</v>
      </c>
      <c r="D802" s="47">
        <v>710</v>
      </c>
    </row>
    <row r="803" spans="1:5" ht="15" customHeight="1" x14ac:dyDescent="0.35">
      <c r="A803">
        <v>5</v>
      </c>
      <c r="B803" t="s">
        <v>392</v>
      </c>
      <c r="C803" t="s">
        <v>1213</v>
      </c>
      <c r="D803" s="47">
        <v>1649</v>
      </c>
    </row>
    <row r="804" spans="1:5" ht="15" customHeight="1" x14ac:dyDescent="0.35">
      <c r="A804">
        <v>5</v>
      </c>
      <c r="B804" t="s">
        <v>392</v>
      </c>
      <c r="C804" t="s">
        <v>1215</v>
      </c>
      <c r="D804" s="47">
        <v>3</v>
      </c>
    </row>
    <row r="805" spans="1:5" ht="15" customHeight="1" x14ac:dyDescent="0.35">
      <c r="A805">
        <v>5</v>
      </c>
      <c r="B805" t="s">
        <v>392</v>
      </c>
      <c r="C805" t="s">
        <v>1216</v>
      </c>
      <c r="D805" s="47">
        <v>28894</v>
      </c>
    </row>
    <row r="806" spans="1:5" ht="15" customHeight="1" x14ac:dyDescent="0.35">
      <c r="A806">
        <v>5</v>
      </c>
      <c r="B806" t="s">
        <v>392</v>
      </c>
      <c r="C806" t="s">
        <v>1200</v>
      </c>
      <c r="D806" s="47">
        <v>225</v>
      </c>
    </row>
    <row r="807" spans="1:5" ht="15" customHeight="1" x14ac:dyDescent="0.35">
      <c r="A807">
        <v>5</v>
      </c>
      <c r="B807" t="s">
        <v>392</v>
      </c>
      <c r="C807" t="s">
        <v>1206</v>
      </c>
      <c r="D807" s="47">
        <v>2246</v>
      </c>
    </row>
    <row r="808" spans="1:5" ht="15" customHeight="1" x14ac:dyDescent="0.35">
      <c r="A808">
        <v>5</v>
      </c>
      <c r="B808" t="s">
        <v>392</v>
      </c>
      <c r="C808" t="s">
        <v>1214</v>
      </c>
      <c r="D808" s="47">
        <v>411</v>
      </c>
    </row>
    <row r="809" spans="1:5" ht="15" customHeight="1" x14ac:dyDescent="0.35">
      <c r="A809">
        <v>5</v>
      </c>
      <c r="B809" t="s">
        <v>392</v>
      </c>
      <c r="C809" t="s">
        <v>1230</v>
      </c>
      <c r="D809" s="47">
        <v>838</v>
      </c>
    </row>
    <row r="810" spans="1:5" ht="15" customHeight="1" x14ac:dyDescent="0.35">
      <c r="A810">
        <v>5</v>
      </c>
      <c r="B810" t="s">
        <v>392</v>
      </c>
      <c r="C810" t="s">
        <v>1243</v>
      </c>
      <c r="D810" s="47">
        <v>535</v>
      </c>
    </row>
    <row r="811" spans="1:5" ht="15" customHeight="1" x14ac:dyDescent="0.35">
      <c r="A811">
        <v>5</v>
      </c>
      <c r="B811" t="s">
        <v>392</v>
      </c>
      <c r="C811" t="s">
        <v>1270</v>
      </c>
      <c r="D811" s="47">
        <v>5168</v>
      </c>
    </row>
    <row r="812" spans="1:5" ht="15" customHeight="1" x14ac:dyDescent="0.35">
      <c r="A812">
        <v>5</v>
      </c>
      <c r="B812" t="s">
        <v>392</v>
      </c>
      <c r="C812" t="s">
        <v>1271</v>
      </c>
      <c r="D812" s="47">
        <v>7861</v>
      </c>
      <c r="E812">
        <v>1</v>
      </c>
    </row>
    <row r="813" spans="1:5" ht="15" customHeight="1" x14ac:dyDescent="0.35">
      <c r="A813">
        <v>5</v>
      </c>
      <c r="B813" t="s">
        <v>392</v>
      </c>
      <c r="C813" t="s">
        <v>1272</v>
      </c>
      <c r="D813" s="47">
        <v>2140</v>
      </c>
    </row>
    <row r="814" spans="1:5" ht="15" customHeight="1" x14ac:dyDescent="0.35">
      <c r="A814">
        <v>5</v>
      </c>
      <c r="B814" t="s">
        <v>392</v>
      </c>
      <c r="C814" t="s">
        <v>1305</v>
      </c>
      <c r="D814" s="47">
        <v>1637</v>
      </c>
    </row>
    <row r="815" spans="1:5" ht="15" customHeight="1" x14ac:dyDescent="0.35">
      <c r="A815">
        <v>5</v>
      </c>
      <c r="B815" t="s">
        <v>392</v>
      </c>
      <c r="C815" t="s">
        <v>1319</v>
      </c>
      <c r="D815" s="47">
        <v>3664</v>
      </c>
    </row>
    <row r="816" spans="1:5" ht="15" customHeight="1" x14ac:dyDescent="0.35">
      <c r="A816">
        <v>5</v>
      </c>
      <c r="B816" t="s">
        <v>392</v>
      </c>
      <c r="C816" t="s">
        <v>1217</v>
      </c>
      <c r="D816" s="47">
        <v>1369</v>
      </c>
    </row>
    <row r="817" spans="1:5" ht="15" customHeight="1" x14ac:dyDescent="0.35">
      <c r="A817">
        <v>5</v>
      </c>
      <c r="B817" t="s">
        <v>392</v>
      </c>
      <c r="C817" t="s">
        <v>1207</v>
      </c>
      <c r="D817" s="47">
        <v>785</v>
      </c>
    </row>
    <row r="818" spans="1:5" ht="15" customHeight="1" x14ac:dyDescent="0.35">
      <c r="A818">
        <v>5</v>
      </c>
      <c r="B818" t="s">
        <v>392</v>
      </c>
      <c r="C818" t="s">
        <v>1315</v>
      </c>
      <c r="D818" s="47">
        <v>1109</v>
      </c>
      <c r="E818" s="53"/>
    </row>
    <row r="819" spans="1:5" ht="15" customHeight="1" x14ac:dyDescent="0.35">
      <c r="A819">
        <v>5</v>
      </c>
      <c r="B819" t="s">
        <v>392</v>
      </c>
      <c r="C819" t="s">
        <v>1316</v>
      </c>
      <c r="D819" s="47">
        <v>3365</v>
      </c>
    </row>
    <row r="820" spans="1:5" ht="15" customHeight="1" x14ac:dyDescent="0.35">
      <c r="A820">
        <v>5</v>
      </c>
      <c r="B820" t="s">
        <v>392</v>
      </c>
      <c r="C820" t="s">
        <v>1317</v>
      </c>
      <c r="D820" s="47">
        <v>228</v>
      </c>
    </row>
    <row r="821" spans="1:5" ht="15" customHeight="1" x14ac:dyDescent="0.35">
      <c r="A821">
        <v>5</v>
      </c>
      <c r="B821" t="s">
        <v>392</v>
      </c>
      <c r="C821" t="s">
        <v>1218</v>
      </c>
      <c r="D821" s="47">
        <v>754</v>
      </c>
    </row>
    <row r="822" spans="1:5" ht="15" customHeight="1" x14ac:dyDescent="0.35">
      <c r="A822">
        <v>5</v>
      </c>
      <c r="B822" t="s">
        <v>392</v>
      </c>
      <c r="C822" t="s">
        <v>1219</v>
      </c>
      <c r="D822" s="47">
        <v>2577</v>
      </c>
    </row>
    <row r="823" spans="1:5" ht="15" customHeight="1" x14ac:dyDescent="0.35">
      <c r="A823">
        <v>5</v>
      </c>
      <c r="B823" t="s">
        <v>392</v>
      </c>
      <c r="C823" t="s">
        <v>1220</v>
      </c>
      <c r="D823" s="47">
        <v>2387</v>
      </c>
    </row>
    <row r="824" spans="1:5" ht="15" customHeight="1" x14ac:dyDescent="0.35">
      <c r="A824">
        <v>5</v>
      </c>
      <c r="B824" t="s">
        <v>392</v>
      </c>
      <c r="C824" t="s">
        <v>1183</v>
      </c>
      <c r="D824" s="47">
        <v>421</v>
      </c>
    </row>
    <row r="825" spans="1:5" ht="15" customHeight="1" x14ac:dyDescent="0.35">
      <c r="A825">
        <v>5</v>
      </c>
      <c r="B825" t="s">
        <v>392</v>
      </c>
      <c r="C825" t="s">
        <v>1247</v>
      </c>
      <c r="D825" s="47">
        <v>2518</v>
      </c>
    </row>
    <row r="826" spans="1:5" ht="15" customHeight="1" x14ac:dyDescent="0.35">
      <c r="A826">
        <v>5</v>
      </c>
      <c r="B826" t="s">
        <v>392</v>
      </c>
      <c r="C826" t="s">
        <v>1248</v>
      </c>
      <c r="D826" s="47">
        <v>2106</v>
      </c>
    </row>
    <row r="827" spans="1:5" ht="15" customHeight="1" x14ac:dyDescent="0.35">
      <c r="A827">
        <v>5</v>
      </c>
      <c r="B827" t="s">
        <v>392</v>
      </c>
      <c r="C827" t="s">
        <v>1333</v>
      </c>
      <c r="D827" s="47">
        <v>5901</v>
      </c>
    </row>
    <row r="828" spans="1:5" ht="15" customHeight="1" x14ac:dyDescent="0.35">
      <c r="A828">
        <v>5</v>
      </c>
      <c r="B828" t="s">
        <v>392</v>
      </c>
      <c r="C828" t="s">
        <v>1221</v>
      </c>
      <c r="D828" s="47">
        <v>589</v>
      </c>
    </row>
    <row r="829" spans="1:5" ht="15" customHeight="1" x14ac:dyDescent="0.35">
      <c r="A829">
        <v>5</v>
      </c>
      <c r="B829" t="s">
        <v>392</v>
      </c>
      <c r="C829" t="s">
        <v>1222</v>
      </c>
      <c r="D829" s="47">
        <v>10453</v>
      </c>
    </row>
    <row r="830" spans="1:5" ht="15" customHeight="1" x14ac:dyDescent="0.35">
      <c r="A830">
        <v>5</v>
      </c>
      <c r="B830" t="s">
        <v>392</v>
      </c>
      <c r="C830" t="s">
        <v>1223</v>
      </c>
      <c r="D830" s="47">
        <v>3544</v>
      </c>
    </row>
    <row r="831" spans="1:5" ht="15" customHeight="1" x14ac:dyDescent="0.35">
      <c r="A831">
        <v>5</v>
      </c>
      <c r="B831" t="s">
        <v>392</v>
      </c>
      <c r="C831" t="s">
        <v>1224</v>
      </c>
      <c r="D831" s="47">
        <v>1705</v>
      </c>
    </row>
    <row r="832" spans="1:5" ht="15" customHeight="1" x14ac:dyDescent="0.35">
      <c r="A832">
        <v>5</v>
      </c>
      <c r="B832" t="s">
        <v>392</v>
      </c>
      <c r="C832" t="s">
        <v>1225</v>
      </c>
      <c r="D832" s="47">
        <v>383</v>
      </c>
    </row>
    <row r="833" spans="1:4" ht="15" customHeight="1" x14ac:dyDescent="0.35">
      <c r="A833">
        <v>5</v>
      </c>
      <c r="B833" t="s">
        <v>392</v>
      </c>
      <c r="C833" t="s">
        <v>1226</v>
      </c>
      <c r="D833" s="47">
        <v>438</v>
      </c>
    </row>
    <row r="834" spans="1:4" ht="15" customHeight="1" x14ac:dyDescent="0.35">
      <c r="A834">
        <v>5</v>
      </c>
      <c r="B834" t="s">
        <v>392</v>
      </c>
      <c r="C834" t="s">
        <v>1227</v>
      </c>
      <c r="D834" s="47">
        <v>247</v>
      </c>
    </row>
    <row r="835" spans="1:4" ht="15" customHeight="1" x14ac:dyDescent="0.35">
      <c r="A835">
        <v>5</v>
      </c>
      <c r="B835" t="s">
        <v>392</v>
      </c>
      <c r="C835" t="s">
        <v>1228</v>
      </c>
      <c r="D835" s="47">
        <v>159</v>
      </c>
    </row>
    <row r="836" spans="1:4" ht="15" customHeight="1" x14ac:dyDescent="0.35">
      <c r="A836">
        <v>5</v>
      </c>
      <c r="B836" t="s">
        <v>392</v>
      </c>
      <c r="C836" t="s">
        <v>1229</v>
      </c>
      <c r="D836" s="47">
        <v>442</v>
      </c>
    </row>
    <row r="837" spans="1:4" ht="15" customHeight="1" x14ac:dyDescent="0.35">
      <c r="A837">
        <v>5</v>
      </c>
      <c r="B837" t="s">
        <v>392</v>
      </c>
      <c r="C837" t="s">
        <v>1231</v>
      </c>
      <c r="D837" s="47">
        <v>1241</v>
      </c>
    </row>
    <row r="838" spans="1:4" ht="15" customHeight="1" x14ac:dyDescent="0.35">
      <c r="A838">
        <v>5</v>
      </c>
      <c r="B838" t="s">
        <v>392</v>
      </c>
      <c r="C838" t="s">
        <v>1232</v>
      </c>
      <c r="D838" s="47">
        <v>1275</v>
      </c>
    </row>
    <row r="839" spans="1:4" ht="15" customHeight="1" x14ac:dyDescent="0.35">
      <c r="A839">
        <v>5</v>
      </c>
      <c r="B839" t="s">
        <v>392</v>
      </c>
      <c r="C839" t="s">
        <v>1233</v>
      </c>
      <c r="D839" s="47">
        <v>2651</v>
      </c>
    </row>
    <row r="840" spans="1:4" ht="15" customHeight="1" x14ac:dyDescent="0.35">
      <c r="A840">
        <v>5</v>
      </c>
      <c r="B840" t="s">
        <v>392</v>
      </c>
      <c r="C840" t="s">
        <v>1234</v>
      </c>
      <c r="D840" s="47">
        <v>5099</v>
      </c>
    </row>
    <row r="841" spans="1:4" ht="15" customHeight="1" x14ac:dyDescent="0.35">
      <c r="A841">
        <v>5</v>
      </c>
      <c r="B841" t="s">
        <v>392</v>
      </c>
      <c r="C841" t="s">
        <v>1235</v>
      </c>
      <c r="D841" s="47">
        <v>214</v>
      </c>
    </row>
    <row r="842" spans="1:4" ht="15" customHeight="1" x14ac:dyDescent="0.35">
      <c r="A842">
        <v>5</v>
      </c>
      <c r="B842" t="s">
        <v>392</v>
      </c>
      <c r="C842" t="s">
        <v>1236</v>
      </c>
      <c r="D842" s="47">
        <v>4856</v>
      </c>
    </row>
    <row r="843" spans="1:4" ht="15" customHeight="1" x14ac:dyDescent="0.35">
      <c r="A843">
        <v>5</v>
      </c>
      <c r="B843" t="s">
        <v>392</v>
      </c>
      <c r="C843" t="s">
        <v>1237</v>
      </c>
      <c r="D843" s="47">
        <v>4875</v>
      </c>
    </row>
    <row r="844" spans="1:4" ht="15" customHeight="1" x14ac:dyDescent="0.35">
      <c r="A844">
        <v>5</v>
      </c>
      <c r="B844" t="s">
        <v>392</v>
      </c>
      <c r="C844" t="s">
        <v>1238</v>
      </c>
      <c r="D844" s="47">
        <v>402</v>
      </c>
    </row>
    <row r="845" spans="1:4" ht="15" customHeight="1" x14ac:dyDescent="0.35">
      <c r="A845">
        <v>5</v>
      </c>
      <c r="B845" t="s">
        <v>392</v>
      </c>
      <c r="C845" t="s">
        <v>1239</v>
      </c>
      <c r="D845" s="47">
        <v>525</v>
      </c>
    </row>
    <row r="846" spans="1:4" ht="15" customHeight="1" x14ac:dyDescent="0.35">
      <c r="A846">
        <v>5</v>
      </c>
      <c r="B846" t="s">
        <v>392</v>
      </c>
      <c r="C846" t="s">
        <v>1240</v>
      </c>
      <c r="D846" s="47">
        <v>406</v>
      </c>
    </row>
    <row r="847" spans="1:4" ht="15" customHeight="1" x14ac:dyDescent="0.35">
      <c r="A847">
        <v>5</v>
      </c>
      <c r="B847" t="s">
        <v>392</v>
      </c>
      <c r="C847" t="s">
        <v>1241</v>
      </c>
      <c r="D847" s="47">
        <v>9718</v>
      </c>
    </row>
    <row r="848" spans="1:4" ht="15" customHeight="1" x14ac:dyDescent="0.35">
      <c r="A848">
        <v>5</v>
      </c>
      <c r="B848" t="s">
        <v>392</v>
      </c>
      <c r="C848" t="s">
        <v>1242</v>
      </c>
      <c r="D848" s="47">
        <v>4732</v>
      </c>
    </row>
    <row r="849" spans="1:5" ht="15" customHeight="1" x14ac:dyDescent="0.35">
      <c r="A849">
        <v>5</v>
      </c>
      <c r="B849" t="s">
        <v>392</v>
      </c>
      <c r="C849" t="s">
        <v>1244</v>
      </c>
      <c r="D849" s="47">
        <v>3609</v>
      </c>
    </row>
    <row r="850" spans="1:5" ht="15" customHeight="1" x14ac:dyDescent="0.35">
      <c r="A850">
        <v>5</v>
      </c>
      <c r="B850" t="s">
        <v>392</v>
      </c>
      <c r="C850" t="s">
        <v>1245</v>
      </c>
      <c r="D850" s="47">
        <v>1985</v>
      </c>
    </row>
    <row r="851" spans="1:5" ht="15" customHeight="1" x14ac:dyDescent="0.35">
      <c r="A851">
        <v>5</v>
      </c>
      <c r="B851" t="s">
        <v>392</v>
      </c>
      <c r="C851" t="s">
        <v>1246</v>
      </c>
      <c r="D851" s="47">
        <v>54</v>
      </c>
    </row>
    <row r="852" spans="1:5" ht="15" customHeight="1" x14ac:dyDescent="0.35">
      <c r="A852">
        <v>5</v>
      </c>
      <c r="B852" t="s">
        <v>392</v>
      </c>
      <c r="C852" t="s">
        <v>1249</v>
      </c>
      <c r="D852" s="47">
        <v>623</v>
      </c>
    </row>
    <row r="853" spans="1:5" ht="15" customHeight="1" x14ac:dyDescent="0.35">
      <c r="A853">
        <v>5</v>
      </c>
      <c r="B853" t="s">
        <v>392</v>
      </c>
      <c r="C853" t="s">
        <v>1250</v>
      </c>
      <c r="D853" s="47">
        <v>3585</v>
      </c>
      <c r="E853">
        <v>1</v>
      </c>
    </row>
    <row r="854" spans="1:5" ht="15" customHeight="1" x14ac:dyDescent="0.35">
      <c r="A854">
        <v>5</v>
      </c>
      <c r="B854" t="s">
        <v>392</v>
      </c>
      <c r="C854" t="s">
        <v>1251</v>
      </c>
      <c r="D854" s="47">
        <v>878</v>
      </c>
    </row>
    <row r="855" spans="1:5" ht="15" customHeight="1" x14ac:dyDescent="0.35">
      <c r="A855">
        <v>5</v>
      </c>
      <c r="B855" t="s">
        <v>392</v>
      </c>
      <c r="C855" t="s">
        <v>1252</v>
      </c>
      <c r="D855" s="47">
        <v>858</v>
      </c>
    </row>
    <row r="856" spans="1:5" ht="15" customHeight="1" x14ac:dyDescent="0.35">
      <c r="A856">
        <v>5</v>
      </c>
      <c r="B856" t="s">
        <v>392</v>
      </c>
      <c r="C856" t="s">
        <v>1253</v>
      </c>
      <c r="D856" s="47">
        <v>2905</v>
      </c>
    </row>
    <row r="857" spans="1:5" ht="15" customHeight="1" x14ac:dyDescent="0.35">
      <c r="A857">
        <v>5</v>
      </c>
      <c r="B857" t="s">
        <v>392</v>
      </c>
      <c r="C857" t="s">
        <v>1254</v>
      </c>
      <c r="D857" s="47">
        <v>4902</v>
      </c>
    </row>
    <row r="858" spans="1:5" ht="15" customHeight="1" x14ac:dyDescent="0.35">
      <c r="A858">
        <v>5</v>
      </c>
      <c r="B858" t="s">
        <v>392</v>
      </c>
      <c r="C858" t="s">
        <v>1255</v>
      </c>
      <c r="D858" s="47">
        <v>133</v>
      </c>
    </row>
    <row r="859" spans="1:5" ht="15" customHeight="1" x14ac:dyDescent="0.35">
      <c r="A859">
        <v>5</v>
      </c>
      <c r="B859" t="s">
        <v>392</v>
      </c>
      <c r="C859" t="s">
        <v>1256</v>
      </c>
      <c r="D859" s="47">
        <v>11597</v>
      </c>
    </row>
    <row r="860" spans="1:5" ht="15" customHeight="1" x14ac:dyDescent="0.35">
      <c r="A860">
        <v>5</v>
      </c>
      <c r="B860" t="s">
        <v>392</v>
      </c>
      <c r="C860" t="s">
        <v>1257</v>
      </c>
      <c r="D860" s="47">
        <v>7880</v>
      </c>
    </row>
    <row r="861" spans="1:5" ht="15" customHeight="1" x14ac:dyDescent="0.35">
      <c r="A861">
        <v>5</v>
      </c>
      <c r="B861" t="s">
        <v>392</v>
      </c>
      <c r="C861" t="s">
        <v>1258</v>
      </c>
      <c r="D861" s="47">
        <v>4387</v>
      </c>
    </row>
    <row r="862" spans="1:5" ht="15" customHeight="1" x14ac:dyDescent="0.35">
      <c r="A862">
        <v>5</v>
      </c>
      <c r="B862" t="s">
        <v>392</v>
      </c>
      <c r="C862" t="s">
        <v>1259</v>
      </c>
      <c r="D862" s="47">
        <v>2602</v>
      </c>
    </row>
    <row r="863" spans="1:5" ht="15" customHeight="1" x14ac:dyDescent="0.35">
      <c r="A863">
        <v>5</v>
      </c>
      <c r="B863" t="s">
        <v>392</v>
      </c>
      <c r="C863" t="s">
        <v>1260</v>
      </c>
      <c r="D863" s="47">
        <v>2662</v>
      </c>
    </row>
    <row r="864" spans="1:5" ht="15" customHeight="1" x14ac:dyDescent="0.35">
      <c r="A864">
        <v>5</v>
      </c>
      <c r="B864" t="s">
        <v>392</v>
      </c>
      <c r="C864" t="s">
        <v>1261</v>
      </c>
      <c r="D864" s="47">
        <v>331</v>
      </c>
    </row>
    <row r="865" spans="1:4" ht="15" customHeight="1" x14ac:dyDescent="0.35">
      <c r="A865">
        <v>5</v>
      </c>
      <c r="B865" t="s">
        <v>392</v>
      </c>
      <c r="C865" t="s">
        <v>1262</v>
      </c>
      <c r="D865" s="47">
        <v>971</v>
      </c>
    </row>
    <row r="866" spans="1:4" ht="15" customHeight="1" x14ac:dyDescent="0.35">
      <c r="A866">
        <v>5</v>
      </c>
      <c r="B866" t="s">
        <v>392</v>
      </c>
      <c r="C866" t="s">
        <v>1263</v>
      </c>
      <c r="D866" s="47">
        <v>3317</v>
      </c>
    </row>
    <row r="867" spans="1:4" ht="15" customHeight="1" x14ac:dyDescent="0.35">
      <c r="A867">
        <v>5</v>
      </c>
      <c r="B867" t="s">
        <v>392</v>
      </c>
      <c r="C867" t="s">
        <v>1264</v>
      </c>
      <c r="D867" s="47">
        <v>111</v>
      </c>
    </row>
    <row r="868" spans="1:4" ht="15" customHeight="1" x14ac:dyDescent="0.35">
      <c r="A868">
        <v>5</v>
      </c>
      <c r="B868" t="s">
        <v>392</v>
      </c>
      <c r="C868" t="s">
        <v>1265</v>
      </c>
      <c r="D868" s="47">
        <v>352</v>
      </c>
    </row>
    <row r="869" spans="1:4" ht="15" customHeight="1" x14ac:dyDescent="0.35">
      <c r="A869">
        <v>5</v>
      </c>
      <c r="B869" t="s">
        <v>392</v>
      </c>
      <c r="C869" t="s">
        <v>1266</v>
      </c>
      <c r="D869" s="47">
        <v>311</v>
      </c>
    </row>
    <row r="870" spans="1:4" ht="15" customHeight="1" x14ac:dyDescent="0.35">
      <c r="A870">
        <v>5</v>
      </c>
      <c r="B870" t="s">
        <v>392</v>
      </c>
      <c r="C870" t="s">
        <v>1267</v>
      </c>
      <c r="D870" s="47">
        <v>3055</v>
      </c>
    </row>
    <row r="871" spans="1:4" ht="15" customHeight="1" x14ac:dyDescent="0.35">
      <c r="A871">
        <v>5</v>
      </c>
      <c r="B871" t="s">
        <v>392</v>
      </c>
      <c r="C871" t="s">
        <v>1268</v>
      </c>
      <c r="D871" s="47">
        <v>3848</v>
      </c>
    </row>
    <row r="872" spans="1:4" ht="15" customHeight="1" x14ac:dyDescent="0.35">
      <c r="A872">
        <v>5</v>
      </c>
      <c r="B872" t="s">
        <v>392</v>
      </c>
      <c r="C872" t="s">
        <v>1269</v>
      </c>
      <c r="D872" s="47">
        <v>2209</v>
      </c>
    </row>
    <row r="873" spans="1:4" ht="15" customHeight="1" x14ac:dyDescent="0.35">
      <c r="A873">
        <v>5</v>
      </c>
      <c r="B873" t="s">
        <v>392</v>
      </c>
      <c r="C873" t="s">
        <v>1274</v>
      </c>
      <c r="D873" s="47">
        <v>156</v>
      </c>
    </row>
    <row r="874" spans="1:4" ht="15" customHeight="1" x14ac:dyDescent="0.35">
      <c r="A874">
        <v>5</v>
      </c>
      <c r="B874" t="s">
        <v>392</v>
      </c>
      <c r="C874" t="s">
        <v>1275</v>
      </c>
      <c r="D874" s="47">
        <v>1508</v>
      </c>
    </row>
    <row r="875" spans="1:4" ht="15" customHeight="1" x14ac:dyDescent="0.35">
      <c r="A875">
        <v>5</v>
      </c>
      <c r="B875" t="s">
        <v>392</v>
      </c>
      <c r="C875" t="s">
        <v>1276</v>
      </c>
      <c r="D875" s="47">
        <v>986</v>
      </c>
    </row>
    <row r="876" spans="1:4" ht="15" customHeight="1" x14ac:dyDescent="0.35">
      <c r="A876">
        <v>5</v>
      </c>
      <c r="B876" t="s">
        <v>392</v>
      </c>
      <c r="C876" t="s">
        <v>1277</v>
      </c>
      <c r="D876" s="47">
        <v>11030</v>
      </c>
    </row>
    <row r="877" spans="1:4" ht="15" customHeight="1" x14ac:dyDescent="0.35">
      <c r="A877">
        <v>5</v>
      </c>
      <c r="B877" t="s">
        <v>392</v>
      </c>
      <c r="C877" t="s">
        <v>1278</v>
      </c>
      <c r="D877" s="47">
        <v>1527</v>
      </c>
    </row>
    <row r="878" spans="1:4" ht="15" customHeight="1" x14ac:dyDescent="0.35">
      <c r="A878">
        <v>5</v>
      </c>
      <c r="B878" t="s">
        <v>392</v>
      </c>
      <c r="C878" t="s">
        <v>1280</v>
      </c>
      <c r="D878" s="47">
        <v>4262</v>
      </c>
    </row>
    <row r="879" spans="1:4" ht="15" customHeight="1" x14ac:dyDescent="0.35">
      <c r="A879">
        <v>5</v>
      </c>
      <c r="B879" t="s">
        <v>392</v>
      </c>
      <c r="C879" t="s">
        <v>1281</v>
      </c>
      <c r="D879" s="47">
        <v>104</v>
      </c>
    </row>
    <row r="880" spans="1:4" ht="15" customHeight="1" x14ac:dyDescent="0.35">
      <c r="A880">
        <v>5</v>
      </c>
      <c r="B880" t="s">
        <v>392</v>
      </c>
      <c r="C880" t="s">
        <v>1282</v>
      </c>
      <c r="D880" s="47">
        <v>752</v>
      </c>
    </row>
    <row r="881" spans="1:5" ht="15" customHeight="1" x14ac:dyDescent="0.35">
      <c r="A881">
        <v>5</v>
      </c>
      <c r="B881" t="s">
        <v>392</v>
      </c>
      <c r="C881" t="s">
        <v>1283</v>
      </c>
      <c r="D881" s="47">
        <v>281</v>
      </c>
    </row>
    <row r="882" spans="1:5" ht="15" customHeight="1" x14ac:dyDescent="0.35">
      <c r="A882">
        <v>5</v>
      </c>
      <c r="B882" t="s">
        <v>392</v>
      </c>
      <c r="C882" t="s">
        <v>1285</v>
      </c>
      <c r="D882" s="47">
        <v>447</v>
      </c>
    </row>
    <row r="883" spans="1:5" ht="15" customHeight="1" x14ac:dyDescent="0.35">
      <c r="A883">
        <v>5</v>
      </c>
      <c r="B883" t="s">
        <v>392</v>
      </c>
      <c r="C883" t="s">
        <v>1286</v>
      </c>
      <c r="D883" s="47">
        <v>712</v>
      </c>
    </row>
    <row r="884" spans="1:5" ht="15" customHeight="1" x14ac:dyDescent="0.35">
      <c r="A884">
        <v>5</v>
      </c>
      <c r="B884" t="s">
        <v>392</v>
      </c>
      <c r="C884" t="s">
        <v>1287</v>
      </c>
      <c r="D884" s="47">
        <v>642</v>
      </c>
    </row>
    <row r="885" spans="1:5" ht="15" customHeight="1" x14ac:dyDescent="0.35">
      <c r="A885">
        <v>5</v>
      </c>
      <c r="B885" t="s">
        <v>392</v>
      </c>
      <c r="C885" t="s">
        <v>1288</v>
      </c>
      <c r="D885" s="47">
        <v>1768</v>
      </c>
    </row>
    <row r="886" spans="1:5" ht="15" customHeight="1" x14ac:dyDescent="0.35">
      <c r="A886">
        <v>5</v>
      </c>
      <c r="B886" t="s">
        <v>392</v>
      </c>
      <c r="C886" t="s">
        <v>1289</v>
      </c>
      <c r="D886" s="47">
        <v>1881</v>
      </c>
    </row>
    <row r="887" spans="1:5" ht="15" customHeight="1" x14ac:dyDescent="0.35">
      <c r="A887">
        <v>5</v>
      </c>
      <c r="B887" t="s">
        <v>392</v>
      </c>
      <c r="C887" t="s">
        <v>1290</v>
      </c>
      <c r="D887" s="47">
        <v>353</v>
      </c>
    </row>
    <row r="888" spans="1:5" x14ac:dyDescent="0.35">
      <c r="A888">
        <v>5</v>
      </c>
      <c r="B888" t="s">
        <v>392</v>
      </c>
      <c r="C888" t="s">
        <v>1291</v>
      </c>
      <c r="D888" s="47">
        <v>4129</v>
      </c>
      <c r="E888">
        <v>1</v>
      </c>
    </row>
    <row r="889" spans="1:5" x14ac:dyDescent="0.35">
      <c r="A889">
        <v>5</v>
      </c>
      <c r="B889" t="s">
        <v>392</v>
      </c>
      <c r="C889" t="s">
        <v>1292</v>
      </c>
      <c r="D889" s="47">
        <v>3079</v>
      </c>
    </row>
    <row r="890" spans="1:5" ht="15" customHeight="1" x14ac:dyDescent="0.35">
      <c r="A890">
        <v>5</v>
      </c>
      <c r="B890" t="s">
        <v>392</v>
      </c>
      <c r="C890" t="s">
        <v>1293</v>
      </c>
      <c r="D890" s="47">
        <v>3251</v>
      </c>
    </row>
    <row r="891" spans="1:5" ht="15" customHeight="1" x14ac:dyDescent="0.35">
      <c r="A891">
        <v>5</v>
      </c>
      <c r="B891" t="s">
        <v>392</v>
      </c>
      <c r="C891" t="s">
        <v>1339</v>
      </c>
      <c r="D891" s="47">
        <v>1038</v>
      </c>
    </row>
    <row r="892" spans="1:5" ht="15" customHeight="1" x14ac:dyDescent="0.35">
      <c r="A892">
        <v>5</v>
      </c>
      <c r="B892" t="s">
        <v>392</v>
      </c>
      <c r="C892" t="s">
        <v>1294</v>
      </c>
      <c r="D892" s="47">
        <v>96</v>
      </c>
    </row>
    <row r="893" spans="1:5" ht="15" customHeight="1" x14ac:dyDescent="0.35">
      <c r="A893">
        <v>5</v>
      </c>
      <c r="B893" t="s">
        <v>392</v>
      </c>
      <c r="C893" t="s">
        <v>1295</v>
      </c>
      <c r="D893" s="47">
        <v>1324</v>
      </c>
    </row>
    <row r="894" spans="1:5" ht="15" customHeight="1" x14ac:dyDescent="0.35">
      <c r="A894">
        <v>5</v>
      </c>
      <c r="B894" t="s">
        <v>392</v>
      </c>
      <c r="C894" t="s">
        <v>1296</v>
      </c>
      <c r="D894" s="47">
        <v>25835</v>
      </c>
    </row>
    <row r="895" spans="1:5" ht="15" customHeight="1" x14ac:dyDescent="0.35">
      <c r="A895">
        <v>5</v>
      </c>
      <c r="B895" t="s">
        <v>392</v>
      </c>
      <c r="C895" t="s">
        <v>1297</v>
      </c>
      <c r="D895" s="47">
        <v>682</v>
      </c>
    </row>
    <row r="896" spans="1:5" ht="15" customHeight="1" x14ac:dyDescent="0.35">
      <c r="A896">
        <v>5</v>
      </c>
      <c r="B896" t="s">
        <v>392</v>
      </c>
      <c r="C896" t="s">
        <v>1298</v>
      </c>
      <c r="D896" s="47">
        <v>11067</v>
      </c>
    </row>
    <row r="897" spans="1:5" ht="15" customHeight="1" x14ac:dyDescent="0.35">
      <c r="A897">
        <v>5</v>
      </c>
      <c r="B897" t="s">
        <v>392</v>
      </c>
      <c r="C897" t="s">
        <v>1299</v>
      </c>
      <c r="D897" s="47">
        <v>183</v>
      </c>
    </row>
    <row r="898" spans="1:5" ht="15" customHeight="1" x14ac:dyDescent="0.35">
      <c r="A898">
        <v>5</v>
      </c>
      <c r="B898" t="s">
        <v>392</v>
      </c>
      <c r="C898" t="s">
        <v>1300</v>
      </c>
      <c r="D898" s="47">
        <v>83417</v>
      </c>
    </row>
    <row r="899" spans="1:5" ht="15" customHeight="1" x14ac:dyDescent="0.35">
      <c r="A899">
        <v>5</v>
      </c>
      <c r="B899" t="s">
        <v>392</v>
      </c>
      <c r="C899" t="s">
        <v>1301</v>
      </c>
      <c r="D899" s="47">
        <v>1986</v>
      </c>
    </row>
    <row r="900" spans="1:5" ht="15" customHeight="1" x14ac:dyDescent="0.35">
      <c r="A900">
        <v>5</v>
      </c>
      <c r="B900" t="s">
        <v>392</v>
      </c>
      <c r="C900" t="s">
        <v>392</v>
      </c>
      <c r="D900" s="47">
        <v>84873</v>
      </c>
    </row>
    <row r="901" spans="1:5" ht="15" customHeight="1" x14ac:dyDescent="0.35">
      <c r="A901">
        <v>5</v>
      </c>
      <c r="B901" t="s">
        <v>392</v>
      </c>
      <c r="C901" t="s">
        <v>1303</v>
      </c>
      <c r="D901" s="47">
        <v>211</v>
      </c>
    </row>
    <row r="902" spans="1:5" ht="15" customHeight="1" x14ac:dyDescent="0.35">
      <c r="A902">
        <v>5</v>
      </c>
      <c r="B902" t="s">
        <v>392</v>
      </c>
      <c r="C902" t="s">
        <v>1304</v>
      </c>
      <c r="D902" s="47">
        <v>224</v>
      </c>
    </row>
    <row r="903" spans="1:5" ht="15" customHeight="1" x14ac:dyDescent="0.35">
      <c r="A903">
        <v>5</v>
      </c>
      <c r="B903" t="s">
        <v>392</v>
      </c>
      <c r="C903" t="s">
        <v>1306</v>
      </c>
      <c r="D903" s="47">
        <v>709</v>
      </c>
    </row>
    <row r="904" spans="1:5" ht="15" customHeight="1" x14ac:dyDescent="0.35">
      <c r="A904">
        <v>5</v>
      </c>
      <c r="B904" t="s">
        <v>392</v>
      </c>
      <c r="C904" t="s">
        <v>1307</v>
      </c>
      <c r="D904" s="47">
        <v>13466</v>
      </c>
      <c r="E904">
        <v>1</v>
      </c>
    </row>
    <row r="905" spans="1:5" ht="15" customHeight="1" x14ac:dyDescent="0.35">
      <c r="A905">
        <v>5</v>
      </c>
      <c r="B905" t="s">
        <v>392</v>
      </c>
      <c r="C905" t="s">
        <v>1308</v>
      </c>
      <c r="D905" s="47">
        <v>348</v>
      </c>
    </row>
    <row r="906" spans="1:5" ht="15" customHeight="1" x14ac:dyDescent="0.35">
      <c r="A906">
        <v>5</v>
      </c>
      <c r="B906" t="s">
        <v>392</v>
      </c>
      <c r="C906" t="s">
        <v>1309</v>
      </c>
      <c r="D906" s="47">
        <v>749</v>
      </c>
    </row>
    <row r="907" spans="1:5" ht="15" customHeight="1" x14ac:dyDescent="0.35">
      <c r="A907">
        <v>5</v>
      </c>
      <c r="B907" t="s">
        <v>392</v>
      </c>
      <c r="C907" t="s">
        <v>1310</v>
      </c>
      <c r="D907" s="47">
        <v>5411</v>
      </c>
    </row>
    <row r="908" spans="1:5" ht="15" customHeight="1" x14ac:dyDescent="0.35">
      <c r="A908">
        <v>5</v>
      </c>
      <c r="B908" t="s">
        <v>392</v>
      </c>
      <c r="C908" t="s">
        <v>1311</v>
      </c>
      <c r="D908" s="47">
        <v>2529</v>
      </c>
    </row>
    <row r="909" spans="1:5" ht="15" customHeight="1" x14ac:dyDescent="0.35">
      <c r="A909">
        <v>5</v>
      </c>
      <c r="B909" t="s">
        <v>392</v>
      </c>
      <c r="C909" t="s">
        <v>1312</v>
      </c>
      <c r="D909" s="47">
        <v>564</v>
      </c>
    </row>
    <row r="910" spans="1:5" ht="15" customHeight="1" x14ac:dyDescent="0.35">
      <c r="A910">
        <v>5</v>
      </c>
      <c r="B910" t="s">
        <v>392</v>
      </c>
      <c r="C910" t="s">
        <v>1313</v>
      </c>
      <c r="D910" s="47">
        <v>4303</v>
      </c>
    </row>
    <row r="911" spans="1:5" ht="15" customHeight="1" x14ac:dyDescent="0.35">
      <c r="A911">
        <v>5</v>
      </c>
      <c r="B911" t="s">
        <v>392</v>
      </c>
      <c r="C911" t="s">
        <v>1314</v>
      </c>
      <c r="D911" s="47">
        <v>2910</v>
      </c>
    </row>
    <row r="912" spans="1:5" ht="15" customHeight="1" x14ac:dyDescent="0.35">
      <c r="A912">
        <v>5</v>
      </c>
      <c r="B912" t="s">
        <v>392</v>
      </c>
      <c r="C912" t="s">
        <v>1318</v>
      </c>
      <c r="D912" s="47">
        <v>9548</v>
      </c>
    </row>
    <row r="913" spans="1:4" ht="15" customHeight="1" x14ac:dyDescent="0.35">
      <c r="A913">
        <v>5</v>
      </c>
      <c r="B913" t="s">
        <v>392</v>
      </c>
      <c r="C913" t="s">
        <v>1320</v>
      </c>
      <c r="D913" s="47">
        <v>4896</v>
      </c>
    </row>
    <row r="914" spans="1:4" ht="15" customHeight="1" x14ac:dyDescent="0.35">
      <c r="A914">
        <v>5</v>
      </c>
      <c r="B914" t="s">
        <v>392</v>
      </c>
      <c r="C914" t="s">
        <v>1321</v>
      </c>
      <c r="D914" s="47">
        <v>3815</v>
      </c>
    </row>
    <row r="915" spans="1:4" ht="15" customHeight="1" x14ac:dyDescent="0.35">
      <c r="A915">
        <v>5</v>
      </c>
      <c r="B915" t="s">
        <v>392</v>
      </c>
      <c r="C915" t="s">
        <v>1322</v>
      </c>
      <c r="D915" s="47">
        <v>873</v>
      </c>
    </row>
    <row r="916" spans="1:4" ht="15" customHeight="1" x14ac:dyDescent="0.35">
      <c r="A916">
        <v>5</v>
      </c>
      <c r="B916" t="s">
        <v>392</v>
      </c>
      <c r="C916" t="s">
        <v>1323</v>
      </c>
      <c r="D916" s="47">
        <v>527</v>
      </c>
    </row>
    <row r="917" spans="1:4" ht="15" customHeight="1" x14ac:dyDescent="0.35">
      <c r="A917">
        <v>5</v>
      </c>
      <c r="B917" t="s">
        <v>392</v>
      </c>
      <c r="C917" t="s">
        <v>1324</v>
      </c>
      <c r="D917" s="47">
        <v>612</v>
      </c>
    </row>
    <row r="918" spans="1:4" ht="15" customHeight="1" x14ac:dyDescent="0.35">
      <c r="A918">
        <v>5</v>
      </c>
      <c r="B918" t="s">
        <v>392</v>
      </c>
      <c r="C918" t="s">
        <v>1325</v>
      </c>
      <c r="D918" s="47">
        <v>3250</v>
      </c>
    </row>
    <row r="919" spans="1:4" ht="15" customHeight="1" x14ac:dyDescent="0.35">
      <c r="A919">
        <v>5</v>
      </c>
      <c r="B919" t="s">
        <v>392</v>
      </c>
      <c r="C919" t="s">
        <v>1326</v>
      </c>
      <c r="D919" s="47">
        <v>712</v>
      </c>
    </row>
    <row r="920" spans="1:4" ht="15" customHeight="1" x14ac:dyDescent="0.35">
      <c r="A920">
        <v>5</v>
      </c>
      <c r="B920" t="s">
        <v>392</v>
      </c>
      <c r="C920" t="s">
        <v>1327</v>
      </c>
      <c r="D920" s="47">
        <v>74</v>
      </c>
    </row>
    <row r="921" spans="1:4" ht="15" customHeight="1" x14ac:dyDescent="0.35">
      <c r="A921">
        <v>5</v>
      </c>
      <c r="B921" t="s">
        <v>392</v>
      </c>
      <c r="C921" t="s">
        <v>1328</v>
      </c>
      <c r="D921" s="47">
        <v>2536</v>
      </c>
    </row>
    <row r="922" spans="1:4" ht="15" customHeight="1" x14ac:dyDescent="0.35">
      <c r="A922">
        <v>5</v>
      </c>
      <c r="B922" t="s">
        <v>392</v>
      </c>
      <c r="C922" t="s">
        <v>1329</v>
      </c>
      <c r="D922" s="47">
        <v>1820</v>
      </c>
    </row>
    <row r="923" spans="1:4" ht="15" customHeight="1" x14ac:dyDescent="0.35">
      <c r="A923">
        <v>5</v>
      </c>
      <c r="B923" t="s">
        <v>392</v>
      </c>
      <c r="C923" t="s">
        <v>1330</v>
      </c>
      <c r="D923" s="47">
        <v>2478</v>
      </c>
    </row>
    <row r="924" spans="1:4" ht="15" customHeight="1" x14ac:dyDescent="0.35">
      <c r="A924">
        <v>5</v>
      </c>
      <c r="B924" t="s">
        <v>392</v>
      </c>
      <c r="C924" t="s">
        <v>1331</v>
      </c>
      <c r="D924" s="47">
        <v>2403</v>
      </c>
    </row>
    <row r="925" spans="1:4" ht="15" customHeight="1" x14ac:dyDescent="0.35">
      <c r="A925">
        <v>5</v>
      </c>
      <c r="B925" t="s">
        <v>392</v>
      </c>
      <c r="C925" t="s">
        <v>1334</v>
      </c>
      <c r="D925" s="47">
        <v>5329</v>
      </c>
    </row>
    <row r="926" spans="1:4" ht="15" customHeight="1" x14ac:dyDescent="0.35">
      <c r="A926">
        <v>5</v>
      </c>
      <c r="B926" t="s">
        <v>392</v>
      </c>
      <c r="C926" t="s">
        <v>1335</v>
      </c>
      <c r="D926" s="47">
        <v>5198</v>
      </c>
    </row>
    <row r="927" spans="1:4" ht="15" customHeight="1" x14ac:dyDescent="0.35">
      <c r="A927">
        <v>5</v>
      </c>
      <c r="B927" t="s">
        <v>392</v>
      </c>
      <c r="C927" t="s">
        <v>1336</v>
      </c>
      <c r="D927" s="47">
        <v>3940</v>
      </c>
    </row>
    <row r="928" spans="1:4" ht="15" customHeight="1" x14ac:dyDescent="0.35">
      <c r="A928">
        <v>5</v>
      </c>
      <c r="B928" t="s">
        <v>392</v>
      </c>
      <c r="C928" t="s">
        <v>1337</v>
      </c>
      <c r="D928" s="47">
        <v>809</v>
      </c>
    </row>
    <row r="929" spans="1:4" ht="15" customHeight="1" x14ac:dyDescent="0.35">
      <c r="A929">
        <v>5</v>
      </c>
      <c r="B929" t="s">
        <v>392</v>
      </c>
      <c r="C929" t="s">
        <v>1338</v>
      </c>
      <c r="D929" s="47">
        <v>11222</v>
      </c>
    </row>
  </sheetData>
  <autoFilter ref="A10:E929"/>
  <sortState ref="P4:T30">
    <sortCondition ref="P4:P30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3"/>
  <sheetViews>
    <sheetView workbookViewId="0">
      <selection activeCell="A4" sqref="A4"/>
    </sheetView>
  </sheetViews>
  <sheetFormatPr baseColWidth="10" defaultRowHeight="14.5" x14ac:dyDescent="0.35"/>
  <cols>
    <col min="1" max="1" width="15.26953125" customWidth="1"/>
    <col min="2" max="2" width="14.1796875" customWidth="1"/>
    <col min="3" max="3" width="17.54296875" customWidth="1"/>
  </cols>
  <sheetData>
    <row r="1" spans="1:3" x14ac:dyDescent="0.35">
      <c r="A1" s="10" t="s">
        <v>10</v>
      </c>
      <c r="B1" s="10" t="s">
        <v>11</v>
      </c>
      <c r="C1" s="10" t="s">
        <v>12</v>
      </c>
    </row>
    <row r="2" spans="1:3" x14ac:dyDescent="0.35">
      <c r="A2" s="11">
        <v>44001</v>
      </c>
      <c r="B2" s="11">
        <v>44166</v>
      </c>
      <c r="C2" s="12" t="s">
        <v>409</v>
      </c>
    </row>
    <row r="3" spans="1:3" x14ac:dyDescent="0.35">
      <c r="A3" s="18">
        <v>44166</v>
      </c>
      <c r="B3" s="18">
        <v>44280</v>
      </c>
      <c r="C3" t="s">
        <v>1352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D160"/>
  <sheetViews>
    <sheetView topLeftCell="A181" workbookViewId="0">
      <selection activeCell="F9" sqref="F9"/>
    </sheetView>
  </sheetViews>
  <sheetFormatPr baseColWidth="10" defaultColWidth="28" defaultRowHeight="31.5" customHeight="1" x14ac:dyDescent="0.35"/>
  <sheetData>
    <row r="1" spans="1:4" ht="31.5" customHeight="1" x14ac:dyDescent="0.35">
      <c r="A1" s="19" t="s">
        <v>64</v>
      </c>
      <c r="B1" s="19" t="s">
        <v>61</v>
      </c>
      <c r="C1" s="19" t="s">
        <v>62</v>
      </c>
      <c r="D1" s="19" t="s">
        <v>63</v>
      </c>
    </row>
    <row r="2" spans="1:4" ht="31.5" customHeight="1" x14ac:dyDescent="0.35">
      <c r="A2" s="20" t="s">
        <v>68</v>
      </c>
      <c r="B2" s="20" t="s">
        <v>65</v>
      </c>
      <c r="C2" s="20" t="s">
        <v>66</v>
      </c>
      <c r="D2" s="20" t="s">
        <v>67</v>
      </c>
    </row>
    <row r="3" spans="1:4" ht="31.5" customHeight="1" x14ac:dyDescent="0.35">
      <c r="A3" s="20" t="s">
        <v>70</v>
      </c>
      <c r="B3" s="20" t="s">
        <v>65</v>
      </c>
      <c r="C3" s="20" t="s">
        <v>69</v>
      </c>
      <c r="D3" s="20" t="s">
        <v>67</v>
      </c>
    </row>
    <row r="4" spans="1:4" ht="31.5" customHeight="1" x14ac:dyDescent="0.35">
      <c r="A4" s="20" t="s">
        <v>72</v>
      </c>
      <c r="B4" s="20" t="s">
        <v>65</v>
      </c>
      <c r="C4" s="20" t="s">
        <v>71</v>
      </c>
      <c r="D4" s="20" t="s">
        <v>67</v>
      </c>
    </row>
    <row r="5" spans="1:4" ht="31.5" customHeight="1" x14ac:dyDescent="0.35">
      <c r="A5" s="20" t="s">
        <v>74</v>
      </c>
      <c r="B5" s="20" t="s">
        <v>65</v>
      </c>
      <c r="C5" s="20" t="s">
        <v>73</v>
      </c>
      <c r="D5" s="20" t="s">
        <v>67</v>
      </c>
    </row>
    <row r="6" spans="1:4" ht="31.5" customHeight="1" x14ac:dyDescent="0.35">
      <c r="A6" s="20" t="s">
        <v>47</v>
      </c>
      <c r="B6" s="20" t="s">
        <v>65</v>
      </c>
      <c r="C6" s="20" t="s">
        <v>75</v>
      </c>
      <c r="D6" s="20" t="s">
        <v>67</v>
      </c>
    </row>
    <row r="7" spans="1:4" ht="31.5" customHeight="1" x14ac:dyDescent="0.35">
      <c r="A7" s="20" t="s">
        <v>50</v>
      </c>
      <c r="B7" s="20" t="s">
        <v>65</v>
      </c>
      <c r="C7" s="20" t="s">
        <v>76</v>
      </c>
      <c r="D7" s="20" t="s">
        <v>67</v>
      </c>
    </row>
    <row r="8" spans="1:4" ht="31.5" customHeight="1" x14ac:dyDescent="0.35">
      <c r="A8" s="20" t="s">
        <v>46</v>
      </c>
      <c r="B8" s="20" t="s">
        <v>65</v>
      </c>
      <c r="C8" s="20" t="s">
        <v>77</v>
      </c>
      <c r="D8" s="20" t="s">
        <v>67</v>
      </c>
    </row>
    <row r="9" spans="1:4" ht="31.5" customHeight="1" x14ac:dyDescent="0.35">
      <c r="A9" s="20" t="s">
        <v>79</v>
      </c>
      <c r="B9" s="20" t="s">
        <v>65</v>
      </c>
      <c r="C9" s="20" t="s">
        <v>78</v>
      </c>
      <c r="D9" s="20" t="s">
        <v>67</v>
      </c>
    </row>
    <row r="10" spans="1:4" ht="31.5" customHeight="1" x14ac:dyDescent="0.35">
      <c r="A10" s="20" t="s">
        <v>81</v>
      </c>
      <c r="B10" s="20" t="s">
        <v>65</v>
      </c>
      <c r="C10" s="20" t="s">
        <v>80</v>
      </c>
      <c r="D10" s="20" t="s">
        <v>67</v>
      </c>
    </row>
    <row r="11" spans="1:4" ht="31.5" customHeight="1" x14ac:dyDescent="0.35">
      <c r="A11" s="20" t="s">
        <v>83</v>
      </c>
      <c r="B11" s="20" t="s">
        <v>65</v>
      </c>
      <c r="C11" s="20" t="s">
        <v>82</v>
      </c>
      <c r="D11" s="20" t="s">
        <v>67</v>
      </c>
    </row>
    <row r="12" spans="1:4" ht="31.5" customHeight="1" x14ac:dyDescent="0.35">
      <c r="A12" s="20" t="s">
        <v>85</v>
      </c>
      <c r="B12" s="20" t="s">
        <v>65</v>
      </c>
      <c r="C12" s="20" t="s">
        <v>84</v>
      </c>
      <c r="D12" s="20" t="s">
        <v>67</v>
      </c>
    </row>
    <row r="13" spans="1:4" ht="31.5" customHeight="1" x14ac:dyDescent="0.35">
      <c r="A13" s="21" t="s">
        <v>45</v>
      </c>
      <c r="B13" s="21" t="s">
        <v>65</v>
      </c>
      <c r="C13" s="21" t="s">
        <v>86</v>
      </c>
      <c r="D13" s="21" t="s">
        <v>67</v>
      </c>
    </row>
    <row r="14" spans="1:4" ht="31.5" customHeight="1" x14ac:dyDescent="0.35">
      <c r="A14" s="21" t="s">
        <v>88</v>
      </c>
      <c r="B14" s="21" t="s">
        <v>65</v>
      </c>
      <c r="C14" s="21" t="s">
        <v>87</v>
      </c>
      <c r="D14" s="21" t="s">
        <v>67</v>
      </c>
    </row>
    <row r="15" spans="1:4" ht="31.5" customHeight="1" x14ac:dyDescent="0.35">
      <c r="A15" s="21" t="s">
        <v>90</v>
      </c>
      <c r="B15" s="21" t="s">
        <v>65</v>
      </c>
      <c r="C15" s="21" t="s">
        <v>89</v>
      </c>
      <c r="D15" s="21" t="s">
        <v>67</v>
      </c>
    </row>
    <row r="16" spans="1:4" ht="31.5" customHeight="1" x14ac:dyDescent="0.35">
      <c r="A16" s="21" t="s">
        <v>48</v>
      </c>
      <c r="B16" s="21" t="s">
        <v>65</v>
      </c>
      <c r="C16" s="21" t="s">
        <v>91</v>
      </c>
      <c r="D16" s="21" t="s">
        <v>67</v>
      </c>
    </row>
    <row r="17" spans="1:4" ht="31.5" customHeight="1" x14ac:dyDescent="0.35">
      <c r="A17" s="21" t="s">
        <v>49</v>
      </c>
      <c r="B17" s="21" t="s">
        <v>65</v>
      </c>
      <c r="C17" s="21" t="s">
        <v>92</v>
      </c>
      <c r="D17" s="21" t="s">
        <v>67</v>
      </c>
    </row>
    <row r="18" spans="1:4" ht="31.5" customHeight="1" x14ac:dyDescent="0.35">
      <c r="A18" s="21" t="s">
        <v>94</v>
      </c>
      <c r="B18" s="21" t="s">
        <v>65</v>
      </c>
      <c r="C18" s="21" t="s">
        <v>93</v>
      </c>
      <c r="D18" s="21" t="s">
        <v>67</v>
      </c>
    </row>
    <row r="19" spans="1:4" ht="31.5" customHeight="1" x14ac:dyDescent="0.35">
      <c r="A19" s="21" t="s">
        <v>96</v>
      </c>
      <c r="B19" s="21" t="s">
        <v>65</v>
      </c>
      <c r="C19" s="21" t="s">
        <v>95</v>
      </c>
      <c r="D19" s="21" t="s">
        <v>67</v>
      </c>
    </row>
    <row r="20" spans="1:4" ht="31.5" customHeight="1" x14ac:dyDescent="0.35">
      <c r="A20" s="21" t="s">
        <v>51</v>
      </c>
      <c r="B20" s="21" t="s">
        <v>65</v>
      </c>
      <c r="C20" s="21" t="s">
        <v>97</v>
      </c>
      <c r="D20" s="21" t="s">
        <v>67</v>
      </c>
    </row>
    <row r="21" spans="1:4" ht="31.5" customHeight="1" x14ac:dyDescent="0.35">
      <c r="A21" s="21" t="s">
        <v>99</v>
      </c>
      <c r="B21" s="21" t="s">
        <v>65</v>
      </c>
      <c r="C21" s="21" t="s">
        <v>98</v>
      </c>
      <c r="D21" s="21" t="s">
        <v>67</v>
      </c>
    </row>
    <row r="22" spans="1:4" ht="31.5" customHeight="1" x14ac:dyDescent="0.35">
      <c r="A22" s="21" t="s">
        <v>101</v>
      </c>
      <c r="B22" s="21" t="s">
        <v>65</v>
      </c>
      <c r="C22" s="21" t="s">
        <v>100</v>
      </c>
      <c r="D22" s="21" t="s">
        <v>67</v>
      </c>
    </row>
    <row r="23" spans="1:4" ht="31.5" customHeight="1" x14ac:dyDescent="0.35">
      <c r="A23" s="21" t="s">
        <v>103</v>
      </c>
      <c r="B23" s="21" t="s">
        <v>65</v>
      </c>
      <c r="C23" s="21" t="s">
        <v>102</v>
      </c>
      <c r="D23" s="21" t="s">
        <v>67</v>
      </c>
    </row>
    <row r="24" spans="1:4" ht="31.5" customHeight="1" x14ac:dyDescent="0.35">
      <c r="A24" s="21" t="s">
        <v>52</v>
      </c>
      <c r="B24" s="21" t="s">
        <v>65</v>
      </c>
      <c r="C24" s="21" t="s">
        <v>104</v>
      </c>
      <c r="D24" s="21" t="s">
        <v>67</v>
      </c>
    </row>
    <row r="25" spans="1:4" ht="31.5" customHeight="1" x14ac:dyDescent="0.35">
      <c r="A25" s="20" t="s">
        <v>108</v>
      </c>
      <c r="B25" s="20" t="s">
        <v>105</v>
      </c>
      <c r="C25" s="20" t="s">
        <v>106</v>
      </c>
      <c r="D25" s="20" t="s">
        <v>107</v>
      </c>
    </row>
    <row r="26" spans="1:4" ht="31.5" customHeight="1" x14ac:dyDescent="0.35">
      <c r="A26" s="20" t="s">
        <v>41</v>
      </c>
      <c r="B26" s="20" t="s">
        <v>105</v>
      </c>
      <c r="C26" s="20" t="s">
        <v>109</v>
      </c>
      <c r="D26" s="20" t="s">
        <v>107</v>
      </c>
    </row>
    <row r="27" spans="1:4" ht="31.5" customHeight="1" x14ac:dyDescent="0.35">
      <c r="A27" s="21" t="s">
        <v>111</v>
      </c>
      <c r="B27" s="21" t="s">
        <v>105</v>
      </c>
      <c r="C27" s="21" t="s">
        <v>110</v>
      </c>
      <c r="D27" s="21" t="s">
        <v>107</v>
      </c>
    </row>
    <row r="28" spans="1:4" ht="31.5" customHeight="1" x14ac:dyDescent="0.35">
      <c r="A28" s="21" t="s">
        <v>39</v>
      </c>
      <c r="B28" s="21" t="s">
        <v>105</v>
      </c>
      <c r="C28" s="21" t="s">
        <v>112</v>
      </c>
      <c r="D28" s="21" t="s">
        <v>107</v>
      </c>
    </row>
    <row r="29" spans="1:4" ht="31.5" customHeight="1" x14ac:dyDescent="0.35">
      <c r="A29" s="20" t="s">
        <v>114</v>
      </c>
      <c r="B29" s="20" t="s">
        <v>105</v>
      </c>
      <c r="C29" s="20" t="s">
        <v>113</v>
      </c>
      <c r="D29" s="20" t="s">
        <v>107</v>
      </c>
    </row>
    <row r="30" spans="1:4" ht="31.5" customHeight="1" x14ac:dyDescent="0.35">
      <c r="A30" s="20" t="s">
        <v>116</v>
      </c>
      <c r="B30" s="20" t="s">
        <v>105</v>
      </c>
      <c r="C30" s="20" t="s">
        <v>115</v>
      </c>
      <c r="D30" s="20" t="s">
        <v>107</v>
      </c>
    </row>
    <row r="31" spans="1:4" ht="31.5" customHeight="1" x14ac:dyDescent="0.35">
      <c r="A31" s="21" t="s">
        <v>118</v>
      </c>
      <c r="B31" s="21" t="s">
        <v>105</v>
      </c>
      <c r="C31" s="21" t="s">
        <v>117</v>
      </c>
      <c r="D31" s="21" t="s">
        <v>107</v>
      </c>
    </row>
    <row r="32" spans="1:4" ht="31.5" customHeight="1" x14ac:dyDescent="0.35">
      <c r="A32" s="21" t="s">
        <v>40</v>
      </c>
      <c r="B32" s="21" t="s">
        <v>105</v>
      </c>
      <c r="C32" s="21" t="s">
        <v>119</v>
      </c>
      <c r="D32" s="21" t="s">
        <v>107</v>
      </c>
    </row>
    <row r="33" spans="1:4" ht="31.5" customHeight="1" x14ac:dyDescent="0.35">
      <c r="A33" s="20" t="s">
        <v>123</v>
      </c>
      <c r="B33" s="20" t="s">
        <v>120</v>
      </c>
      <c r="C33" s="20" t="s">
        <v>121</v>
      </c>
      <c r="D33" s="20" t="s">
        <v>122</v>
      </c>
    </row>
    <row r="34" spans="1:4" ht="31.5" customHeight="1" x14ac:dyDescent="0.35">
      <c r="A34" s="20" t="s">
        <v>125</v>
      </c>
      <c r="B34" s="20" t="s">
        <v>120</v>
      </c>
      <c r="C34" s="20" t="s">
        <v>124</v>
      </c>
      <c r="D34" s="20" t="s">
        <v>122</v>
      </c>
    </row>
    <row r="35" spans="1:4" ht="31.5" customHeight="1" x14ac:dyDescent="0.35">
      <c r="A35" s="20" t="s">
        <v>127</v>
      </c>
      <c r="B35" s="20" t="s">
        <v>120</v>
      </c>
      <c r="C35" s="20" t="s">
        <v>126</v>
      </c>
      <c r="D35" s="20" t="s">
        <v>122</v>
      </c>
    </row>
    <row r="36" spans="1:4" ht="31.5" customHeight="1" x14ac:dyDescent="0.35">
      <c r="A36" s="20" t="s">
        <v>129</v>
      </c>
      <c r="B36" s="20" t="s">
        <v>120</v>
      </c>
      <c r="C36" s="20" t="s">
        <v>128</v>
      </c>
      <c r="D36" s="20" t="s">
        <v>122</v>
      </c>
    </row>
    <row r="37" spans="1:4" ht="31.5" customHeight="1" x14ac:dyDescent="0.35">
      <c r="A37" s="20" t="s">
        <v>131</v>
      </c>
      <c r="B37" s="20" t="s">
        <v>120</v>
      </c>
      <c r="C37" s="20" t="s">
        <v>130</v>
      </c>
      <c r="D37" s="20" t="s">
        <v>122</v>
      </c>
    </row>
    <row r="38" spans="1:4" ht="31.5" customHeight="1" x14ac:dyDescent="0.35">
      <c r="A38" s="20" t="s">
        <v>42</v>
      </c>
      <c r="B38" s="20" t="s">
        <v>120</v>
      </c>
      <c r="C38" s="20" t="s">
        <v>132</v>
      </c>
      <c r="D38" s="20" t="s">
        <v>122</v>
      </c>
    </row>
    <row r="39" spans="1:4" ht="31.5" customHeight="1" x14ac:dyDescent="0.35">
      <c r="A39" s="20" t="s">
        <v>134</v>
      </c>
      <c r="B39" s="20" t="s">
        <v>120</v>
      </c>
      <c r="C39" s="20" t="s">
        <v>133</v>
      </c>
      <c r="D39" s="20" t="s">
        <v>122</v>
      </c>
    </row>
    <row r="40" spans="1:4" ht="31.5" customHeight="1" x14ac:dyDescent="0.35">
      <c r="A40" s="20" t="s">
        <v>136</v>
      </c>
      <c r="B40" s="20" t="s">
        <v>120</v>
      </c>
      <c r="C40" s="20" t="s">
        <v>135</v>
      </c>
      <c r="D40" s="20" t="s">
        <v>122</v>
      </c>
    </row>
    <row r="41" spans="1:4" ht="31.5" customHeight="1" x14ac:dyDescent="0.35">
      <c r="A41" s="20" t="s">
        <v>43</v>
      </c>
      <c r="B41" s="20" t="s">
        <v>120</v>
      </c>
      <c r="C41" s="20" t="s">
        <v>137</v>
      </c>
      <c r="D41" s="20" t="s">
        <v>122</v>
      </c>
    </row>
    <row r="42" spans="1:4" ht="31.5" customHeight="1" x14ac:dyDescent="0.35">
      <c r="A42" s="20" t="s">
        <v>139</v>
      </c>
      <c r="B42" s="20" t="s">
        <v>120</v>
      </c>
      <c r="C42" s="20" t="s">
        <v>138</v>
      </c>
      <c r="D42" s="20" t="s">
        <v>122</v>
      </c>
    </row>
    <row r="43" spans="1:4" ht="31.5" customHeight="1" x14ac:dyDescent="0.35">
      <c r="A43" s="20" t="s">
        <v>141</v>
      </c>
      <c r="B43" s="20" t="s">
        <v>120</v>
      </c>
      <c r="C43" s="20" t="s">
        <v>140</v>
      </c>
      <c r="D43" s="20" t="s">
        <v>122</v>
      </c>
    </row>
    <row r="44" spans="1:4" ht="31.5" customHeight="1" x14ac:dyDescent="0.35">
      <c r="A44" s="20" t="s">
        <v>44</v>
      </c>
      <c r="B44" s="20" t="s">
        <v>120</v>
      </c>
      <c r="C44" s="20" t="s">
        <v>142</v>
      </c>
      <c r="D44" s="20" t="s">
        <v>122</v>
      </c>
    </row>
    <row r="45" spans="1:4" ht="31.5" customHeight="1" x14ac:dyDescent="0.35">
      <c r="A45" s="20" t="s">
        <v>144</v>
      </c>
      <c r="B45" s="20" t="s">
        <v>120</v>
      </c>
      <c r="C45" s="20" t="s">
        <v>143</v>
      </c>
      <c r="D45" s="20" t="s">
        <v>122</v>
      </c>
    </row>
    <row r="46" spans="1:4" ht="31.5" customHeight="1" x14ac:dyDescent="0.35">
      <c r="A46" s="20" t="s">
        <v>55</v>
      </c>
      <c r="B46" s="20" t="s">
        <v>120</v>
      </c>
      <c r="C46" s="20" t="s">
        <v>145</v>
      </c>
      <c r="D46" s="20" t="s">
        <v>122</v>
      </c>
    </row>
    <row r="47" spans="1:4" ht="31.5" customHeight="1" x14ac:dyDescent="0.35">
      <c r="A47" s="21" t="s">
        <v>54</v>
      </c>
      <c r="B47" s="21" t="s">
        <v>120</v>
      </c>
      <c r="C47" s="21" t="s">
        <v>146</v>
      </c>
      <c r="D47" s="21" t="s">
        <v>122</v>
      </c>
    </row>
    <row r="48" spans="1:4" ht="31.5" customHeight="1" x14ac:dyDescent="0.35">
      <c r="A48" s="21" t="s">
        <v>148</v>
      </c>
      <c r="B48" s="21" t="s">
        <v>120</v>
      </c>
      <c r="C48" s="21" t="s">
        <v>147</v>
      </c>
      <c r="D48" s="21" t="s">
        <v>122</v>
      </c>
    </row>
    <row r="49" spans="1:4" ht="31.5" customHeight="1" x14ac:dyDescent="0.35">
      <c r="A49" s="21" t="s">
        <v>150</v>
      </c>
      <c r="B49" s="21" t="s">
        <v>120</v>
      </c>
      <c r="C49" s="21" t="s">
        <v>149</v>
      </c>
      <c r="D49" s="21" t="s">
        <v>122</v>
      </c>
    </row>
    <row r="50" spans="1:4" ht="31.5" customHeight="1" x14ac:dyDescent="0.35">
      <c r="A50" s="20" t="s">
        <v>26</v>
      </c>
      <c r="B50" s="20" t="s">
        <v>151</v>
      </c>
      <c r="C50" s="20" t="s">
        <v>152</v>
      </c>
      <c r="D50" s="20" t="s">
        <v>153</v>
      </c>
    </row>
    <row r="51" spans="1:4" ht="31.5" customHeight="1" x14ac:dyDescent="0.35">
      <c r="A51" s="20" t="s">
        <v>25</v>
      </c>
      <c r="B51" s="20" t="s">
        <v>151</v>
      </c>
      <c r="C51" s="20" t="s">
        <v>154</v>
      </c>
      <c r="D51" s="20" t="s">
        <v>153</v>
      </c>
    </row>
    <row r="52" spans="1:4" ht="31.5" customHeight="1" x14ac:dyDescent="0.35">
      <c r="A52" s="20" t="s">
        <v>23</v>
      </c>
      <c r="B52" s="20" t="s">
        <v>151</v>
      </c>
      <c r="C52" s="20" t="s">
        <v>155</v>
      </c>
      <c r="D52" s="20" t="s">
        <v>153</v>
      </c>
    </row>
    <row r="53" spans="1:4" ht="31.5" customHeight="1" x14ac:dyDescent="0.35">
      <c r="A53" s="20" t="s">
        <v>24</v>
      </c>
      <c r="B53" s="20" t="s">
        <v>151</v>
      </c>
      <c r="C53" s="20" t="s">
        <v>156</v>
      </c>
      <c r="D53" s="20" t="s">
        <v>153</v>
      </c>
    </row>
    <row r="54" spans="1:4" ht="31.5" customHeight="1" x14ac:dyDescent="0.35">
      <c r="A54" s="20" t="s">
        <v>27</v>
      </c>
      <c r="B54" s="20" t="s">
        <v>151</v>
      </c>
      <c r="C54" s="20" t="s">
        <v>157</v>
      </c>
      <c r="D54" s="20" t="s">
        <v>153</v>
      </c>
    </row>
    <row r="55" spans="1:4" ht="31.5" customHeight="1" x14ac:dyDescent="0.35">
      <c r="A55" s="20" t="s">
        <v>28</v>
      </c>
      <c r="B55" s="20" t="s">
        <v>151</v>
      </c>
      <c r="C55" s="20" t="s">
        <v>158</v>
      </c>
      <c r="D55" s="20" t="s">
        <v>153</v>
      </c>
    </row>
    <row r="56" spans="1:4" ht="31.5" customHeight="1" x14ac:dyDescent="0.35">
      <c r="A56" s="21" t="s">
        <v>160</v>
      </c>
      <c r="B56" s="21" t="s">
        <v>151</v>
      </c>
      <c r="C56" s="21" t="s">
        <v>159</v>
      </c>
      <c r="D56" s="21" t="s">
        <v>153</v>
      </c>
    </row>
    <row r="57" spans="1:4" ht="31.5" customHeight="1" x14ac:dyDescent="0.35">
      <c r="A57" s="21" t="s">
        <v>162</v>
      </c>
      <c r="B57" s="21" t="s">
        <v>151</v>
      </c>
      <c r="C57" s="21" t="s">
        <v>161</v>
      </c>
      <c r="D57" s="21" t="s">
        <v>153</v>
      </c>
    </row>
    <row r="58" spans="1:4" ht="31.5" customHeight="1" x14ac:dyDescent="0.35">
      <c r="A58" s="20" t="s">
        <v>166</v>
      </c>
      <c r="B58" s="20" t="s">
        <v>163</v>
      </c>
      <c r="C58" s="20" t="s">
        <v>164</v>
      </c>
      <c r="D58" s="20" t="s">
        <v>165</v>
      </c>
    </row>
    <row r="59" spans="1:4" ht="31.5" customHeight="1" x14ac:dyDescent="0.35">
      <c r="A59" s="20" t="s">
        <v>168</v>
      </c>
      <c r="B59" s="20" t="s">
        <v>163</v>
      </c>
      <c r="C59" s="20" t="s">
        <v>167</v>
      </c>
      <c r="D59" s="20" t="s">
        <v>165</v>
      </c>
    </row>
    <row r="60" spans="1:4" ht="31.5" customHeight="1" x14ac:dyDescent="0.35">
      <c r="A60" s="20" t="s">
        <v>170</v>
      </c>
      <c r="B60" s="20" t="s">
        <v>163</v>
      </c>
      <c r="C60" s="20" t="s">
        <v>169</v>
      </c>
      <c r="D60" s="20" t="s">
        <v>165</v>
      </c>
    </row>
    <row r="61" spans="1:4" ht="31.5" customHeight="1" x14ac:dyDescent="0.35">
      <c r="A61" s="20" t="s">
        <v>172</v>
      </c>
      <c r="B61" s="20" t="s">
        <v>163</v>
      </c>
      <c r="C61" s="20" t="s">
        <v>171</v>
      </c>
      <c r="D61" s="20" t="s">
        <v>165</v>
      </c>
    </row>
    <row r="62" spans="1:4" ht="31.5" customHeight="1" x14ac:dyDescent="0.35">
      <c r="A62" s="20" t="s">
        <v>174</v>
      </c>
      <c r="B62" s="20" t="s">
        <v>163</v>
      </c>
      <c r="C62" s="20" t="s">
        <v>173</v>
      </c>
      <c r="D62" s="20" t="s">
        <v>165</v>
      </c>
    </row>
    <row r="63" spans="1:4" ht="31.5" customHeight="1" x14ac:dyDescent="0.35">
      <c r="A63" s="20" t="s">
        <v>176</v>
      </c>
      <c r="B63" s="20" t="s">
        <v>163</v>
      </c>
      <c r="C63" s="20" t="s">
        <v>175</v>
      </c>
      <c r="D63" s="20" t="s">
        <v>165</v>
      </c>
    </row>
    <row r="64" spans="1:4" ht="31.5" customHeight="1" x14ac:dyDescent="0.35">
      <c r="A64" s="20" t="s">
        <v>178</v>
      </c>
      <c r="B64" s="20" t="s">
        <v>163</v>
      </c>
      <c r="C64" s="20" t="s">
        <v>177</v>
      </c>
      <c r="D64" s="20" t="s">
        <v>165</v>
      </c>
    </row>
    <row r="65" spans="1:4" ht="31.5" customHeight="1" x14ac:dyDescent="0.35">
      <c r="A65" s="20" t="s">
        <v>29</v>
      </c>
      <c r="B65" s="20" t="s">
        <v>163</v>
      </c>
      <c r="C65" s="20" t="s">
        <v>179</v>
      </c>
      <c r="D65" s="20" t="s">
        <v>165</v>
      </c>
    </row>
    <row r="66" spans="1:4" ht="31.5" customHeight="1" x14ac:dyDescent="0.35">
      <c r="A66" s="20" t="s">
        <v>181</v>
      </c>
      <c r="B66" s="20" t="s">
        <v>163</v>
      </c>
      <c r="C66" s="20" t="s">
        <v>180</v>
      </c>
      <c r="D66" s="20" t="s">
        <v>165</v>
      </c>
    </row>
    <row r="67" spans="1:4" ht="31.5" customHeight="1" x14ac:dyDescent="0.35">
      <c r="A67" s="20" t="s">
        <v>30</v>
      </c>
      <c r="B67" s="20" t="s">
        <v>163</v>
      </c>
      <c r="C67" s="20" t="s">
        <v>182</v>
      </c>
      <c r="D67" s="20" t="s">
        <v>165</v>
      </c>
    </row>
    <row r="68" spans="1:4" ht="31.5" customHeight="1" x14ac:dyDescent="0.35">
      <c r="A68" s="21" t="s">
        <v>184</v>
      </c>
      <c r="B68" s="21" t="s">
        <v>163</v>
      </c>
      <c r="C68" s="21" t="s">
        <v>183</v>
      </c>
      <c r="D68" s="21" t="s">
        <v>165</v>
      </c>
    </row>
    <row r="69" spans="1:4" ht="31.5" customHeight="1" x14ac:dyDescent="0.35">
      <c r="A69" s="20" t="s">
        <v>188</v>
      </c>
      <c r="B69" s="20" t="s">
        <v>185</v>
      </c>
      <c r="C69" s="20" t="s">
        <v>186</v>
      </c>
      <c r="D69" s="20" t="s">
        <v>187</v>
      </c>
    </row>
    <row r="70" spans="1:4" ht="31.5" customHeight="1" x14ac:dyDescent="0.35">
      <c r="A70" s="20" t="s">
        <v>190</v>
      </c>
      <c r="B70" s="20" t="s">
        <v>185</v>
      </c>
      <c r="C70" s="20" t="s">
        <v>189</v>
      </c>
      <c r="D70" s="20" t="s">
        <v>187</v>
      </c>
    </row>
    <row r="71" spans="1:4" ht="31.5" customHeight="1" x14ac:dyDescent="0.35">
      <c r="A71" s="20" t="s">
        <v>192</v>
      </c>
      <c r="B71" s="20" t="s">
        <v>185</v>
      </c>
      <c r="C71" s="20" t="s">
        <v>191</v>
      </c>
      <c r="D71" s="20" t="s">
        <v>187</v>
      </c>
    </row>
    <row r="72" spans="1:4" ht="31.5" customHeight="1" x14ac:dyDescent="0.35">
      <c r="A72" s="20" t="s">
        <v>194</v>
      </c>
      <c r="B72" s="20" t="s">
        <v>185</v>
      </c>
      <c r="C72" s="20" t="s">
        <v>193</v>
      </c>
      <c r="D72" s="20" t="s">
        <v>187</v>
      </c>
    </row>
    <row r="73" spans="1:4" ht="31.5" customHeight="1" x14ac:dyDescent="0.35">
      <c r="A73" s="20" t="s">
        <v>198</v>
      </c>
      <c r="B73" s="20" t="s">
        <v>195</v>
      </c>
      <c r="C73" s="20" t="s">
        <v>196</v>
      </c>
      <c r="D73" s="20" t="s">
        <v>197</v>
      </c>
    </row>
    <row r="74" spans="1:4" ht="31.5" customHeight="1" x14ac:dyDescent="0.35">
      <c r="A74" s="20" t="s">
        <v>200</v>
      </c>
      <c r="B74" s="20" t="s">
        <v>195</v>
      </c>
      <c r="C74" s="20" t="s">
        <v>199</v>
      </c>
      <c r="D74" s="20" t="s">
        <v>197</v>
      </c>
    </row>
    <row r="75" spans="1:4" ht="31.5" customHeight="1" x14ac:dyDescent="0.35">
      <c r="A75" s="20" t="s">
        <v>202</v>
      </c>
      <c r="B75" s="20" t="s">
        <v>195</v>
      </c>
      <c r="C75" s="20" t="s">
        <v>201</v>
      </c>
      <c r="D75" s="20" t="s">
        <v>197</v>
      </c>
    </row>
    <row r="76" spans="1:4" ht="31.5" customHeight="1" x14ac:dyDescent="0.35">
      <c r="A76" s="20" t="s">
        <v>204</v>
      </c>
      <c r="B76" s="20" t="s">
        <v>195</v>
      </c>
      <c r="C76" s="20" t="s">
        <v>203</v>
      </c>
      <c r="D76" s="20" t="s">
        <v>197</v>
      </c>
    </row>
    <row r="77" spans="1:4" ht="31.5" customHeight="1" x14ac:dyDescent="0.35">
      <c r="A77" s="20" t="s">
        <v>206</v>
      </c>
      <c r="B77" s="20" t="s">
        <v>195</v>
      </c>
      <c r="C77" s="20" t="s">
        <v>205</v>
      </c>
      <c r="D77" s="20" t="s">
        <v>197</v>
      </c>
    </row>
    <row r="78" spans="1:4" ht="31.5" customHeight="1" x14ac:dyDescent="0.35">
      <c r="A78" s="21" t="s">
        <v>208</v>
      </c>
      <c r="B78" s="21" t="s">
        <v>195</v>
      </c>
      <c r="C78" s="21" t="s">
        <v>207</v>
      </c>
      <c r="D78" s="21" t="s">
        <v>197</v>
      </c>
    </row>
    <row r="79" spans="1:4" ht="31.5" customHeight="1" x14ac:dyDescent="0.35">
      <c r="A79" s="21" t="s">
        <v>210</v>
      </c>
      <c r="B79" s="21" t="s">
        <v>195</v>
      </c>
      <c r="C79" s="21" t="s">
        <v>209</v>
      </c>
      <c r="D79" s="21" t="s">
        <v>197</v>
      </c>
    </row>
    <row r="80" spans="1:4" ht="31.5" customHeight="1" x14ac:dyDescent="0.35">
      <c r="A80" s="21" t="s">
        <v>212</v>
      </c>
      <c r="B80" s="21" t="s">
        <v>195</v>
      </c>
      <c r="C80" s="21" t="s">
        <v>211</v>
      </c>
      <c r="D80" s="21" t="s">
        <v>197</v>
      </c>
    </row>
    <row r="81" spans="1:4" ht="31.5" customHeight="1" x14ac:dyDescent="0.35">
      <c r="A81" s="21" t="s">
        <v>214</v>
      </c>
      <c r="B81" s="21" t="s">
        <v>195</v>
      </c>
      <c r="C81" s="21" t="s">
        <v>213</v>
      </c>
      <c r="D81" s="21" t="s">
        <v>197</v>
      </c>
    </row>
    <row r="82" spans="1:4" ht="31.5" customHeight="1" x14ac:dyDescent="0.35">
      <c r="A82" s="21" t="s">
        <v>15</v>
      </c>
      <c r="B82" s="21" t="s">
        <v>195</v>
      </c>
      <c r="C82" s="21" t="s">
        <v>215</v>
      </c>
      <c r="D82" s="21" t="s">
        <v>197</v>
      </c>
    </row>
    <row r="83" spans="1:4" ht="31.5" customHeight="1" x14ac:dyDescent="0.35">
      <c r="A83" s="20" t="s">
        <v>219</v>
      </c>
      <c r="B83" s="20" t="s">
        <v>216</v>
      </c>
      <c r="C83" s="20" t="s">
        <v>217</v>
      </c>
      <c r="D83" s="20" t="s">
        <v>218</v>
      </c>
    </row>
    <row r="84" spans="1:4" ht="31.5" customHeight="1" x14ac:dyDescent="0.35">
      <c r="A84" s="20" t="s">
        <v>221</v>
      </c>
      <c r="B84" s="20" t="s">
        <v>216</v>
      </c>
      <c r="C84" s="20" t="s">
        <v>220</v>
      </c>
      <c r="D84" s="20" t="s">
        <v>218</v>
      </c>
    </row>
    <row r="85" spans="1:4" ht="31.5" customHeight="1" x14ac:dyDescent="0.35">
      <c r="A85" s="20" t="s">
        <v>223</v>
      </c>
      <c r="B85" s="20" t="s">
        <v>216</v>
      </c>
      <c r="C85" s="20" t="s">
        <v>222</v>
      </c>
      <c r="D85" s="20" t="s">
        <v>218</v>
      </c>
    </row>
    <row r="86" spans="1:4" ht="31.5" customHeight="1" x14ac:dyDescent="0.35">
      <c r="A86" s="20" t="s">
        <v>31</v>
      </c>
      <c r="B86" s="20" t="s">
        <v>216</v>
      </c>
      <c r="C86" s="20" t="s">
        <v>224</v>
      </c>
      <c r="D86" s="20" t="s">
        <v>218</v>
      </c>
    </row>
    <row r="87" spans="1:4" ht="31.5" customHeight="1" x14ac:dyDescent="0.35">
      <c r="A87" s="21" t="s">
        <v>226</v>
      </c>
      <c r="B87" s="21" t="s">
        <v>216</v>
      </c>
      <c r="C87" s="21" t="s">
        <v>225</v>
      </c>
      <c r="D87" s="21" t="s">
        <v>218</v>
      </c>
    </row>
    <row r="88" spans="1:4" ht="31.5" customHeight="1" x14ac:dyDescent="0.35">
      <c r="A88" s="20" t="s">
        <v>230</v>
      </c>
      <c r="B88" s="20" t="s">
        <v>227</v>
      </c>
      <c r="C88" s="20" t="s">
        <v>228</v>
      </c>
      <c r="D88" s="20" t="s">
        <v>229</v>
      </c>
    </row>
    <row r="89" spans="1:4" ht="31.5" customHeight="1" x14ac:dyDescent="0.35">
      <c r="A89" s="20" t="s">
        <v>232</v>
      </c>
      <c r="B89" s="20" t="s">
        <v>227</v>
      </c>
      <c r="C89" s="20" t="s">
        <v>231</v>
      </c>
      <c r="D89" s="20" t="s">
        <v>229</v>
      </c>
    </row>
    <row r="90" spans="1:4" ht="31.5" customHeight="1" x14ac:dyDescent="0.35">
      <c r="A90" s="20" t="s">
        <v>56</v>
      </c>
      <c r="B90" s="20" t="s">
        <v>227</v>
      </c>
      <c r="C90" s="20" t="s">
        <v>233</v>
      </c>
      <c r="D90" s="20" t="s">
        <v>229</v>
      </c>
    </row>
    <row r="91" spans="1:4" ht="31.5" customHeight="1" x14ac:dyDescent="0.35">
      <c r="A91" s="20" t="s">
        <v>237</v>
      </c>
      <c r="B91" s="20" t="s">
        <v>234</v>
      </c>
      <c r="C91" s="20" t="s">
        <v>235</v>
      </c>
      <c r="D91" s="20" t="s">
        <v>236</v>
      </c>
    </row>
    <row r="92" spans="1:4" ht="31.5" customHeight="1" x14ac:dyDescent="0.35">
      <c r="A92" s="20" t="s">
        <v>239</v>
      </c>
      <c r="B92" s="20" t="s">
        <v>234</v>
      </c>
      <c r="C92" s="20" t="s">
        <v>238</v>
      </c>
      <c r="D92" s="20" t="s">
        <v>236</v>
      </c>
    </row>
    <row r="93" spans="1:4" ht="31.5" customHeight="1" x14ac:dyDescent="0.35">
      <c r="A93" s="20" t="s">
        <v>241</v>
      </c>
      <c r="B93" s="20" t="s">
        <v>234</v>
      </c>
      <c r="C93" s="20" t="s">
        <v>240</v>
      </c>
      <c r="D93" s="20" t="s">
        <v>236</v>
      </c>
    </row>
    <row r="94" spans="1:4" ht="31.5" customHeight="1" x14ac:dyDescent="0.35">
      <c r="A94" s="20" t="s">
        <v>243</v>
      </c>
      <c r="B94" s="20" t="s">
        <v>234</v>
      </c>
      <c r="C94" s="20" t="s">
        <v>242</v>
      </c>
      <c r="D94" s="20" t="s">
        <v>236</v>
      </c>
    </row>
    <row r="95" spans="1:4" ht="31.5" customHeight="1" x14ac:dyDescent="0.35">
      <c r="A95" s="20" t="s">
        <v>245</v>
      </c>
      <c r="B95" s="20" t="s">
        <v>234</v>
      </c>
      <c r="C95" s="20" t="s">
        <v>244</v>
      </c>
      <c r="D95" s="20" t="s">
        <v>236</v>
      </c>
    </row>
    <row r="96" spans="1:4" ht="31.5" customHeight="1" x14ac:dyDescent="0.35">
      <c r="A96" s="20" t="s">
        <v>249</v>
      </c>
      <c r="B96" s="20" t="s">
        <v>246</v>
      </c>
      <c r="C96" s="20" t="s">
        <v>247</v>
      </c>
      <c r="D96" s="20" t="s">
        <v>248</v>
      </c>
    </row>
    <row r="97" spans="1:4" ht="31.5" customHeight="1" x14ac:dyDescent="0.35">
      <c r="A97" s="20" t="s">
        <v>18</v>
      </c>
      <c r="B97" s="20" t="s">
        <v>246</v>
      </c>
      <c r="C97" s="20" t="s">
        <v>250</v>
      </c>
      <c r="D97" s="20" t="s">
        <v>248</v>
      </c>
    </row>
    <row r="98" spans="1:4" ht="31.5" customHeight="1" x14ac:dyDescent="0.35">
      <c r="A98" s="20" t="s">
        <v>17</v>
      </c>
      <c r="B98" s="20" t="s">
        <v>246</v>
      </c>
      <c r="C98" s="20" t="s">
        <v>251</v>
      </c>
      <c r="D98" s="20" t="s">
        <v>248</v>
      </c>
    </row>
    <row r="99" spans="1:4" ht="31.5" customHeight="1" x14ac:dyDescent="0.35">
      <c r="A99" s="20" t="s">
        <v>255</v>
      </c>
      <c r="B99" s="20" t="s">
        <v>252</v>
      </c>
      <c r="C99" s="20" t="s">
        <v>253</v>
      </c>
      <c r="D99" s="20" t="s">
        <v>254</v>
      </c>
    </row>
    <row r="100" spans="1:4" ht="31.5" customHeight="1" x14ac:dyDescent="0.35">
      <c r="A100" s="20" t="s">
        <v>257</v>
      </c>
      <c r="B100" s="20" t="s">
        <v>252</v>
      </c>
      <c r="C100" s="20" t="s">
        <v>256</v>
      </c>
      <c r="D100" s="20" t="s">
        <v>254</v>
      </c>
    </row>
    <row r="101" spans="1:4" ht="31.5" customHeight="1" x14ac:dyDescent="0.35">
      <c r="A101" s="20" t="s">
        <v>259</v>
      </c>
      <c r="B101" s="20" t="s">
        <v>252</v>
      </c>
      <c r="C101" s="20" t="s">
        <v>258</v>
      </c>
      <c r="D101" s="20" t="s">
        <v>254</v>
      </c>
    </row>
    <row r="102" spans="1:4" ht="31.5" customHeight="1" x14ac:dyDescent="0.35">
      <c r="A102" s="20" t="s">
        <v>261</v>
      </c>
      <c r="B102" s="20" t="s">
        <v>252</v>
      </c>
      <c r="C102" s="20" t="s">
        <v>260</v>
      </c>
      <c r="D102" s="20" t="s">
        <v>254</v>
      </c>
    </row>
    <row r="103" spans="1:4" ht="31.5" customHeight="1" x14ac:dyDescent="0.35">
      <c r="A103" s="20" t="s">
        <v>263</v>
      </c>
      <c r="B103" s="20" t="s">
        <v>252</v>
      </c>
      <c r="C103" s="20" t="s">
        <v>262</v>
      </c>
      <c r="D103" s="20" t="s">
        <v>254</v>
      </c>
    </row>
    <row r="104" spans="1:4" ht="31.5" customHeight="1" x14ac:dyDescent="0.35">
      <c r="A104" s="20" t="s">
        <v>265</v>
      </c>
      <c r="B104" s="20" t="s">
        <v>252</v>
      </c>
      <c r="C104" s="20" t="s">
        <v>264</v>
      </c>
      <c r="D104" s="20" t="s">
        <v>254</v>
      </c>
    </row>
    <row r="105" spans="1:4" ht="31.5" customHeight="1" x14ac:dyDescent="0.35">
      <c r="A105" s="20" t="s">
        <v>269</v>
      </c>
      <c r="B105" s="20" t="s">
        <v>266</v>
      </c>
      <c r="C105" s="20" t="s">
        <v>267</v>
      </c>
      <c r="D105" s="20" t="s">
        <v>268</v>
      </c>
    </row>
    <row r="106" spans="1:4" ht="31.5" customHeight="1" x14ac:dyDescent="0.35">
      <c r="A106" s="20" t="s">
        <v>271</v>
      </c>
      <c r="B106" s="20" t="s">
        <v>266</v>
      </c>
      <c r="C106" s="20" t="s">
        <v>270</v>
      </c>
      <c r="D106" s="20" t="s">
        <v>268</v>
      </c>
    </row>
    <row r="107" spans="1:4" ht="31.5" customHeight="1" x14ac:dyDescent="0.35">
      <c r="A107" s="20" t="s">
        <v>36</v>
      </c>
      <c r="B107" s="20" t="s">
        <v>266</v>
      </c>
      <c r="C107" s="20" t="s">
        <v>272</v>
      </c>
      <c r="D107" s="20" t="s">
        <v>268</v>
      </c>
    </row>
    <row r="108" spans="1:4" ht="31.5" customHeight="1" x14ac:dyDescent="0.35">
      <c r="A108" s="20" t="s">
        <v>16</v>
      </c>
      <c r="B108" s="20" t="s">
        <v>266</v>
      </c>
      <c r="C108" s="20" t="s">
        <v>273</v>
      </c>
      <c r="D108" s="20" t="s">
        <v>268</v>
      </c>
    </row>
    <row r="109" spans="1:4" ht="31.5" customHeight="1" x14ac:dyDescent="0.35">
      <c r="A109" s="20" t="s">
        <v>37</v>
      </c>
      <c r="B109" s="20" t="s">
        <v>266</v>
      </c>
      <c r="C109" s="20" t="s">
        <v>274</v>
      </c>
      <c r="D109" s="20" t="s">
        <v>268</v>
      </c>
    </row>
    <row r="110" spans="1:4" ht="31.5" customHeight="1" x14ac:dyDescent="0.35">
      <c r="A110" s="20" t="s">
        <v>38</v>
      </c>
      <c r="B110" s="20" t="s">
        <v>266</v>
      </c>
      <c r="C110" s="20" t="s">
        <v>275</v>
      </c>
      <c r="D110" s="20" t="s">
        <v>268</v>
      </c>
    </row>
    <row r="111" spans="1:4" ht="31.5" customHeight="1" x14ac:dyDescent="0.35">
      <c r="A111" s="20" t="s">
        <v>277</v>
      </c>
      <c r="B111" s="20" t="s">
        <v>266</v>
      </c>
      <c r="C111" s="20" t="s">
        <v>276</v>
      </c>
      <c r="D111" s="20" t="s">
        <v>268</v>
      </c>
    </row>
    <row r="112" spans="1:4" ht="31.5" customHeight="1" x14ac:dyDescent="0.35">
      <c r="A112" s="21" t="s">
        <v>375</v>
      </c>
      <c r="B112" s="21" t="s">
        <v>266</v>
      </c>
      <c r="C112" s="21" t="s">
        <v>376</v>
      </c>
      <c r="D112" s="21" t="s">
        <v>268</v>
      </c>
    </row>
    <row r="113" spans="1:4" ht="31.5" customHeight="1" x14ac:dyDescent="0.35">
      <c r="A113" s="21" t="s">
        <v>35</v>
      </c>
      <c r="B113" s="21" t="s">
        <v>266</v>
      </c>
      <c r="C113" s="21" t="s">
        <v>278</v>
      </c>
      <c r="D113" s="21" t="s">
        <v>268</v>
      </c>
    </row>
    <row r="114" spans="1:4" ht="31.5" customHeight="1" x14ac:dyDescent="0.35">
      <c r="A114" s="21" t="s">
        <v>280</v>
      </c>
      <c r="B114" s="21" t="s">
        <v>266</v>
      </c>
      <c r="C114" s="21" t="s">
        <v>279</v>
      </c>
      <c r="D114" s="21" t="s">
        <v>268</v>
      </c>
    </row>
    <row r="115" spans="1:4" ht="31.5" customHeight="1" x14ac:dyDescent="0.35">
      <c r="A115" s="20" t="s">
        <v>284</v>
      </c>
      <c r="B115" s="20" t="s">
        <v>281</v>
      </c>
      <c r="C115" s="20" t="s">
        <v>282</v>
      </c>
      <c r="D115" s="20" t="s">
        <v>283</v>
      </c>
    </row>
    <row r="116" spans="1:4" ht="31.5" customHeight="1" x14ac:dyDescent="0.35">
      <c r="A116" s="20" t="s">
        <v>53</v>
      </c>
      <c r="B116" s="20" t="s">
        <v>281</v>
      </c>
      <c r="C116" s="20" t="s">
        <v>285</v>
      </c>
      <c r="D116" s="20" t="s">
        <v>283</v>
      </c>
    </row>
    <row r="117" spans="1:4" ht="31.5" customHeight="1" x14ac:dyDescent="0.35">
      <c r="A117" s="20" t="s">
        <v>287</v>
      </c>
      <c r="B117" s="20" t="s">
        <v>281</v>
      </c>
      <c r="C117" s="20" t="s">
        <v>286</v>
      </c>
      <c r="D117" s="20" t="s">
        <v>283</v>
      </c>
    </row>
    <row r="118" spans="1:4" ht="31.5" customHeight="1" x14ac:dyDescent="0.35">
      <c r="A118" s="20" t="s">
        <v>291</v>
      </c>
      <c r="B118" s="20" t="s">
        <v>288</v>
      </c>
      <c r="C118" s="20" t="s">
        <v>289</v>
      </c>
      <c r="D118" s="20" t="s">
        <v>290</v>
      </c>
    </row>
    <row r="119" spans="1:4" ht="31.5" customHeight="1" x14ac:dyDescent="0.35">
      <c r="A119" s="20" t="s">
        <v>293</v>
      </c>
      <c r="B119" s="20" t="s">
        <v>288</v>
      </c>
      <c r="C119" s="20" t="s">
        <v>292</v>
      </c>
      <c r="D119" s="20" t="s">
        <v>290</v>
      </c>
    </row>
    <row r="120" spans="1:4" ht="31.5" customHeight="1" x14ac:dyDescent="0.35">
      <c r="A120" s="20" t="s">
        <v>295</v>
      </c>
      <c r="B120" s="20" t="s">
        <v>288</v>
      </c>
      <c r="C120" s="20" t="s">
        <v>294</v>
      </c>
      <c r="D120" s="20" t="s">
        <v>290</v>
      </c>
    </row>
    <row r="121" spans="1:4" ht="31.5" customHeight="1" x14ac:dyDescent="0.35">
      <c r="A121" s="20" t="s">
        <v>297</v>
      </c>
      <c r="B121" s="20" t="s">
        <v>288</v>
      </c>
      <c r="C121" s="20" t="s">
        <v>296</v>
      </c>
      <c r="D121" s="20" t="s">
        <v>290</v>
      </c>
    </row>
    <row r="122" spans="1:4" ht="31.5" customHeight="1" x14ac:dyDescent="0.35">
      <c r="A122" s="20" t="s">
        <v>299</v>
      </c>
      <c r="B122" s="20" t="s">
        <v>288</v>
      </c>
      <c r="C122" s="20" t="s">
        <v>298</v>
      </c>
      <c r="D122" s="20" t="s">
        <v>290</v>
      </c>
    </row>
    <row r="123" spans="1:4" ht="31.5" customHeight="1" x14ac:dyDescent="0.35">
      <c r="A123" s="20" t="s">
        <v>303</v>
      </c>
      <c r="B123" s="20" t="s">
        <v>300</v>
      </c>
      <c r="C123" s="20" t="s">
        <v>301</v>
      </c>
      <c r="D123" s="20" t="s">
        <v>302</v>
      </c>
    </row>
    <row r="124" spans="1:4" ht="31.5" customHeight="1" x14ac:dyDescent="0.35">
      <c r="A124" s="20" t="s">
        <v>305</v>
      </c>
      <c r="B124" s="20" t="s">
        <v>300</v>
      </c>
      <c r="C124" s="20" t="s">
        <v>304</v>
      </c>
      <c r="D124" s="20" t="s">
        <v>302</v>
      </c>
    </row>
    <row r="125" spans="1:4" ht="31.5" customHeight="1" x14ac:dyDescent="0.35">
      <c r="A125" s="20" t="s">
        <v>307</v>
      </c>
      <c r="B125" s="20" t="s">
        <v>300</v>
      </c>
      <c r="C125" s="20" t="s">
        <v>306</v>
      </c>
      <c r="D125" s="20" t="s">
        <v>302</v>
      </c>
    </row>
    <row r="126" spans="1:4" ht="31.5" customHeight="1" x14ac:dyDescent="0.35">
      <c r="A126" s="20" t="s">
        <v>309</v>
      </c>
      <c r="B126" s="20" t="s">
        <v>300</v>
      </c>
      <c r="C126" s="20" t="s">
        <v>308</v>
      </c>
      <c r="D126" s="20" t="s">
        <v>302</v>
      </c>
    </row>
    <row r="127" spans="1:4" ht="31.5" customHeight="1" x14ac:dyDescent="0.35">
      <c r="A127" s="20" t="s">
        <v>311</v>
      </c>
      <c r="B127" s="20" t="s">
        <v>300</v>
      </c>
      <c r="C127" s="20" t="s">
        <v>310</v>
      </c>
      <c r="D127" s="20" t="s">
        <v>302</v>
      </c>
    </row>
    <row r="128" spans="1:4" ht="31.5" customHeight="1" x14ac:dyDescent="0.35">
      <c r="A128" s="20" t="s">
        <v>313</v>
      </c>
      <c r="B128" s="20" t="s">
        <v>300</v>
      </c>
      <c r="C128" s="20" t="s">
        <v>312</v>
      </c>
      <c r="D128" s="20" t="s">
        <v>302</v>
      </c>
    </row>
    <row r="129" spans="1:4" ht="31.5" customHeight="1" x14ac:dyDescent="0.35">
      <c r="A129" s="20" t="s">
        <v>315</v>
      </c>
      <c r="B129" s="20" t="s">
        <v>300</v>
      </c>
      <c r="C129" s="20" t="s">
        <v>314</v>
      </c>
      <c r="D129" s="20" t="s">
        <v>302</v>
      </c>
    </row>
    <row r="130" spans="1:4" ht="31.5" customHeight="1" x14ac:dyDescent="0.35">
      <c r="A130" s="20" t="s">
        <v>317</v>
      </c>
      <c r="B130" s="20" t="s">
        <v>300</v>
      </c>
      <c r="C130" s="20" t="s">
        <v>316</v>
      </c>
      <c r="D130" s="20" t="s">
        <v>302</v>
      </c>
    </row>
    <row r="131" spans="1:4" ht="31.5" customHeight="1" x14ac:dyDescent="0.35">
      <c r="A131" s="20" t="s">
        <v>32</v>
      </c>
      <c r="B131" s="20" t="s">
        <v>300</v>
      </c>
      <c r="C131" s="20" t="s">
        <v>318</v>
      </c>
      <c r="D131" s="20" t="s">
        <v>302</v>
      </c>
    </row>
    <row r="132" spans="1:4" ht="31.5" customHeight="1" x14ac:dyDescent="0.35">
      <c r="A132" s="20" t="s">
        <v>33</v>
      </c>
      <c r="B132" s="20" t="s">
        <v>300</v>
      </c>
      <c r="C132" s="20" t="s">
        <v>319</v>
      </c>
      <c r="D132" s="20" t="s">
        <v>302</v>
      </c>
    </row>
    <row r="133" spans="1:4" ht="31.5" customHeight="1" x14ac:dyDescent="0.35">
      <c r="A133" s="20" t="s">
        <v>34</v>
      </c>
      <c r="B133" s="20" t="s">
        <v>300</v>
      </c>
      <c r="C133" s="20" t="s">
        <v>320</v>
      </c>
      <c r="D133" s="20" t="s">
        <v>302</v>
      </c>
    </row>
    <row r="134" spans="1:4" ht="31.5" customHeight="1" x14ac:dyDescent="0.35">
      <c r="A134" s="20" t="s">
        <v>322</v>
      </c>
      <c r="B134" s="20" t="s">
        <v>300</v>
      </c>
      <c r="C134" s="20" t="s">
        <v>321</v>
      </c>
      <c r="D134" s="20" t="s">
        <v>302</v>
      </c>
    </row>
    <row r="135" spans="1:4" ht="31.5" customHeight="1" x14ac:dyDescent="0.35">
      <c r="A135" s="22" t="s">
        <v>60</v>
      </c>
      <c r="B135" s="20" t="s">
        <v>323</v>
      </c>
      <c r="C135" s="20" t="s">
        <v>324</v>
      </c>
      <c r="D135" s="20" t="s">
        <v>325</v>
      </c>
    </row>
    <row r="136" spans="1:4" ht="31.5" customHeight="1" x14ac:dyDescent="0.35">
      <c r="A136" s="20" t="s">
        <v>327</v>
      </c>
      <c r="B136" s="20" t="s">
        <v>323</v>
      </c>
      <c r="C136" s="20" t="s">
        <v>326</v>
      </c>
      <c r="D136" s="20" t="s">
        <v>325</v>
      </c>
    </row>
    <row r="137" spans="1:4" ht="31.5" customHeight="1" x14ac:dyDescent="0.35">
      <c r="A137" s="20" t="s">
        <v>329</v>
      </c>
      <c r="B137" s="20" t="s">
        <v>323</v>
      </c>
      <c r="C137" s="20" t="s">
        <v>328</v>
      </c>
      <c r="D137" s="20" t="s">
        <v>325</v>
      </c>
    </row>
    <row r="138" spans="1:4" ht="31.5" customHeight="1" x14ac:dyDescent="0.35">
      <c r="A138" s="20" t="s">
        <v>331</v>
      </c>
      <c r="B138" s="20" t="s">
        <v>323</v>
      </c>
      <c r="C138" s="20" t="s">
        <v>330</v>
      </c>
      <c r="D138" s="20" t="s">
        <v>325</v>
      </c>
    </row>
    <row r="139" spans="1:4" ht="31.5" customHeight="1" x14ac:dyDescent="0.35">
      <c r="A139" s="20" t="s">
        <v>333</v>
      </c>
      <c r="B139" s="20" t="s">
        <v>323</v>
      </c>
      <c r="C139" s="20" t="s">
        <v>332</v>
      </c>
      <c r="D139" s="20" t="s">
        <v>325</v>
      </c>
    </row>
    <row r="140" spans="1:4" ht="31.5" customHeight="1" x14ac:dyDescent="0.35">
      <c r="A140" s="20" t="s">
        <v>335</v>
      </c>
      <c r="B140" s="20" t="s">
        <v>323</v>
      </c>
      <c r="C140" s="20" t="s">
        <v>334</v>
      </c>
      <c r="D140" s="20" t="s">
        <v>325</v>
      </c>
    </row>
    <row r="141" spans="1:4" ht="31.5" customHeight="1" x14ac:dyDescent="0.35">
      <c r="A141" s="21" t="s">
        <v>337</v>
      </c>
      <c r="B141" s="21" t="s">
        <v>323</v>
      </c>
      <c r="C141" s="21" t="s">
        <v>336</v>
      </c>
      <c r="D141" s="21" t="s">
        <v>325</v>
      </c>
    </row>
    <row r="142" spans="1:4" ht="31.5" customHeight="1" x14ac:dyDescent="0.35">
      <c r="A142" s="21" t="s">
        <v>339</v>
      </c>
      <c r="B142" s="21" t="s">
        <v>323</v>
      </c>
      <c r="C142" s="21" t="s">
        <v>338</v>
      </c>
      <c r="D142" s="21" t="s">
        <v>325</v>
      </c>
    </row>
    <row r="143" spans="1:4" ht="31.5" customHeight="1" x14ac:dyDescent="0.35">
      <c r="A143" s="21" t="s">
        <v>341</v>
      </c>
      <c r="B143" s="21" t="s">
        <v>323</v>
      </c>
      <c r="C143" s="21" t="s">
        <v>340</v>
      </c>
      <c r="D143" s="21" t="s">
        <v>325</v>
      </c>
    </row>
    <row r="144" spans="1:4" ht="31.5" customHeight="1" x14ac:dyDescent="0.35">
      <c r="A144" s="20" t="s">
        <v>345</v>
      </c>
      <c r="B144" s="20" t="s">
        <v>342</v>
      </c>
      <c r="C144" s="20" t="s">
        <v>343</v>
      </c>
      <c r="D144" s="20" t="s">
        <v>344</v>
      </c>
    </row>
    <row r="145" spans="1:4" ht="31.5" customHeight="1" x14ac:dyDescent="0.35">
      <c r="A145" s="20" t="s">
        <v>347</v>
      </c>
      <c r="B145" s="20" t="s">
        <v>342</v>
      </c>
      <c r="C145" s="20" t="s">
        <v>346</v>
      </c>
      <c r="D145" s="20" t="s">
        <v>344</v>
      </c>
    </row>
    <row r="146" spans="1:4" ht="31.5" customHeight="1" x14ac:dyDescent="0.35">
      <c r="A146" s="20" t="s">
        <v>349</v>
      </c>
      <c r="B146" s="20" t="s">
        <v>342</v>
      </c>
      <c r="C146" s="20" t="s">
        <v>348</v>
      </c>
      <c r="D146" s="20" t="s">
        <v>344</v>
      </c>
    </row>
    <row r="147" spans="1:4" ht="31.5" customHeight="1" x14ac:dyDescent="0.35">
      <c r="A147" s="20" t="s">
        <v>59</v>
      </c>
      <c r="B147" s="20" t="s">
        <v>342</v>
      </c>
      <c r="C147" s="20" t="s">
        <v>350</v>
      </c>
      <c r="D147" s="20" t="s">
        <v>344</v>
      </c>
    </row>
    <row r="148" spans="1:4" ht="31.5" customHeight="1" x14ac:dyDescent="0.35">
      <c r="A148" s="20" t="s">
        <v>354</v>
      </c>
      <c r="B148" s="20" t="s">
        <v>351</v>
      </c>
      <c r="C148" s="20" t="s">
        <v>352</v>
      </c>
      <c r="D148" s="20" t="s">
        <v>353</v>
      </c>
    </row>
    <row r="149" spans="1:4" ht="31.5" customHeight="1" x14ac:dyDescent="0.35">
      <c r="A149" s="20" t="s">
        <v>356</v>
      </c>
      <c r="B149" s="20" t="s">
        <v>351</v>
      </c>
      <c r="C149" s="20" t="s">
        <v>355</v>
      </c>
      <c r="D149" s="20" t="s">
        <v>353</v>
      </c>
    </row>
    <row r="150" spans="1:4" ht="31.5" customHeight="1" x14ac:dyDescent="0.35">
      <c r="A150" s="20" t="s">
        <v>358</v>
      </c>
      <c r="B150" s="20" t="s">
        <v>351</v>
      </c>
      <c r="C150" s="20" t="s">
        <v>357</v>
      </c>
      <c r="D150" s="20" t="s">
        <v>353</v>
      </c>
    </row>
    <row r="151" spans="1:4" ht="31.5" customHeight="1" x14ac:dyDescent="0.35">
      <c r="A151" s="20" t="s">
        <v>360</v>
      </c>
      <c r="B151" s="20" t="s">
        <v>351</v>
      </c>
      <c r="C151" s="20" t="s">
        <v>359</v>
      </c>
      <c r="D151" s="20" t="s">
        <v>353</v>
      </c>
    </row>
    <row r="152" spans="1:4" ht="31.5" customHeight="1" x14ac:dyDescent="0.35">
      <c r="A152" s="20" t="s">
        <v>57</v>
      </c>
      <c r="B152" s="20" t="s">
        <v>351</v>
      </c>
      <c r="C152" s="20" t="s">
        <v>361</v>
      </c>
      <c r="D152" s="20" t="s">
        <v>353</v>
      </c>
    </row>
    <row r="153" spans="1:4" ht="31.5" customHeight="1" x14ac:dyDescent="0.35">
      <c r="A153" s="21" t="s">
        <v>363</v>
      </c>
      <c r="B153" s="21" t="s">
        <v>351</v>
      </c>
      <c r="C153" s="21" t="s">
        <v>362</v>
      </c>
      <c r="D153" s="21" t="s">
        <v>353</v>
      </c>
    </row>
    <row r="154" spans="1:4" ht="31.5" customHeight="1" x14ac:dyDescent="0.35">
      <c r="A154" s="21" t="s">
        <v>58</v>
      </c>
      <c r="B154" s="21" t="s">
        <v>351</v>
      </c>
      <c r="C154" s="21" t="s">
        <v>364</v>
      </c>
      <c r="D154" s="21" t="s">
        <v>353</v>
      </c>
    </row>
    <row r="155" spans="1:4" ht="31.5" customHeight="1" x14ac:dyDescent="0.35">
      <c r="A155" s="21" t="s">
        <v>366</v>
      </c>
      <c r="B155" s="21" t="s">
        <v>351</v>
      </c>
      <c r="C155" s="21" t="s">
        <v>365</v>
      </c>
      <c r="D155" s="21" t="s">
        <v>353</v>
      </c>
    </row>
    <row r="156" spans="1:4" ht="31.5" customHeight="1" x14ac:dyDescent="0.35">
      <c r="A156" s="21" t="s">
        <v>368</v>
      </c>
      <c r="B156" s="21" t="s">
        <v>351</v>
      </c>
      <c r="C156" s="21" t="s">
        <v>367</v>
      </c>
      <c r="D156" s="21" t="s">
        <v>353</v>
      </c>
    </row>
    <row r="157" spans="1:4" ht="32.25" customHeight="1" x14ac:dyDescent="0.35">
      <c r="A157" s="21" t="s">
        <v>20</v>
      </c>
      <c r="B157" s="21" t="s">
        <v>369</v>
      </c>
      <c r="C157" s="21" t="s">
        <v>370</v>
      </c>
      <c r="D157" s="21" t="s">
        <v>371</v>
      </c>
    </row>
    <row r="158" spans="1:4" ht="31.5" customHeight="1" x14ac:dyDescent="0.35">
      <c r="A158" s="21" t="s">
        <v>21</v>
      </c>
      <c r="B158" s="21" t="s">
        <v>369</v>
      </c>
      <c r="C158" s="21" t="s">
        <v>372</v>
      </c>
      <c r="D158" s="21" t="s">
        <v>371</v>
      </c>
    </row>
    <row r="159" spans="1:4" ht="31.5" customHeight="1" x14ac:dyDescent="0.35">
      <c r="A159" s="21" t="s">
        <v>22</v>
      </c>
      <c r="B159" s="21" t="s">
        <v>369</v>
      </c>
      <c r="C159" s="21" t="s">
        <v>373</v>
      </c>
      <c r="D159" s="21" t="s">
        <v>371</v>
      </c>
    </row>
    <row r="160" spans="1:4" ht="31.5" customHeight="1" x14ac:dyDescent="0.35">
      <c r="A160" s="21" t="s">
        <v>19</v>
      </c>
      <c r="B160" s="21" t="s">
        <v>369</v>
      </c>
      <c r="C160" s="21" t="s">
        <v>374</v>
      </c>
      <c r="D160" s="21" t="s">
        <v>371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BASE</vt:lpstr>
      <vt:lpstr>Biblioteca</vt:lpstr>
      <vt:lpstr>Población</vt:lpstr>
      <vt:lpstr>Actualizaciones</vt:lpstr>
      <vt:lpstr>NO TOCAR</vt:lpstr>
    </vt:vector>
  </TitlesOfParts>
  <Company>Ministerio de Sanidad, Servicios Sociales e Igualdad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Elena Plans Beriso</dc:creator>
  <cp:lastModifiedBy>Sánchez Fuentes, Paola</cp:lastModifiedBy>
  <dcterms:created xsi:type="dcterms:W3CDTF">2020-11-25T08:49:27Z</dcterms:created>
  <dcterms:modified xsi:type="dcterms:W3CDTF">2021-03-25T10:55:51Z</dcterms:modified>
</cp:coreProperties>
</file>